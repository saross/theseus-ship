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pen-archaeo-early" sheetId="1" state="visible" r:id="rId1"/>
    <sheet name="open-archaeo better" sheetId="2" state="visible" r:id="rId2"/>
    <sheet name="open-archaeo-best()" sheetId="3" state="visible" r:id="rId3"/>
    <sheet name="open-archaeo-improved-desc" sheetId="4" state="visible" r:id="rId4"/>
    <sheet name="open-archaeo-raw" sheetId="5" state="visible" r:id="rId5"/>
    <sheet name="open-archaeo-output" sheetId="6" state="visible" r:id="rId6"/>
    <sheet name="open-archaeo-tool-list" sheetId="7" state="visible" r:id="rId7"/>
    <sheet name="open-archaeo-no-dvc" sheetId="8" state="visible" r:id="rId8"/>
    <sheet name="combined-tool-list" sheetId="9" state="visible" r:id="rId9"/>
    <sheet name="deduplicated-open-archeao-no-dv" sheetId="10" state="visible" r:id="rId10"/>
    <sheet name="open-archaeo-no-dvc-final" sheetId="11" state="visible" r:id="rId11"/>
  </sheets>
  <definedNames>
    <definedName name="_xlnm._FilterDatabase" localSheetId="4" hidden="1">'open-archaeo-raw'!$A$1:$AE$514</definedName>
    <definedName name="_xlnm._FilterDatabase" localSheetId="7" hidden="1">'open-archaeo-no-dvc'!$A$1:$A$1000</definedName>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Arial"/>
      <color theme="1"/>
      <scheme val="minor"/>
    </font>
    <font>
      <color rgb="FF0000FF"/>
      <u val="single"/>
    </font>
    <font>
      <name val="Consolas"/>
      <color theme="1"/>
      <sz val="11"/>
    </font>
    <font>
      <color rgb="FF0000FF"/>
      <u val="single"/>
    </font>
    <font>
      <name val="Arial"/>
      <b val="1"/>
      <color theme="1"/>
      <scheme val="minor"/>
    </font>
    <font>
      <name val="&quot;Google Sans&quot;"/>
      <color rgb="FF1F1F1F"/>
      <sz val="11"/>
    </font>
    <font>
      <name val="&quot;Google Sans Mono&quot;"/>
      <color theme="1"/>
    </font>
  </fonts>
  <fills count="4">
    <fill>
      <patternFill/>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numFmtId="0" fontId="0" fillId="0" borderId="0"/>
  </cellStyleXfs>
  <cellXfs count="21">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3" fillId="0" borderId="0" pivotButton="0" quotePrefix="0" xfId="0"/>
    <xf numFmtId="0" fontId="3" fillId="0" borderId="0" applyAlignment="1" pivotButton="0" quotePrefix="0" xfId="0">
      <alignment wrapText="1"/>
    </xf>
    <xf numFmtId="0" fontId="3"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center" wrapText="1"/>
    </xf>
    <xf numFmtId="0" fontId="1"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wrapText="1"/>
    </xf>
    <xf numFmtId="0" fontId="6" fillId="2" borderId="0" pivotButton="0" quotePrefix="0" xfId="0"/>
    <xf numFmtId="0" fontId="1" fillId="3" borderId="0" applyAlignment="1" pivotButton="0" quotePrefix="0" xfId="0">
      <alignment wrapText="1"/>
    </xf>
    <xf numFmtId="0" fontId="7" fillId="0" borderId="0" applyAlignment="1" pivotButton="0" quotePrefix="0" xfId="0">
      <alignment wrapText="1"/>
    </xf>
    <xf numFmtId="0" fontId="1" fillId="0" borderId="0" pivotButton="0" quotePrefix="0" xfId="0"/>
    <xf numFmtId="0" fontId="1" fillId="0" borderId="0" applyAlignment="1" pivotButton="0" quotePrefix="0" xfId="0">
      <alignment wrapText="1"/>
    </xf>
    <xf numFmtId="0" fontId="6" fillId="2" borderId="0" applyAlignment="1" pivotButton="0" quotePrefix="0" xfId="0">
      <alignment wrapText="1"/>
    </xf>
    <xf numFmtId="0" fontId="0" fillId="0" borderId="0" pivotButton="0" quotePrefix="0" xfId="0"/>
  </cellXfs>
  <cellStyles count="1">
    <cellStyle name="Normal" xfId="0" builtinId="0"/>
  </cellStyles>
  <dxfs count="1">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pen-archaeo.info/post/quantAAR" TargetMode="External" Id="rId1" /><Relationship Type="http://schemas.openxmlformats.org/officeDocument/2006/relationships/hyperlink" Target="https://open-archaeo.info/post/tabula" TargetMode="External" Id="rId2" /><Relationship Type="http://schemas.openxmlformats.org/officeDocument/2006/relationships/hyperlink" Target="https://open-archaeo.info/post/tosca" TargetMode="External" Id="rId3" /><Relationship Type="http://schemas.openxmlformats.org/officeDocument/2006/relationships/hyperlink" Target="https://open-archaeo.info/post/CAinterprTools" TargetMode="External" Id="rId4" /><Relationship Type="http://schemas.openxmlformats.org/officeDocument/2006/relationships/hyperlink" Target="https://open-archaeo.info/post/CAseriation" TargetMode="External" Id="rId5" /><Relationship Type="http://schemas.openxmlformats.org/officeDocument/2006/relationships/hyperlink" Target="https://open-archaeo.info/post/Binomial-Co-occurrence-Assessment" TargetMode="External" Id="rId6" /><Relationship Type="http://schemas.openxmlformats.org/officeDocument/2006/relationships/hyperlink" Target="https://open-archaeo.info/post/Kmeans" TargetMode="External" Id="rId7" /><Relationship Type="http://schemas.openxmlformats.org/officeDocument/2006/relationships/hyperlink" Target="https://open-archaeo.info/post/Brainerd-Robinson-Similarity-Coefficient-and-Sampling-Error-Assessment" TargetMode="External" Id="rId8" /><Relationship Type="http://schemas.openxmlformats.org/officeDocument/2006/relationships/hyperlink" Target="https://open-archaeo.info/post/Mean-Ceramic-Date-and-Error-Estimation" TargetMode="External" Id="rId9" /><Relationship Type="http://schemas.openxmlformats.org/officeDocument/2006/relationships/hyperlink" Target="https://open-archaeo.info/post/Bootstrap-Correspondence-Analysis" TargetMode="External" Id="rId10" /><Relationship Type="http://schemas.openxmlformats.org/officeDocument/2006/relationships/hyperlink" Target="https://open-archaeo.info/post/ca" TargetMode="External" Id="rId11" /><Relationship Type="http://schemas.openxmlformats.org/officeDocument/2006/relationships/hyperlink" Target="https://open-archaeo.info/post/LISA" TargetMode="External" Id="rId12" /><Relationship Type="http://schemas.openxmlformats.org/officeDocument/2006/relationships/hyperlink" Target="https://open-archaeo.info/post/PLC" TargetMode="External" Id="rId13" /><Relationship Type="http://schemas.openxmlformats.org/officeDocument/2006/relationships/hyperlink" Target="https://open-archaeo.info/post/UnconstrainedClustering" TargetMode="External" Id="rId14" /><Relationship Type="http://schemas.openxmlformats.org/officeDocument/2006/relationships/hyperlink" Target="https://open-archaeo.info/post/BasicMapping" TargetMode="External" Id="rId15" /><Relationship Type="http://schemas.openxmlformats.org/officeDocument/2006/relationships/hyperlink" Target="https://open-archaeo.info/post/PointPattern" TargetMode="External" Id="rId16" /><Relationship Type="http://schemas.openxmlformats.org/officeDocument/2006/relationships/hyperlink" Target="https://open-archaeo.info/post/sindwem" TargetMode="External" Id="rId17" /><Relationship Type="http://schemas.openxmlformats.org/officeDocument/2006/relationships/hyperlink" Target="https://open-archaeo.info/post/Explographe" TargetMode="External" Id="rId18" /><Relationship Type="http://schemas.openxmlformats.org/officeDocument/2006/relationships/hyperlink" Target="https://open-archaeo.info/post/predictSource" TargetMode="External" Id="rId19" /><Relationship Type="http://schemas.openxmlformats.org/officeDocument/2006/relationships/hyperlink" Target="https://open-archaeo.info/post/Artifact_Class_Diversity" TargetMode="External" Id="rId20" /><Relationship Type="http://schemas.openxmlformats.org/officeDocument/2006/relationships/hyperlink" Target="https://open-archaeo.info/post/ede_interpolation" TargetMode="External" Id="rId21" /><Relationship Type="http://schemas.openxmlformats.org/officeDocument/2006/relationships/hyperlink" Target="https://open-archaeo.info/post/FuzzyViewshed" TargetMode="External" Id="rId22" /><Relationship Type="http://schemas.openxmlformats.org/officeDocument/2006/relationships/hyperlink" Target="https://open-archaeo.info/post/QGIS-visibility-analysis" TargetMode="External" Id="rId23" /><Relationship Type="http://schemas.openxmlformats.org/officeDocument/2006/relationships/hyperlink" Target="https://open-archaeo.info/post/senscape" TargetMode="External" Id="rId24" /><Relationship Type="http://schemas.openxmlformats.org/officeDocument/2006/relationships/hyperlink" Target="https://open-archaeo.info/post/ArchaeoLines" TargetMode="External" Id="rId25" /><Relationship Type="http://schemas.openxmlformats.org/officeDocument/2006/relationships/hyperlink" Target="https://open-archaeo.info/post/pathAAR" TargetMode="External" Id="rId26" /><Relationship Type="http://schemas.openxmlformats.org/officeDocument/2006/relationships/hyperlink" Target="https://open-archaeo.info/post/TRANSIT" TargetMode="External" Id="rId27" /><Relationship Type="http://schemas.openxmlformats.org/officeDocument/2006/relationships/hyperlink" Target="https://open-archaeo.info/post/QGIS-topographic-networks" TargetMode="External" Id="rId28" /><Relationship Type="http://schemas.openxmlformats.org/officeDocument/2006/relationships/hyperlink" Target="https://open-archaeo.info/post/leastcostpath" TargetMode="External" Id="rId29" /><Relationship Type="http://schemas.openxmlformats.org/officeDocument/2006/relationships/hyperlink" Target="https://open-archaeo.info/post/field-photographs" TargetMode="External" Id="rId30" /><Relationship Type="http://schemas.openxmlformats.org/officeDocument/2006/relationships/hyperlink" Target="https://open-archaeo.info/post/archaeological-survey-location-collector" TargetMode="External" Id="rId31" /><Relationship Type="http://schemas.openxmlformats.org/officeDocument/2006/relationships/hyperlink" Target="https://open-archaeo.info/post/ArkGrid" TargetMode="External" Id="rId32" /><Relationship Type="http://schemas.openxmlformats.org/officeDocument/2006/relationships/hyperlink" Target="https://open-archaeo.info/post/trenchdrawer" TargetMode="External" Id="rId33" /><Relationship Type="http://schemas.openxmlformats.org/officeDocument/2006/relationships/hyperlink" Target="https://open-archaeo.info/post/fieldwalkr" TargetMode="External" Id="rId34" /><Relationship Type="http://schemas.openxmlformats.org/officeDocument/2006/relationships/hyperlink" Target="https://open-archaeo.info/post/ArkScan" TargetMode="External" Id="rId35" /><Relationship Type="http://schemas.openxmlformats.org/officeDocument/2006/relationships/hyperlink" Target="https://open-archaeo.info/post/ArkSpatial" TargetMode="External" Id="rId36" /><Relationship Type="http://schemas.openxmlformats.org/officeDocument/2006/relationships/hyperlink" Target="https://open-archaeo.info/post/sitedefinition" TargetMode="External" Id="rId37" /><Relationship Type="http://schemas.openxmlformats.org/officeDocument/2006/relationships/hyperlink" Target="https://open-archaeo.info/post/ArkMatrix" TargetMode="External" Id="rId38" /><Relationship Type="http://schemas.openxmlformats.org/officeDocument/2006/relationships/hyperlink" Target="https://open-archaeo.info/post/harris2graph" TargetMode="External" Id="rId39" /><Relationship Type="http://schemas.openxmlformats.org/officeDocument/2006/relationships/hyperlink" Target="https://open-archaeo.info/post/Harris-matrix-legacy" TargetMode="External" Id="rId40" /><Relationship Type="http://schemas.openxmlformats.org/officeDocument/2006/relationships/hyperlink" Target="https://open-archaeo.info/post/harris-matrix" TargetMode="External" Id="rId41" /><Relationship Type="http://schemas.openxmlformats.org/officeDocument/2006/relationships/hyperlink" Target="https://open-archaeo.info/post/harris-matrix" TargetMode="External" Id="rId42" /><Relationship Type="http://schemas.openxmlformats.org/officeDocument/2006/relationships/hyperlink" Target="https://open-archaeo.info/post/chronomodel" TargetMode="External" Id="rId43" /><Relationship Type="http://schemas.openxmlformats.org/officeDocument/2006/relationships/hyperlink" Target="https://open-archaeo.info/post/aoristAAR" TargetMode="External" Id="rId44" /><Relationship Type="http://schemas.openxmlformats.org/officeDocument/2006/relationships/hyperlink" Target="https://open-archaeo.info/post/archSeries" TargetMode="External" Id="rId45" /><Relationship Type="http://schemas.openxmlformats.org/officeDocument/2006/relationships/hyperlink" Target="https://open-archaeo.info/post/stratigraphr" TargetMode="External" Id="rId46" /><Relationship Type="http://schemas.openxmlformats.org/officeDocument/2006/relationships/hyperlink" Target="https://open-archaeo.info/post/ArchaeoChron" TargetMode="External" Id="rId47" /><Relationship Type="http://schemas.openxmlformats.org/officeDocument/2006/relationships/hyperlink" Target="https://open-archaeo.info/post/ArchaeoPhases" TargetMode="External" Id="rId48" /><Relationship Type="http://schemas.openxmlformats.org/officeDocument/2006/relationships/hyperlink" Target="https://open-archaeo.info/post/Chronophage" TargetMode="External" Id="rId49" /><Relationship Type="http://schemas.openxmlformats.org/officeDocument/2006/relationships/hyperlink" Target="https://open-archaeo.info/post/zooaRch" TargetMode="External" Id="rId50" /><Relationship Type="http://schemas.openxmlformats.org/officeDocument/2006/relationships/hyperlink" Target="https://open-archaeo.info/post/zooaRchGUI" TargetMode="External" Id="rId51" /><Relationship Type="http://schemas.openxmlformats.org/officeDocument/2006/relationships/hyperlink" Target="https://open-archaeo.info/post/mortAAR" TargetMode="External" Id="rId52" /><Relationship Type="http://schemas.openxmlformats.org/officeDocument/2006/relationships/hyperlink" Target="https://open-archaeo.info/post/Crossbones" TargetMode="External" Id="rId53" /><Relationship Type="http://schemas.openxmlformats.org/officeDocument/2006/relationships/hyperlink" Target="https://open-archaeo.info/post/pollen_data_processing" TargetMode="External" Id="rId54" /><Relationship Type="http://schemas.openxmlformats.org/officeDocument/2006/relationships/hyperlink" Target="https://open-archaeo.info/post/ethnobotanyR" TargetMode="External" Id="rId55" /><Relationship Type="http://schemas.openxmlformats.org/officeDocument/2006/relationships/hyperlink" Target="https://open-archaeo.info/post/CharTool" TargetMode="External" Id="rId56" /><Relationship Type="http://schemas.openxmlformats.org/officeDocument/2006/relationships/hyperlink" Target="https://open-archaeo.info/post/tipom" TargetMode="External" Id="rId57" /></Relationships>
</file>

<file path=xl/worksheets/_rels/sheet2.xml.rels><Relationships xmlns="http://schemas.openxmlformats.org/package/2006/relationships"><Relationship Type="http://schemas.openxmlformats.org/officeDocument/2006/relationships/hyperlink" Target="https://open-archaeo.info/post/14c-power-sensitivity/" TargetMode="External" Id="rId1" /><Relationship Type="http://schemas.openxmlformats.org/officeDocument/2006/relationships/hyperlink" Target="https://open-archaeo.info/post/3d-edgeangle/" TargetMode="External" Id="rId2" /><Relationship Type="http://schemas.openxmlformats.org/officeDocument/2006/relationships/hyperlink" Target="https://open-archaeo.info/post/3d-survey-collection/" TargetMode="External" Id="rId3" /><Relationship Type="http://schemas.openxmlformats.org/officeDocument/2006/relationships/hyperlink" Target="https://open-archaeo.info/post/admur/" TargetMode="External" Id="rId4" /><Relationship Type="http://schemas.openxmlformats.org/officeDocument/2006/relationships/hyperlink" Target="https://open-archaeo.info/post/aion/" TargetMode="External" Id="rId5" /><Relationship Type="http://schemas.openxmlformats.org/officeDocument/2006/relationships/hyperlink" Target="https://open-archaeo.info/post/akkademia/" TargetMode="External" Id="rId6" /><Relationship Type="http://schemas.openxmlformats.org/officeDocument/2006/relationships/hyperlink" Target="https://open-archaeo.info/post/alkahest/" TargetMode="External" Id="rId7" /><Relationship Type="http://schemas.openxmlformats.org/officeDocument/2006/relationships/hyperlink" Target="https://open-archaeo.info/post/allen-relations/" TargetMode="External" Id="rId8" /><Relationship Type="http://schemas.openxmlformats.org/officeDocument/2006/relationships/hyperlink" Target="https://open-archaeo.info/post/allen-archaeology/" TargetMode="External" Id="rId9" /><Relationship Type="http://schemas.openxmlformats.org/officeDocument/2006/relationships/hyperlink" Target="https://open-archaeo.info/post/ancient-artifacts/" TargetMode="External" Id="rId10" /><Relationship Type="http://schemas.openxmlformats.org/officeDocument/2006/relationships/hyperlink" Target="https://open-archaeo.info/post/anthropmmd/" TargetMode="External" Id="rId11" /><Relationship Type="http://schemas.openxmlformats.org/officeDocument/2006/relationships/hyperlink" Target="https://open-archaeo.info/post/aoristaar/" TargetMode="External" Id="rId12" /><Relationship Type="http://schemas.openxmlformats.org/officeDocument/2006/relationships/hyperlink" Target="https://open-archaeo.info/post/aoristic/" TargetMode="External" Id="rId13" /><Relationship Type="http://schemas.openxmlformats.org/officeDocument/2006/relationships/hyperlink" Target="https://open-archaeo.info/post/aoristic-analysis/" TargetMode="External" Id="rId14" /><Relationship Type="http://schemas.openxmlformats.org/officeDocument/2006/relationships/hyperlink" Target="https://open-archaeo.info/post/archaeo-crf/" TargetMode="External" Id="rId15" /><Relationship Type="http://schemas.openxmlformats.org/officeDocument/2006/relationships/hyperlink" Target="https://open-archaeo.info/post/archaeoastroinsight/" TargetMode="External" Id="rId16" /><Relationship Type="http://schemas.openxmlformats.org/officeDocument/2006/relationships/hyperlink" Target="https://open-archaeo.info/post/archaeocal/" TargetMode="External" Id="rId17" /><Relationship Type="http://schemas.openxmlformats.org/officeDocument/2006/relationships/hyperlink" Target="https://open-archaeo.info/post/archaeochron/" TargetMode="External" Id="rId18" /><Relationship Type="http://schemas.openxmlformats.org/officeDocument/2006/relationships/hyperlink" Target="https://open-archaeo.info/post/archaeolines/" TargetMode="External" Id="rId19" /><Relationship Type="http://schemas.openxmlformats.org/officeDocument/2006/relationships/hyperlink" Target="https://open-archaeo.info/post/archaeological-survey-location-collector/" TargetMode="External" Id="rId20" /><Relationship Type="http://schemas.openxmlformats.org/officeDocument/2006/relationships/hyperlink" Target="https://open-archaeo.info/post/archaeology-data-service/" TargetMode="External" Id="rId21" /><Relationship Type="http://schemas.openxmlformats.org/officeDocument/2006/relationships/hyperlink" Target="https://open-archaeo.info/post/archaeology-object-data-collector-app/" TargetMode="External" Id="rId22" /><Relationship Type="http://schemas.openxmlformats.org/officeDocument/2006/relationships/hyperlink" Target="https://open-archaeo.info/post/archaeolphytoliths/" TargetMode="External" Id="rId23" /><Relationship Type="http://schemas.openxmlformats.org/officeDocument/2006/relationships/hyperlink" Target="https://open-archaeo.info/post/archaeophases/" TargetMode="External" Id="rId24" /><Relationship Type="http://schemas.openxmlformats.org/officeDocument/2006/relationships/hyperlink" Target="https://open-archaeo.info/post/archaeosrp/" TargetMode="External" Id="rId25" /><Relationship Type="http://schemas.openxmlformats.org/officeDocument/2006/relationships/hyperlink" Target="https://open-archaeo.info/post/archchron/" TargetMode="External" Id="rId26" /><Relationship Type="http://schemas.openxmlformats.org/officeDocument/2006/relationships/hyperlink" Target="https://open-archaeo.info/post/archeofrag/" TargetMode="External" Id="rId27" /><Relationship Type="http://schemas.openxmlformats.org/officeDocument/2006/relationships/hyperlink" Target="https://open-archaeo.info/post/archeoviz/" TargetMode="External" Id="rId28" /><Relationship Type="http://schemas.openxmlformats.org/officeDocument/2006/relationships/hyperlink" Target="https://open-archaeo.info/post/archjobcad/" TargetMode="External" Id="rId29" /><Relationship Type="http://schemas.openxmlformats.org/officeDocument/2006/relationships/hyperlink" Target="https://open-archaeo.info/post/archseries/" TargetMode="External" Id="rId30" /><Relationship Type="http://schemas.openxmlformats.org/officeDocument/2006/relationships/hyperlink" Target="https://open-archaeo.info/post/arkgrid/" TargetMode="External" Id="rId31" /><Relationship Type="http://schemas.openxmlformats.org/officeDocument/2006/relationships/hyperlink" Target="https://open-archaeo.info/post/arkhe/" TargetMode="External" Id="rId32" /><Relationship Type="http://schemas.openxmlformats.org/officeDocument/2006/relationships/hyperlink" Target="https://open-archaeo.info/post/arkmatrix/" TargetMode="External" Id="rId33" /><Relationship Type="http://schemas.openxmlformats.org/officeDocument/2006/relationships/hyperlink" Target="https://open-archaeo.info/post/arkspatial/" TargetMode="External" Id="rId34" /><Relationship Type="http://schemas.openxmlformats.org/officeDocument/2006/relationships/hyperlink" Target="https://open-archaeo.info/post/arothron/" TargetMode="External" Id="rId35" /><Relationship Type="http://schemas.openxmlformats.org/officeDocument/2006/relationships/hyperlink" Target="https://open-archaeo.info/post/arshm-release/" TargetMode="External" Id="rId36" /><Relationship Type="http://schemas.openxmlformats.org/officeDocument/2006/relationships/hyperlink" Target="https://open-archaeo.info/post/artifacts-analyzer/" TargetMode="External" Id="rId37" /><Relationship Type="http://schemas.openxmlformats.org/officeDocument/2006/relationships/hyperlink" Target="https://open-archaeo.info/post/baorista/" TargetMode="External" Id="rId38" /><Relationship Type="http://schemas.openxmlformats.org/officeDocument/2006/relationships/hyperlink" Target="https://open-archaeo.info/post/baydem/" TargetMode="External" Id="rId39" /><Relationship Type="http://schemas.openxmlformats.org/officeDocument/2006/relationships/hyperlink" Target="https://open-archaeo.info/post/baylum/" TargetMode="External" Id="rId40" /><Relationship Type="http://schemas.openxmlformats.org/officeDocument/2006/relationships/hyperlink" Target="https://open-archaeo.info/post/bchron/" TargetMode="External" Id="rId41" /><Relationship Type="http://schemas.openxmlformats.org/officeDocument/2006/relationships/hyperlink" Target="https://open-archaeo.info/post/bioarch-r/" TargetMode="External" Id="rId42" /><Relationship Type="http://schemas.openxmlformats.org/officeDocument/2006/relationships/hyperlink" Target="https://open-archaeo.info/post/bioprofile/" TargetMode="External" Id="rId43" /><Relationship Type="http://schemas.openxmlformats.org/officeDocument/2006/relationships/hyperlink" Target="https://open-archaeo.info/post/bleiglas/" TargetMode="External" Id="rId44" /><Relationship Type="http://schemas.openxmlformats.org/officeDocument/2006/relationships/hyperlink" Target="https://open-archaeo.info/post/c14/" TargetMode="External" Id="rId45" /><Relationship Type="http://schemas.openxmlformats.org/officeDocument/2006/relationships/hyperlink" Target="https://open-archaeo.info/post/c14bazaar/" TargetMode="External" Id="rId46" /><Relationship Type="http://schemas.openxmlformats.org/officeDocument/2006/relationships/hyperlink" Target="https://open-archaeo.info/post/c14intervals/" TargetMode="External" Id="rId47" /><Relationship Type="http://schemas.openxmlformats.org/officeDocument/2006/relationships/hyperlink" Target="https://open-archaeo.info/post/cainterprtools/" TargetMode="External" Id="rId48" /><Relationship Type="http://schemas.openxmlformats.org/officeDocument/2006/relationships/hyperlink" Target="https://open-archaeo.info/post/carbon14/" TargetMode="External" Id="rId49" /><Relationship Type="http://schemas.openxmlformats.org/officeDocument/2006/relationships/hyperlink" Target="https://open-archaeo.info/post/carbondate/" TargetMode="External" Id="rId50" /><Relationship Type="http://schemas.openxmlformats.org/officeDocument/2006/relationships/hyperlink" Target="https://open-archaeo.info/post/caseriation/" TargetMode="External" Id="rId51" /><Relationship Type="http://schemas.openxmlformats.org/officeDocument/2006/relationships/hyperlink" Target="https://open-archaeo.info/post/cawd/" TargetMode="External" Id="rId52" /><Relationship Type="http://schemas.openxmlformats.org/officeDocument/2006/relationships/hyperlink" Target="https://open-archaeo.info/post/ceramatch/" TargetMode="External" Id="rId53" /><Relationship Type="http://schemas.openxmlformats.org/officeDocument/2006/relationships/hyperlink" Target="https://open-archaeo.info/post/charcoalhearths/" TargetMode="External" Id="rId54" /><Relationship Type="http://schemas.openxmlformats.org/officeDocument/2006/relationships/hyperlink" Target="https://open-archaeo.info/post/chrongler/" TargetMode="External" Id="rId55" /><Relationship Type="http://schemas.openxmlformats.org/officeDocument/2006/relationships/hyperlink" Target="https://open-archaeo.info/post/chronochrt/" TargetMode="External" Id="rId56" /><Relationship Type="http://schemas.openxmlformats.org/officeDocument/2006/relationships/hyperlink" Target="https://open-archaeo.info/post/chronophage/" TargetMode="External" Id="rId57" /><Relationship Type="http://schemas.openxmlformats.org/officeDocument/2006/relationships/hyperlink" Target="https://open-archaeo.info/post/chronup/" TargetMode="External" Id="rId58" /><Relationship Type="http://schemas.openxmlformats.org/officeDocument/2006/relationships/hyperlink" Target="https://open-archaeo.info/post/clam/" TargetMode="External" Id="rId59" /><Relationship Type="http://schemas.openxmlformats.org/officeDocument/2006/relationships/hyperlink" Target="https://open-archaeo.info/post/cleanc14/" TargetMode="External" Id="rId60" /><Relationship Type="http://schemas.openxmlformats.org/officeDocument/2006/relationships/hyperlink" Target="https://open-archaeo.info/post/clustering-14c/" TargetMode="External" Id="rId61" /><Relationship Type="http://schemas.openxmlformats.org/officeDocument/2006/relationships/hyperlink" Target="https://open-archaeo.info/post/coccionceramica/" TargetMode="External" Id="rId62" /><Relationship Type="http://schemas.openxmlformats.org/officeDocument/2006/relationships/hyperlink" Target="https://open-archaeo.info/post/coffee/" TargetMode="External" Id="rId63" /><Relationship Type="http://schemas.openxmlformats.org/officeDocument/2006/relationships/hyperlink" Target="https://open-archaeo.info/post/cran-jsdne/" TargetMode="External" Id="rId64" /><Relationship Type="http://schemas.openxmlformats.org/officeDocument/2006/relationships/hyperlink" Target="https://open-archaeo.info/post/crom/" TargetMode="External" Id="rId65" /><Relationship Type="http://schemas.openxmlformats.org/officeDocument/2006/relationships/hyperlink" Target="https://open-archaeo.info/post/croppro/" TargetMode="External" Id="rId66" /><Relationship Type="http://schemas.openxmlformats.org/officeDocument/2006/relationships/hyperlink" Target="https://open-archaeo.info/post/ctransmission/" TargetMode="External" Id="rId67" /><Relationship Type="http://schemas.openxmlformats.org/officeDocument/2006/relationships/hyperlink" Target="https://open-archaeo.info/post/cuneipainter/" TargetMode="External" Id="rId68" /><Relationship Type="http://schemas.openxmlformats.org/officeDocument/2006/relationships/hyperlink" Target="https://open-archaeo.info/post/datplot/" TargetMode="External" Id="rId69" /><Relationship Type="http://schemas.openxmlformats.org/officeDocument/2006/relationships/hyperlink" Target="https://open-archaeo.info/post/demjanp/" TargetMode="External" Id="rId70" /><Relationship Type="http://schemas.openxmlformats.org/officeDocument/2006/relationships/hyperlink" Target="https://open-archaeo.info/post/dendronetwork/" TargetMode="External" Id="rId71" /><Relationship Type="http://schemas.openxmlformats.org/officeDocument/2006/relationships/hyperlink" Target="https://open-archaeo.info/post/digss/" TargetMode="External" Id="rId72" /><Relationship Type="http://schemas.openxmlformats.org/officeDocument/2006/relationships/hyperlink" Target="https://open-archaeo.info/post/dimensio/" TargetMode="External" Id="rId73" /><Relationship Type="http://schemas.openxmlformats.org/officeDocument/2006/relationships/hyperlink" Target="https://open-archaeo.info/post/dplr/" TargetMode="External" Id="rId74" /><Relationship Type="http://schemas.openxmlformats.org/officeDocument/2006/relationships/hyperlink" Target="https://open-archaeo.info/post/dronesurveyplanner/" TargetMode="External" Id="rId75" /><Relationship Type="http://schemas.openxmlformats.org/officeDocument/2006/relationships/hyperlink" Target="https://open-archaeo.info/post/ede-interpolation/" TargetMode="External" Id="rId76" /><Relationship Type="http://schemas.openxmlformats.org/officeDocument/2006/relationships/hyperlink" Target="https://open-archaeo.info/post/edm/" TargetMode="External" Id="rId77" /><Relationship Type="http://schemas.openxmlformats.org/officeDocument/2006/relationships/hyperlink" Target="https://open-archaeo.info/post/edmwin/" TargetMode="External" Id="rId78" /><Relationship Type="http://schemas.openxmlformats.org/officeDocument/2006/relationships/hyperlink" Target="https://open-archaeo.info/post/elemsource/" TargetMode="External" Id="rId79" /><Relationship Type="http://schemas.openxmlformats.org/officeDocument/2006/relationships/hyperlink" Target="https://open-archaeo.info/post/em-blender-tools/" TargetMode="External" Id="rId80" /><Relationship Type="http://schemas.openxmlformats.org/officeDocument/2006/relationships/hyperlink" Target="https://open-archaeo.info/post/era/" TargetMode="External" Id="rId81" /><Relationship Type="http://schemas.openxmlformats.org/officeDocument/2006/relationships/hyperlink" Target="https://open-archaeo.info/post/eratosthenes/" TargetMode="External" Id="rId82" /><Relationship Type="http://schemas.openxmlformats.org/officeDocument/2006/relationships/hyperlink" Target="https://open-archaeo.info/post/ethnobotanyr/" TargetMode="External" Id="rId83" /><Relationship Type="http://schemas.openxmlformats.org/officeDocument/2006/relationships/hyperlink" Target="https://open-archaeo.info/post/excavation_data_viewer/" TargetMode="External" Id="rId84" /><Relationship Type="http://schemas.openxmlformats.org/officeDocument/2006/relationships/hyperlink" Target="https://open-archaeo.info/post/explographe/" TargetMode="External" Id="rId85" /><Relationship Type="http://schemas.openxmlformats.org/officeDocument/2006/relationships/hyperlink" Target="https://open-archaeo.info/post/fastmarching/" TargetMode="External" Id="rId86" /><Relationship Type="http://schemas.openxmlformats.org/officeDocument/2006/relationships/hyperlink" Target="https://open-archaeo.info/post/fellingdater/" TargetMode="External" Id="rId87" /><Relationship Type="http://schemas.openxmlformats.org/officeDocument/2006/relationships/hyperlink" Target="https://open-archaeo.info/post/field-photographs/" TargetMode="External" Id="rId88" /><Relationship Type="http://schemas.openxmlformats.org/officeDocument/2006/relationships/hyperlink" Target="https://open-archaeo.info/post/fieldwalkr/" TargetMode="External" Id="rId89" /><Relationship Type="http://schemas.openxmlformats.org/officeDocument/2006/relationships/hyperlink" Target="https://open-archaeo.info/post/fuzzyviewshed/" TargetMode="External" Id="rId90" /><Relationship Type="http://schemas.openxmlformats.org/officeDocument/2006/relationships/hyperlink" Target="https://open-archaeo.info/post/gamma/" TargetMode="External" Id="rId91" /><Relationship Type="http://schemas.openxmlformats.org/officeDocument/2006/relationships/hyperlink" Target="https://open-archaeo.info/post/geocore/" TargetMode="External" Id="rId92" /><Relationship Type="http://schemas.openxmlformats.org/officeDocument/2006/relationships/hyperlink" Target="https://open-archaeo.info/post/gmamisc/" TargetMode="External" Id="rId93" /><Relationship Type="http://schemas.openxmlformats.org/officeDocument/2006/relationships/hyperlink" Target="https://open-archaeo.info/post/harris-matrix/" TargetMode="External" Id="rId94" /><Relationship Type="http://schemas.openxmlformats.org/officeDocument/2006/relationships/hyperlink" Target="https://open-archaeo.info/post/harris-matrix-legacy/" TargetMode="External" Id="rId95" /><Relationship Type="http://schemas.openxmlformats.org/officeDocument/2006/relationships/hyperlink" Target="https://open-archaeo.info/post/harris2graph/" TargetMode="External" Id="rId96" /><Relationship Type="http://schemas.openxmlformats.org/officeDocument/2006/relationships/hyperlink" Target="https://open-archaeo.info/post/humanos/" TargetMode="External" Id="rId97" /><Relationship Type="http://schemas.openxmlformats.org/officeDocument/2006/relationships/hyperlink" Target="https://open-archaeo.info/post/iconr/" TargetMode="External" Id="rId98" /><Relationship Type="http://schemas.openxmlformats.org/officeDocument/2006/relationships/hyperlink" Target="https://open-archaeo.info/post/idaifieldr/" TargetMode="External" Id="rId99" /><Relationship Type="http://schemas.openxmlformats.org/officeDocument/2006/relationships/hyperlink" Target="https://open-archaeo.info/post/intcal/" TargetMode="External" Id="rId100" /><Relationship Type="http://schemas.openxmlformats.org/officeDocument/2006/relationships/hyperlink" Target="https://open-archaeo.info/post/iraq_mortar/" TargetMode="External" Id="rId101" /><Relationship Type="http://schemas.openxmlformats.org/officeDocument/2006/relationships/hyperlink" Target="https://open-archaeo.info/post/isopleuros/" TargetMode="External" Id="rId102" /><Relationship Type="http://schemas.openxmlformats.org/officeDocument/2006/relationships/hyperlink" Target="https://open-archaeo.info/post/ithaca/" TargetMode="External" Id="rId103" /><Relationship Type="http://schemas.openxmlformats.org/officeDocument/2006/relationships/hyperlink" Target="https://open-archaeo.info/post/joint-disease-tool/" TargetMode="External" Id="rId104" /><Relationship Type="http://schemas.openxmlformats.org/officeDocument/2006/relationships/hyperlink" Target="https://open-archaeo.info/post/kairos/" TargetMode="External" Id="rId105" /><Relationship Type="http://schemas.openxmlformats.org/officeDocument/2006/relationships/hyperlink" Target="https://open-archaeo.info/post/khroma/" TargetMode="External" Id="rId106" /><Relationship Type="http://schemas.openxmlformats.org/officeDocument/2006/relationships/hyperlink" Target="https://open-archaeo.info/post/kotyle/" TargetMode="External" Id="rId107" /><Relationship Type="http://schemas.openxmlformats.org/officeDocument/2006/relationships/hyperlink" Target="https://open-archaeo.info/post/lakhesis/" TargetMode="External" Id="rId108" /><Relationship Type="http://schemas.openxmlformats.org/officeDocument/2006/relationships/hyperlink" Target="https://open-archaeo.info/post/le-stratifiant/" TargetMode="External" Id="rId109" /><Relationship Type="http://schemas.openxmlformats.org/officeDocument/2006/relationships/hyperlink" Target="https://open-archaeo.info/post/leastcostpath/" TargetMode="External" Id="rId110" /><Relationship Type="http://schemas.openxmlformats.org/officeDocument/2006/relationships/hyperlink" Target="https://open-archaeo.info/post/lecaar/" TargetMode="External" Id="rId111" /><Relationship Type="http://schemas.openxmlformats.org/officeDocument/2006/relationships/hyperlink" Target="https://open-archaeo.info/post/lithics3d/" TargetMode="External" Id="rId112" /><Relationship Type="http://schemas.openxmlformats.org/officeDocument/2006/relationships/hyperlink" Target="https://open-archaeo.info/post/luminescence/" TargetMode="External" Id="rId113" /><Relationship Type="http://schemas.openxmlformats.org/officeDocument/2006/relationships/hyperlink" Target="https://open-archaeo.info/post/lumreader/" TargetMode="External" Id="rId114" /><Relationship Type="http://schemas.openxmlformats.org/officeDocument/2006/relationships/hyperlink" Target="https://open-archaeo.info/post/mafa/" TargetMode="External" Id="rId115" /><Relationship Type="http://schemas.openxmlformats.org/officeDocument/2006/relationships/hyperlink" Target="https://open-archaeo.info/post/magaar/" TargetMode="External" Id="rId116" /><Relationship Type="http://schemas.openxmlformats.org/officeDocument/2006/relationships/hyperlink" Target="https://open-archaeo.info/post/mask-uav/" TargetMode="External" Id="rId117" /><Relationship Type="http://schemas.openxmlformats.org/officeDocument/2006/relationships/hyperlink" Target="https://open-archaeo.info/post/mobest/" TargetMode="External" Id="rId118" /><Relationship Type="http://schemas.openxmlformats.org/officeDocument/2006/relationships/hyperlink" Target="https://open-archaeo.info/post/modulaar/" TargetMode="External" Id="rId119" /><Relationship Type="http://schemas.openxmlformats.org/officeDocument/2006/relationships/hyperlink" Target="https://open-archaeo.info/post/morphalr/" TargetMode="External" Id="rId120" /><Relationship Type="http://schemas.openxmlformats.org/officeDocument/2006/relationships/hyperlink" Target="https://open-archaeo.info/post/morphotype/" TargetMode="External" Id="rId121" /><Relationship Type="http://schemas.openxmlformats.org/officeDocument/2006/relationships/hyperlink" Target="https://open-archaeo.info/post/morphotypeshiny/" TargetMode="External" Id="rId122" /><Relationship Type="http://schemas.openxmlformats.org/officeDocument/2006/relationships/hyperlink" Target="https://open-archaeo.info/post/mortaar/" TargetMode="External" Id="rId123" /><Relationship Type="http://schemas.openxmlformats.org/officeDocument/2006/relationships/hyperlink" Target="https://open-archaeo.info/post/mtreering/" TargetMode="External" Id="rId124" /><Relationship Type="http://schemas.openxmlformats.org/officeDocument/2006/relationships/hyperlink" Target="https://open-archaeo.info/post/munsell/" TargetMode="External" Id="rId125" /><Relationship Type="http://schemas.openxmlformats.org/officeDocument/2006/relationships/hyperlink" Target="https://open-archaeo.info/post/murature/" TargetMode="External" Id="rId126" /><Relationship Type="http://schemas.openxmlformats.org/officeDocument/2006/relationships/hyperlink" Target="https://open-archaeo.info/post/nearpresence/" TargetMode="External" Id="rId127" /><Relationship Type="http://schemas.openxmlformats.org/officeDocument/2006/relationships/hyperlink" Target="https://open-archaeo.info/post/neonet/" TargetMode="External" Id="rId128" /><Relationship Type="http://schemas.openxmlformats.org/officeDocument/2006/relationships/hyperlink" Target="https://open-archaeo.info/post/neotoma/" TargetMode="External" Id="rId129" /><Relationship Type="http://schemas.openxmlformats.org/officeDocument/2006/relationships/hyperlink" Target="https://open-archaeo.info/post/nexus/" TargetMode="External" Id="rId130" /><Relationship Type="http://schemas.openxmlformats.org/officeDocument/2006/relationships/hyperlink" Target="https://open-archaeo.info/post/nimblecarbon/" TargetMode="External" Id="rId131" /><Relationship Type="http://schemas.openxmlformats.org/officeDocument/2006/relationships/hyperlink" Target="https://open-archaeo.info/post/odk-forms-archaeology/" TargetMode="External" Id="rId132" /><Relationship Type="http://schemas.openxmlformats.org/officeDocument/2006/relationships/hyperlink" Target="https://open-archaeo.info/post/odkarchforms/" TargetMode="External" Id="rId133" /><Relationship Type="http://schemas.openxmlformats.org/officeDocument/2006/relationships/hyperlink" Target="https://open-archaeo.info/post/opencontext/" TargetMode="External" Id="rId134" /><Relationship Type="http://schemas.openxmlformats.org/officeDocument/2006/relationships/hyperlink" Target="https://open-archaeo.info/post/openlidartoolbox/" TargetMode="External" Id="rId135" /><Relationship Type="http://schemas.openxmlformats.org/officeDocument/2006/relationships/hyperlink" Target="https://open-archaeo.info/post/osteogis/" TargetMode="External" Id="rId136" /><Relationship Type="http://schemas.openxmlformats.org/officeDocument/2006/relationships/hyperlink" Target="https://open-archaeo.info/post/outliner/" TargetMode="External" Id="rId137" /><Relationship Type="http://schemas.openxmlformats.org/officeDocument/2006/relationships/hyperlink" Target="https://open-archaeo.info/post/outliner/" TargetMode="External" Id="rId138" /><Relationship Type="http://schemas.openxmlformats.org/officeDocument/2006/relationships/hyperlink" Target="https://open-archaeo.info/post/oxcaar/" TargetMode="External" Id="rId139" /><Relationship Type="http://schemas.openxmlformats.org/officeDocument/2006/relationships/hyperlink" Target="https://open-archaeo.info/post/p3k14c-data-scrubbing/" TargetMode="External" Id="rId140" /><Relationship Type="http://schemas.openxmlformats.org/officeDocument/2006/relationships/hyperlink" Target="https://open-archaeo.info/post/paleocar/" TargetMode="External" Id="rId141" /><Relationship Type="http://schemas.openxmlformats.org/officeDocument/2006/relationships/hyperlink" Target="https://open-archaeo.info/post/paleocorer/" TargetMode="External" Id="rId142" /><Relationship Type="http://schemas.openxmlformats.org/officeDocument/2006/relationships/hyperlink" Target="https://open-archaeo.info/post/paleofire/" TargetMode="External" Id="rId143" /><Relationship Type="http://schemas.openxmlformats.org/officeDocument/2006/relationships/hyperlink" Target="https://open-archaeo.info/post/paleoxrf/" TargetMode="External" Id="rId144" /><Relationship Type="http://schemas.openxmlformats.org/officeDocument/2006/relationships/hyperlink" Target="https://open-archaeo.info/post/pastclim/" TargetMode="External" Id="rId145" /><Relationship Type="http://schemas.openxmlformats.org/officeDocument/2006/relationships/hyperlink" Target="https://open-archaeo.info/post/pathaar/" TargetMode="External" Id="rId146" /><Relationship Type="http://schemas.openxmlformats.org/officeDocument/2006/relationships/hyperlink" Target="https://open-archaeo.info/post/piwigo-3dhop/" TargetMode="External" Id="rId147" /><Relationship Type="http://schemas.openxmlformats.org/officeDocument/2006/relationships/hyperlink" Target="https://open-archaeo.info/post/pleistodist/" TargetMode="External" Id="rId148" /><Relationship Type="http://schemas.openxmlformats.org/officeDocument/2006/relationships/hyperlink" Target="https://open-archaeo.info/post/pleistodistr/" TargetMode="External" Id="rId149" /><Relationship Type="http://schemas.openxmlformats.org/officeDocument/2006/relationships/hyperlink" Target="https://open-archaeo.info/post/pollencount/" TargetMode="External" Id="rId150" /><Relationship Type="http://schemas.openxmlformats.org/officeDocument/2006/relationships/hyperlink" Target="https://open-archaeo.info/post/postaar/" TargetMode="External" Id="rId151" /><Relationship Type="http://schemas.openxmlformats.org/officeDocument/2006/relationships/hyperlink" Target="https://open-archaeo.info/post/postaar-python/" TargetMode="External" Id="rId152" /><Relationship Type="http://schemas.openxmlformats.org/officeDocument/2006/relationships/hyperlink" Target="https://open-archaeo.info/post/predictsource/" TargetMode="External" Id="rId153" /><Relationship Type="http://schemas.openxmlformats.org/officeDocument/2006/relationships/hyperlink" Target="https://open-archaeo.info/post/profileaar/" TargetMode="External" Id="rId154" /><Relationship Type="http://schemas.openxmlformats.org/officeDocument/2006/relationships/hyperlink" Target="https://open-archaeo.info/post/pxrf/" TargetMode="External" Id="rId155" /><Relationship Type="http://schemas.openxmlformats.org/officeDocument/2006/relationships/hyperlink" Target="https://open-archaeo.info/post/pyarchinit/" TargetMode="External" Id="rId156" /><Relationship Type="http://schemas.openxmlformats.org/officeDocument/2006/relationships/hyperlink" Target="https://open-archaeo.info/post/pygeoroc/" TargetMode="External" Id="rId157" /><Relationship Type="http://schemas.openxmlformats.org/officeDocument/2006/relationships/hyperlink" Target="https://open-archaeo.info/post/pypofatu/" TargetMode="External" Id="rId158" /><Relationship Type="http://schemas.openxmlformats.org/officeDocument/2006/relationships/hyperlink" Target="https://open-archaeo.info/post/qgis-scripts/" TargetMode="External" Id="rId159" /><Relationship Type="http://schemas.openxmlformats.org/officeDocument/2006/relationships/hyperlink" Target="https://open-archaeo.info/post/qgis-topographic-networks/" TargetMode="External" Id="rId160" /><Relationship Type="http://schemas.openxmlformats.org/officeDocument/2006/relationships/hyperlink" Target="https://open-archaeo.info/post/qgis-visibility-analysis/" TargetMode="External" Id="rId161" /><Relationship Type="http://schemas.openxmlformats.org/officeDocument/2006/relationships/hyperlink" Target="https://open-archaeo.info/post/quantaar/" TargetMode="External" Id="rId162" /><Relationship Type="http://schemas.openxmlformats.org/officeDocument/2006/relationships/hyperlink" Target="https://open-archaeo.info/post/quantatools/" TargetMode="External" Id="rId163" /><Relationship Type="http://schemas.openxmlformats.org/officeDocument/2006/relationships/hyperlink" Target="https://open-archaeo.info/post/rbacon/" TargetMode="External" Id="rId164" /><Relationship Type="http://schemas.openxmlformats.org/officeDocument/2006/relationships/hyperlink" Target="https://open-archaeo.info/post/rcarb/" TargetMode="External" Id="rId165" /><Relationship Type="http://schemas.openxmlformats.org/officeDocument/2006/relationships/hyperlink" Target="https://open-archaeo.info/post/rcarbon/" TargetMode="External" Id="rId166" /><Relationship Type="http://schemas.openxmlformats.org/officeDocument/2006/relationships/hyperlink" Target="https://open-archaeo.info/post/rdss/" TargetMode="External" Id="rId167" /><Relationship Type="http://schemas.openxmlformats.org/officeDocument/2006/relationships/hyperlink" Target="https://open-archaeo.info/post/recexcavaar/" TargetMode="External" Id="rId168" /><Relationship Type="http://schemas.openxmlformats.org/officeDocument/2006/relationships/hyperlink" Target="https://open-archaeo.info/post/recmod/" TargetMode="External" Id="rId169" /><Relationship Type="http://schemas.openxmlformats.org/officeDocument/2006/relationships/hyperlink" Target="https://open-archaeo.info/post/rgpr/" TargetMode="External" Id="rId170" /><Relationship Type="http://schemas.openxmlformats.org/officeDocument/2006/relationships/hyperlink" Target="https://open-archaeo.info/post/rintchron/" TargetMode="External" Id="rId171" /><Relationship Type="http://schemas.openxmlformats.org/officeDocument/2006/relationships/hyperlink" Target="https://open-archaeo.info/post/rjradiocarbon/" TargetMode="External" Id="rId172" /><Relationship Type="http://schemas.openxmlformats.org/officeDocument/2006/relationships/hyperlink" Target="https://open-archaeo.info/post/rlummodel/" TargetMode="External" Id="rId173" /><Relationship Type="http://schemas.openxmlformats.org/officeDocument/2006/relationships/hyperlink" Target="https://open-archaeo.info/post/rock-art-radnet/" TargetMode="External" Id="rId174" /><Relationship Type="http://schemas.openxmlformats.org/officeDocument/2006/relationships/hyperlink" Target="https://open-archaeo.info/post/rock-art-ratopoviz/" TargetMode="External" Id="rId175" /><Relationship Type="http://schemas.openxmlformats.org/officeDocument/2006/relationships/hyperlink" Target="https://open-archaeo.info/post/rock-art-transfer-learning/" TargetMode="External" Id="rId176" /><Relationship Type="http://schemas.openxmlformats.org/officeDocument/2006/relationships/hyperlink" Target="https://open-archaeo.info/post/rockart-textanalysis/" TargetMode="External" Id="rId177" /><Relationship Type="http://schemas.openxmlformats.org/officeDocument/2006/relationships/hyperlink" Target="https://open-archaeo.info/post/roev/" TargetMode="External" Id="rId178" /><Relationship Type="http://schemas.openxmlformats.org/officeDocument/2006/relationships/hyperlink" Target="https://open-archaeo.info/post/rpaleoclim/" TargetMode="External" Id="rId179" /><Relationship Type="http://schemas.openxmlformats.org/officeDocument/2006/relationships/hyperlink" Target="https://open-archaeo.info/post/rtefact/" TargetMode="External" Id="rId180" /><Relationship Type="http://schemas.openxmlformats.org/officeDocument/2006/relationships/hyperlink" Target="https://open-archaeo.info/post/ruby-radiocarbon/" TargetMode="External" Id="rId181" /><Relationship Type="http://schemas.openxmlformats.org/officeDocument/2006/relationships/hyperlink" Target="https://open-archaeo.info/post/rxylib/" TargetMode="External" Id="rId182" /><Relationship Type="http://schemas.openxmlformats.org/officeDocument/2006/relationships/hyperlink" Target="https://open-archaeo.info/post/scem/" TargetMode="External" Id="rId183" /><Relationship Type="http://schemas.openxmlformats.org/officeDocument/2006/relationships/hyperlink" Target="https://open-archaeo.info/post/sdsanalysis/" TargetMode="External" Id="rId184" /><Relationship Type="http://schemas.openxmlformats.org/officeDocument/2006/relationships/hyperlink" Target="https://open-archaeo.info/post/seahors/" TargetMode="External" Id="rId185" /><Relationship Type="http://schemas.openxmlformats.org/officeDocument/2006/relationships/hyperlink" Target="https://open-archaeo.info/post/senscape/" TargetMode="External" Id="rId186" /><Relationship Type="http://schemas.openxmlformats.org/officeDocument/2006/relationships/hyperlink" Target="https://open-archaeo.info/post/seriation/" TargetMode="External" Id="rId187" /><Relationship Type="http://schemas.openxmlformats.org/officeDocument/2006/relationships/hyperlink" Target="https://open-archaeo.info/post/seriation-1/" TargetMode="External" Id="rId188" /><Relationship Type="http://schemas.openxmlformats.org/officeDocument/2006/relationships/hyperlink" Target="https://open-archaeo.info/post/seriographe-eppm/" TargetMode="External" Id="rId189" /><Relationship Type="http://schemas.openxmlformats.org/officeDocument/2006/relationships/hyperlink" Target="https://open-archaeo.info/post/sexest/" TargetMode="External" Id="rId190" /><Relationship Type="http://schemas.openxmlformats.org/officeDocument/2006/relationships/hyperlink" Target="https://open-archaeo.info/post/shapaar/" TargetMode="External" Id="rId191" /><Relationship Type="http://schemas.openxmlformats.org/officeDocument/2006/relationships/hyperlink" Target="https://open-archaeo.info/post/shkrdata/" TargetMode="External" Id="rId192" /><Relationship Type="http://schemas.openxmlformats.org/officeDocument/2006/relationships/hyperlink" Target="https://open-archaeo.info/post/shoredate/" TargetMode="External" Id="rId193" /><Relationship Type="http://schemas.openxmlformats.org/officeDocument/2006/relationships/hyperlink" Target="https://open-archaeo.info/post/signboardr/" TargetMode="External" Id="rId194" /><Relationship Type="http://schemas.openxmlformats.org/officeDocument/2006/relationships/hyperlink" Target="https://open-archaeo.info/post/sindwem/" TargetMode="External" Id="rId195" /><Relationship Type="http://schemas.openxmlformats.org/officeDocument/2006/relationships/hyperlink" Target="https://open-archaeo.info/post/sitedefinition/" TargetMode="External" Id="rId196" /><Relationship Type="http://schemas.openxmlformats.org/officeDocument/2006/relationships/hyperlink" Target="https://open-archaeo.info/post/sitesyncro/" TargetMode="External" Id="rId197" /><Relationship Type="http://schemas.openxmlformats.org/officeDocument/2006/relationships/hyperlink" Target="https://open-archaeo.info/post/skyscaper/" TargetMode="External" Id="rId198" /><Relationship Type="http://schemas.openxmlformats.org/officeDocument/2006/relationships/hyperlink" Target="https://open-archaeo.info/post/soiltexture/" TargetMode="External" Id="rId199" /><Relationship Type="http://schemas.openxmlformats.org/officeDocument/2006/relationships/hyperlink" Target="https://open-archaeo.info/post/sparch/" TargetMode="External" Id="rId200" /><Relationship Type="http://schemas.openxmlformats.org/officeDocument/2006/relationships/hyperlink" Target="https://open-archaeo.info/post/spartaas/" TargetMode="External" Id="rId201" /><Relationship Type="http://schemas.openxmlformats.org/officeDocument/2006/relationships/hyperlink" Target="https://open-archaeo.info/post/spdates/" TargetMode="External" Id="rId202" /><Relationship Type="http://schemas.openxmlformats.org/officeDocument/2006/relationships/hyperlink" Target="https://open-archaeo.info/post/statuaar/" TargetMode="External" Id="rId203" /><Relationship Type="http://schemas.openxmlformats.org/officeDocument/2006/relationships/hyperlink" Target="https://open-archaeo.info/post/stratigraphr/" TargetMode="External" Id="rId204" /><Relationship Type="http://schemas.openxmlformats.org/officeDocument/2006/relationships/hyperlink" Target="https://open-archaeo.info/post/surveyer/" TargetMode="External" Id="rId205" /><Relationship Type="http://schemas.openxmlformats.org/officeDocument/2006/relationships/hyperlink" Target="https://open-archaeo.info/post/tabula/" TargetMode="External" Id="rId206" /><Relationship Type="http://schemas.openxmlformats.org/officeDocument/2006/relationships/hyperlink" Target="https://open-archaeo.info/post/tachy2gis-arch/" TargetMode="External" Id="rId207" /><Relationship Type="http://schemas.openxmlformats.org/officeDocument/2006/relationships/hyperlink" Target="https://open-archaeo.info/post/tdar/" TargetMode="External" Id="rId208" /><Relationship Type="http://schemas.openxmlformats.org/officeDocument/2006/relationships/hyperlink" Target="https://open-archaeo.info/post/teethr/" TargetMode="External" Id="rId209" /><Relationship Type="http://schemas.openxmlformats.org/officeDocument/2006/relationships/hyperlink" Target="https://open-archaeo.info/post/tfqar/" TargetMode="External" Id="rId210" /><Relationship Type="http://schemas.openxmlformats.org/officeDocument/2006/relationships/hyperlink" Target="https://open-archaeo.info/post/the-southwestern-taphonomic-protocol/" TargetMode="External" Id="rId211" /><Relationship Type="http://schemas.openxmlformats.org/officeDocument/2006/relationships/hyperlink" Target="https://open-archaeo.info/post/tidypaleo/" TargetMode="External" Id="rId212" /><Relationship Type="http://schemas.openxmlformats.org/officeDocument/2006/relationships/hyperlink" Target="https://open-archaeo.info/post/tipom/" TargetMode="External" Id="rId213" /><Relationship Type="http://schemas.openxmlformats.org/officeDocument/2006/relationships/hyperlink" Target="https://open-archaeo.info/post/tldating/" TargetMode="External" Id="rId214" /><Relationship Type="http://schemas.openxmlformats.org/officeDocument/2006/relationships/hyperlink" Target="https://open-archaeo.info/post/totalopenstationtoqgis/" TargetMode="External" Id="rId215" /><Relationship Type="http://schemas.openxmlformats.org/officeDocument/2006/relationships/hyperlink" Target="https://open-archaeo.info/post/totalstation-tools/" TargetMode="External" Id="rId216" /><Relationship Type="http://schemas.openxmlformats.org/officeDocument/2006/relationships/hyperlink" Target="https://open-archaeo.info/post/tpq-composer/" TargetMode="External" Id="rId217" /><Relationship Type="http://schemas.openxmlformats.org/officeDocument/2006/relationships/hyperlink" Target="https://open-archaeo.info/post/transit/" TargetMode="External" Id="rId218" /><Relationship Type="http://schemas.openxmlformats.org/officeDocument/2006/relationships/hyperlink" Target="https://open-archaeo.info/post/transmissionbias/" TargetMode="External" Id="rId219" /><Relationship Type="http://schemas.openxmlformats.org/officeDocument/2006/relationships/hyperlink" Target="https://open-archaeo.info/post/trenchdrawer/" TargetMode="External" Id="rId220" /><Relationship Type="http://schemas.openxmlformats.org/officeDocument/2006/relationships/hyperlink" Target="https://open-archaeo.info/post/uniformprobabilitydensityanalysis/" TargetMode="External" Id="rId221" /><Relationship Type="http://schemas.openxmlformats.org/officeDocument/2006/relationships/hyperlink" Target="https://open-archaeo.info/post/unstruwwel/" TargetMode="External" Id="rId222" /><Relationship Type="http://schemas.openxmlformats.org/officeDocument/2006/relationships/hyperlink" Target="https://open-archaeo.info/post/uthwigl/" TargetMode="External" Id="rId223" /><Relationship Type="http://schemas.openxmlformats.org/officeDocument/2006/relationships/hyperlink" Target="https://open-archaeo.info/post/web_geochemistry/" TargetMode="External" Id="rId224" /><Relationship Type="http://schemas.openxmlformats.org/officeDocument/2006/relationships/hyperlink" Target="https://open-archaeo.info/post/weedeco/" TargetMode="External" Id="rId225" /><Relationship Type="http://schemas.openxmlformats.org/officeDocument/2006/relationships/hyperlink" Target="https://open-archaeo.info/post/xdater/" TargetMode="External" Id="rId226" /><Relationship Type="http://schemas.openxmlformats.org/officeDocument/2006/relationships/hyperlink" Target="https://open-archaeo.info/post/xrf/" TargetMode="External" Id="rId227" /><Relationship Type="http://schemas.openxmlformats.org/officeDocument/2006/relationships/hyperlink" Target="https://open-archaeo.info/post/xronos-r/" TargetMode="External" Id="rId228" /><Relationship Type="http://schemas.openxmlformats.org/officeDocument/2006/relationships/hyperlink" Target="https://open-archaeo.info/post/yada/" TargetMode="External" Id="rId229" /><Relationship Type="http://schemas.openxmlformats.org/officeDocument/2006/relationships/hyperlink" Target="https://open-archaeo.info/post/zooarch/" TargetMode="External" Id="rId230" /><Relationship Type="http://schemas.openxmlformats.org/officeDocument/2006/relationships/hyperlink" Target="https://open-archaeo.info/post/zooarchgui/" TargetMode="External" Id="rId231" /><Relationship Type="http://schemas.openxmlformats.org/officeDocument/2006/relationships/hyperlink" Target="https://open-archaeo.info/post/zooarchmixmod/" TargetMode="External" Id="rId232" /><Relationship Type="http://schemas.openxmlformats.org/officeDocument/2006/relationships/hyperlink" Target="https://open-archaeo.info/post/zoolog/" TargetMode="External" Id="rId233" /><Relationship Type="http://schemas.openxmlformats.org/officeDocument/2006/relationships/hyperlink" Target="https://open-archaeo.info/post/3d-spatial-ripley-analyses/" TargetMode="External" Id="rId234" /><Relationship Type="http://schemas.openxmlformats.org/officeDocument/2006/relationships/hyperlink" Target="https://open-archaeo.info/post/3d-organ/" TargetMode="External" Id="rId235" /><Relationship Type="http://schemas.openxmlformats.org/officeDocument/2006/relationships/hyperlink" Target="https://open-archaeo.info/post/al2o3-analysisapp/" TargetMode="External" Id="rId236" /><Relationship Type="http://schemas.openxmlformats.org/officeDocument/2006/relationships/hyperlink" Target="https://open-archaeo.info/post/anthrofun/" TargetMode="External" Id="rId237" /><Relationship Type="http://schemas.openxmlformats.org/officeDocument/2006/relationships/hyperlink" Target="https://open-archaeo.info/post/archaeological-catalogue-from-csv-spreadsheet/" TargetMode="External" Id="rId238" /><Relationship Type="http://schemas.openxmlformats.org/officeDocument/2006/relationships/hyperlink" Target="https://open-archaeo.info/post/arqub/" TargetMode="External" Id="rId239" /><Relationship Type="http://schemas.openxmlformats.org/officeDocument/2006/relationships/hyperlink" Target="https://open-archaeo.info/post/artefact-morpho-r/" TargetMode="External" Id="rId240" /><Relationship Type="http://schemas.openxmlformats.org/officeDocument/2006/relationships/hyperlink" Target="https://open-archaeo.info/post/artifact-class-diversity/" TargetMode="External" Id="rId241" /><Relationship Type="http://schemas.openxmlformats.org/officeDocument/2006/relationships/hyperlink" Target="https://open-archaeo.info/post/basicmapping/" TargetMode="External" Id="rId242" /><Relationship Type="http://schemas.openxmlformats.org/officeDocument/2006/relationships/hyperlink" Target="https://open-archaeo.info/post/benmarwickdy-xyz-data-on-an-irregular-grid-to-an-interpolated-raster-r/" TargetMode="External" Id="rId243" /><Relationship Type="http://schemas.openxmlformats.org/officeDocument/2006/relationships/hyperlink" Target="https://open-archaeo.info/post/benmarwickopencontext-r/" TargetMode="External" Id="rId244" /><Relationship Type="http://schemas.openxmlformats.org/officeDocument/2006/relationships/hyperlink" Target="https://open-archaeo.info/post/binomial-co-occurrence-assessment/" TargetMode="External" Id="rId245" /><Relationship Type="http://schemas.openxmlformats.org/officeDocument/2006/relationships/hyperlink" Target="https://open-archaeo.info/post/bootstrap-correspondence-analysis/" TargetMode="External" Id="rId246" /><Relationship Type="http://schemas.openxmlformats.org/officeDocument/2006/relationships/hyperlink" Target="https://open-archaeo.info/post/brainerd-robinson-similarity-coefficient-and-sampling-error-assessment/" TargetMode="External" Id="rId247" /><Relationship Type="http://schemas.openxmlformats.org/officeDocument/2006/relationships/hyperlink" Target="https://open-archaeo.info/post/c14-date-extractor/" TargetMode="External" Id="rId248" /><Relationship Type="http://schemas.openxmlformats.org/officeDocument/2006/relationships/hyperlink" Target="https://open-archaeo.info/post/ca/" TargetMode="External" Id="rId249" /><Relationship Type="http://schemas.openxmlformats.org/officeDocument/2006/relationships/hyperlink" Target="https://open-archaeo.info/post/ceramic-computation/" TargetMode="External" Id="rId250" /><Relationship Type="http://schemas.openxmlformats.org/officeDocument/2006/relationships/hyperlink" Target="https://open-archaeo.info/post/ceramic-frequency-date-plot/" TargetMode="External" Id="rId251" /><Relationship Type="http://schemas.openxmlformats.org/officeDocument/2006/relationships/hyperlink" Target="https://open-archaeo.info/post/ceramicapportioning/" TargetMode="External" Id="rId252" /><Relationship Type="http://schemas.openxmlformats.org/officeDocument/2006/relationships/hyperlink" Target="https://open-archaeo.info/post/cloudcal/" TargetMode="External" Id="rId253" /><Relationship Type="http://schemas.openxmlformats.org/officeDocument/2006/relationships/hyperlink" Target="https://open-archaeo.info/post/cranial-sex-estimation-code/" TargetMode="External" Id="rId254" /><Relationship Type="http://schemas.openxmlformats.org/officeDocument/2006/relationships/hyperlink" Target="https://open-archaeo.info/post/csgr/" TargetMode="External" Id="rId255" /><Relationship Type="http://schemas.openxmlformats.org/officeDocument/2006/relationships/hyperlink" Target="https://open-archaeo.info/post/dacord/" TargetMode="External" Id="rId256" /><Relationship Type="http://schemas.openxmlformats.org/officeDocument/2006/relationships/hyperlink" Target="https://open-archaeo.info/post/elementsourcing/" TargetMode="External" Id="rId257" /><Relationship Type="http://schemas.openxmlformats.org/officeDocument/2006/relationships/hyperlink" Target="https://open-archaeo.info/post/expotime/" TargetMode="External" Id="rId258" /><Relationship Type="http://schemas.openxmlformats.org/officeDocument/2006/relationships/hyperlink" Target="https://open-archaeo.info/post/fabryka/" TargetMode="External" Id="rId259" /><Relationship Type="http://schemas.openxmlformats.org/officeDocument/2006/relationships/hyperlink" Target="https://open-archaeo.info/post/fix-exif-artist/" TargetMode="External" Id="rId260" /><Relationship Type="http://schemas.openxmlformats.org/officeDocument/2006/relationships/hyperlink" Target="https://open-archaeo.info/post/ford-diagram/" TargetMode="External" Id="rId261" /><Relationship Type="http://schemas.openxmlformats.org/officeDocument/2006/relationships/hyperlink" Target="https://open-archaeo.info/post/geostat/" TargetMode="External" Id="rId262" /><Relationship Type="http://schemas.openxmlformats.org/officeDocument/2006/relationships/hyperlink" Target="https://open-archaeo.info/post/kidstats/" TargetMode="External" Id="rId263" /><Relationship Type="http://schemas.openxmlformats.org/officeDocument/2006/relationships/hyperlink" Target="https://open-archaeo.info/post/kmeans/" TargetMode="External" Id="rId264" /><Relationship Type="http://schemas.openxmlformats.org/officeDocument/2006/relationships/hyperlink" Target="https://open-archaeo.info/post/kriging/" TargetMode="External" Id="rId265" /><Relationship Type="http://schemas.openxmlformats.org/officeDocument/2006/relationships/hyperlink" Target="https://open-archaeo.info/post/la_icp_ms-routines_fmnh/" TargetMode="External" Id="rId266" /><Relationship Type="http://schemas.openxmlformats.org/officeDocument/2006/relationships/hyperlink" Target="https://open-archaeo.info/post/lisa/" TargetMode="External" Id="rId267" /><Relationship Type="http://schemas.openxmlformats.org/officeDocument/2006/relationships/hyperlink" Target="https://open-archaeo.info/post/lithic3dslicer/" TargetMode="External" Id="rId268" /><Relationship Type="http://schemas.openxmlformats.org/officeDocument/2006/relationships/hyperlink" Target="https://open-archaeo.info/post/long-bone-diaphyseal-csg-toolkit/" TargetMode="External" Id="rId269" /><Relationship Type="http://schemas.openxmlformats.org/officeDocument/2006/relationships/hyperlink" Target="https://open-archaeo.info/post/mean-ceramic-date-and-error-estimation/" TargetMode="External" Id="rId270" /><Relationship Type="http://schemas.openxmlformats.org/officeDocument/2006/relationships/hyperlink" Target="https://open-archaeo.info/post/missing/" TargetMode="External" Id="rId271" /><Relationship Type="http://schemas.openxmlformats.org/officeDocument/2006/relationships/hyperlink" Target="https://open-archaeo.info/post/munsell-plot-r/" TargetMode="External" Id="rId272" /><Relationship Type="http://schemas.openxmlformats.org/officeDocument/2006/relationships/hyperlink" Target="https://open-archaeo.info/post/naa-analytical-dashboard/" TargetMode="External" Id="rId273" /><Relationship Type="http://schemas.openxmlformats.org/officeDocument/2006/relationships/hyperlink" Target="https://open-archaeo.info/post/near-presence-analysis/" TargetMode="External" Id="rId274" /><Relationship Type="http://schemas.openxmlformats.org/officeDocument/2006/relationships/hyperlink" Target="https://open-archaeo.info/post/neiman1995/" TargetMode="External" Id="rId275" /><Relationship Type="http://schemas.openxmlformats.org/officeDocument/2006/relationships/hyperlink" Target="https://open-archaeo.info/post/neolithicr/" TargetMode="External" Id="rId276" /><Relationship Type="http://schemas.openxmlformats.org/officeDocument/2006/relationships/hyperlink" Target="https://open-archaeo.info/post/non-metric-trait-analysis/" TargetMode="External" Id="rId277" /><Relationship Type="http://schemas.openxmlformats.org/officeDocument/2006/relationships/hyperlink" Target="https://open-archaeo.info/post/osl_calibration-r/" TargetMode="External" Id="rId278" /><Relationship Type="http://schemas.openxmlformats.org/officeDocument/2006/relationships/hyperlink" Target="https://open-archaeo.info/post/osteometric-sorting/" TargetMode="External" Id="rId279" /><Relationship Type="http://schemas.openxmlformats.org/officeDocument/2006/relationships/hyperlink" Target="https://open-archaeo.info/post/p2pperm/" TargetMode="External" Id="rId280" /><Relationship Type="http://schemas.openxmlformats.org/officeDocument/2006/relationships/hyperlink" Target="https://open-archaeo.info/post/pdf-to-nested-xml/" TargetMode="External" Id="rId281" /><Relationship Type="http://schemas.openxmlformats.org/officeDocument/2006/relationships/hyperlink" Target="https://open-archaeo.info/post/plc/" TargetMode="External" Id="rId282" /><Relationship Type="http://schemas.openxmlformats.org/officeDocument/2006/relationships/hyperlink" Target="https://open-archaeo.info/post/pointpattern/" TargetMode="External" Id="rId283" /><Relationship Type="http://schemas.openxmlformats.org/officeDocument/2006/relationships/hyperlink" Target="https://open-archaeo.info/post/pollen_data_processing/" TargetMode="External" Id="rId284" /><Relationship Type="http://schemas.openxmlformats.org/officeDocument/2006/relationships/hyperlink" Target="https://open-archaeo.info/post/qrcode-storage/" TargetMode="External" Id="rId285" /><Relationship Type="http://schemas.openxmlformats.org/officeDocument/2006/relationships/hyperlink" Target="https://open-archaeo.info/post/quantum-archeo/" TargetMode="External" Id="rId286" /><Relationship Type="http://schemas.openxmlformats.org/officeDocument/2006/relationships/hyperlink" Target="https://open-archaeo.info/post/quari/" TargetMode="External" Id="rId287" /><Relationship Type="http://schemas.openxmlformats.org/officeDocument/2006/relationships/hyperlink" Target="https://open-archaeo.info/post/racord/" TargetMode="External" Id="rId288" /><Relationship Type="http://schemas.openxmlformats.org/officeDocument/2006/relationships/hyperlink" Target="https://open-archaeo.info/post/radiocarbon-scrapers/" TargetMode="External" Id="rId289" /><Relationship Type="http://schemas.openxmlformats.org/officeDocument/2006/relationships/hyperlink" Target="https://open-archaeo.info/post/rti/" TargetMode="External" Id="rId290" /><Relationship Type="http://schemas.openxmlformats.org/officeDocument/2006/relationships/hyperlink" Target="https://open-archaeo.info/post/sdsbrowser/" TargetMode="External" Id="rId291" /><Relationship Type="http://schemas.openxmlformats.org/officeDocument/2006/relationships/hyperlink" Target="https://open-archaeo.info/post/seriation-de-matrice-en-presence-absence/" TargetMode="External" Id="rId292" /><Relationship Type="http://schemas.openxmlformats.org/officeDocument/2006/relationships/hyperlink" Target="https://open-archaeo.info/post/shiny-tldating/" TargetMode="External" Id="rId293" /><Relationship Type="http://schemas.openxmlformats.org/officeDocument/2006/relationships/hyperlink" Target="https://open-archaeo.info/post/skeletal-sex-estimation/" TargetMode="External" Id="rId294" /><Relationship Type="http://schemas.openxmlformats.org/officeDocument/2006/relationships/hyperlink" Target="https://open-archaeo.info/post/skullanalyzer/" TargetMode="External" Id="rId295" /><Relationship Type="http://schemas.openxmlformats.org/officeDocument/2006/relationships/hyperlink" Target="https://open-archaeo.info/post/synthkat/" TargetMode="External" Id="rId296" /><Relationship Type="http://schemas.openxmlformats.org/officeDocument/2006/relationships/hyperlink" Target="https://open-archaeo.info/post/timeperiod2daterange/" TargetMode="External" Id="rId297" /><Relationship Type="http://schemas.openxmlformats.org/officeDocument/2006/relationships/hyperlink" Target="https://open-archaeo.info/post/tosca/" TargetMode="External" Id="rId298" /><Relationship Type="http://schemas.openxmlformats.org/officeDocument/2006/relationships/hyperlink" Target="https://open-archaeo.info/post/trauma/" TargetMode="External" Id="rId299" /><Relationship Type="http://schemas.openxmlformats.org/officeDocument/2006/relationships/hyperlink" Target="https://open-archaeo.info/post/unconstrainedclustering/" TargetMode="External" Id="rId300" /><Relationship Type="http://schemas.openxmlformats.org/officeDocument/2006/relationships/hyperlink" Target="https://open-archaeo.info/post/archaeology_on_wikipedia-r/" TargetMode="External" Id="rId301" /><Relationship Type="http://schemas.openxmlformats.org/officeDocument/2006/relationships/hyperlink" Target="https://open-archaeo.info/post/archaeology-grand-challenges-r/" TargetMode="External" Id="rId302" /><Relationship Type="http://schemas.openxmlformats.org/officeDocument/2006/relationships/hyperlink" Target="https://open-archaeo.info/post/archaeologyadventure/" TargetMode="External" Id="rId303" /><Relationship Type="http://schemas.openxmlformats.org/officeDocument/2006/relationships/hyperlink" Target="https://open-archaeo.info/post/archstopmo/" TargetMode="External" Id="rId304" /><Relationship Type="http://schemas.openxmlformats.org/officeDocument/2006/relationships/hyperlink" Target="https://open-archaeo.info/post/cca/" TargetMode="External" Id="rId305" /><Relationship Type="http://schemas.openxmlformats.org/officeDocument/2006/relationships/hyperlink" Target="https://open-archaeo.info/post/ceramic_dashboard/" TargetMode="External" Id="rId306" /><Relationship Type="http://schemas.openxmlformats.org/officeDocument/2006/relationships/hyperlink" Target="https://open-archaeo.info/post/dayofarchaeology/" TargetMode="External" Id="rId307" /><Relationship Type="http://schemas.openxmlformats.org/officeDocument/2006/relationships/hyperlink" Target="https://open-archaeo.info/post/disastermap/" TargetMode="External" Id="rId308" /><Relationship Type="http://schemas.openxmlformats.org/officeDocument/2006/relationships/hyperlink" Target="https://open-archaeo.info/post/gods-on-the-barge/" TargetMode="External" Id="rId309" /><Relationship Type="http://schemas.openxmlformats.org/officeDocument/2006/relationships/hyperlink" Target="https://open-archaeo.info/post/maacgis/" TargetMode="External" Id="rId310" /><Relationship Type="http://schemas.openxmlformats.org/officeDocument/2006/relationships/hyperlink" Target="https://open-archaeo.info/post/mapofcomputationalarchaeology/" TargetMode="External" Id="rId311" /><Relationship Type="http://schemas.openxmlformats.org/officeDocument/2006/relationships/hyperlink" Target="https://open-archaeo.info/post/racisminarchy/" TargetMode="External" Id="rId312" /><Relationship Type="http://schemas.openxmlformats.org/officeDocument/2006/relationships/hyperlink" Target="https://open-archaeo.info/post/radon/" TargetMode="External" Id="rId313" /><Relationship Type="http://schemas.openxmlformats.org/officeDocument/2006/relationships/hyperlink" Target="https://open-archaeo.info/post/sipontomedievale/" TargetMode="External" Id="rId314" /><Relationship Type="http://schemas.openxmlformats.org/officeDocument/2006/relationships/hyperlink" Target="https://open-archaeo.info/post/tweet-edits-to-archaeology-articles-r/" TargetMode="External" Id="rId315" /></Relationships>
</file>

<file path=xl/worksheets/_rels/sheet5.xml.rels><Relationships xmlns="http://schemas.openxmlformats.org/package/2006/relationships"><Relationship Type="http://schemas.openxmlformats.org/officeDocument/2006/relationships/hyperlink" Target="https://github.com/pete-jacobsson/14C-power-sensitivity" TargetMode="External" Id="rId1" /><Relationship Type="http://schemas.openxmlformats.org/officeDocument/2006/relationships/hyperlink" Target="https://imareculture.eu/downloads/project-tools/3d-libraries-of-ships/" TargetMode="External" Id="rId2" /><Relationship Type="http://schemas.openxmlformats.org/officeDocument/2006/relationships/hyperlink" Target="https://github.com/lschunk/3D_EdgeAngle" TargetMode="External" Id="rId3" /><Relationship Type="http://schemas.openxmlformats.org/officeDocument/2006/relationships/hyperlink" Target="https://github.com/marchaeologist/3d_spatial_ripley_analyses" TargetMode="External" Id="rId4" /><Relationship Type="http://schemas.openxmlformats.org/officeDocument/2006/relationships/hyperlink" Target="https://github.com/sfsheath/3d-ceramics" TargetMode="External" Id="rId5" /><Relationship Type="http://schemas.openxmlformats.org/officeDocument/2006/relationships/hyperlink" Target="https://archive.org/details/github.com-sfsheath-3d-ceramics_-_2014-11-19_20-50-10" TargetMode="External" Id="rId6" /><Relationship Type="http://schemas.openxmlformats.org/officeDocument/2006/relationships/hyperlink" Target="https://github.com/renato145/3D-ORGAN" TargetMode="External" Id="rId7" /><Relationship Type="http://schemas.openxmlformats.org/officeDocument/2006/relationships/hyperlink" Target="https://dl.acm.org/doi/abs/10.1145/3208159.3208173" TargetMode="External" Id="rId8" /><Relationship Type="http://schemas.openxmlformats.org/officeDocument/2006/relationships/hyperlink" Target="https://archive.org/details/github.com-renato145-3D-ORGAN_-_2020-02-20_02-43-58" TargetMode="External" Id="rId9" /><Relationship Type="http://schemas.openxmlformats.org/officeDocument/2006/relationships/hyperlink" Target="https://github.com/zalmoxes-laran/3D-survey-collection" TargetMode="External" Id="rId10" /><Relationship Type="http://schemas.openxmlformats.org/officeDocument/2006/relationships/hyperlink" Target="https://digital.csic.es/handle/10261/223340" TargetMode="External" Id="rId11" /><Relationship Type="http://schemas.openxmlformats.org/officeDocument/2006/relationships/hyperlink" Target="https://doi.org/10.20350/digitalCSIC/12720" TargetMode="External" Id="rId12" /><Relationship Type="http://schemas.openxmlformats.org/officeDocument/2006/relationships/hyperlink" Target="http://isaacullah.github.io/A-mobile-field-data-collection-workflow/" TargetMode="External" Id="rId13" /><Relationship Type="http://schemas.openxmlformats.org/officeDocument/2006/relationships/hyperlink" Target="https://gist.github.com/benmarwick/11204658" TargetMode="External" Id="rId14" /><Relationship Type="http://schemas.openxmlformats.org/officeDocument/2006/relationships/hyperlink" Target="https://archive.org/details/gist.github.com-11204658_-_2018-05-14_19-32-35" TargetMode="External" Id="rId15" /><Relationship Type="http://schemas.openxmlformats.org/officeDocument/2006/relationships/hyperlink" Target="https://ekaroune.github.io/The-Open-Archaeobotanist/abcofarchaeobotanicalopenscience/" TargetMode="External" Id="rId16" /><Relationship Type="http://schemas.openxmlformats.org/officeDocument/2006/relationships/hyperlink" Target="https://github.com/izaromanowska/ABM_tutorials" TargetMode="External" Id="rId17" /><Relationship Type="http://schemas.openxmlformats.org/officeDocument/2006/relationships/hyperlink" Target="https://archive.org/details/github.com-izaromanowska-ABM_tutorials_-_2019-06-21_13-17-40" TargetMode="External" Id="rId18" /><Relationship Type="http://schemas.openxmlformats.org/officeDocument/2006/relationships/hyperlink" Target="https://github.com/SantaFeInstitute/ABMA" TargetMode="External" Id="rId19" /><Relationship Type="http://schemas.openxmlformats.org/officeDocument/2006/relationships/hyperlink" Target="https://github.com/ABMArchaeologists/ABMA_tutorials" TargetMode="External" Id="rId20" /><Relationship Type="http://schemas.openxmlformats.org/officeDocument/2006/relationships/hyperlink" Target="https://abmarchaeologists.github.io/ABMA_website/" TargetMode="External" Id="rId21" /><Relationship Type="http://schemas.openxmlformats.org/officeDocument/2006/relationships/hyperlink" Target="https://github.com/archca/aca_data_collection" TargetMode="External" Id="rId22" /><Relationship Type="http://schemas.openxmlformats.org/officeDocument/2006/relationships/hyperlink" Target="https://archive.org/details/github.com-archca-aca_data_collection_-_2019-08-13_12-25-24" TargetMode="External" Id="rId23" /><Relationship Type="http://schemas.openxmlformats.org/officeDocument/2006/relationships/hyperlink" Target="https://github.com/UCL/ADMUR" TargetMode="External" Id="rId24" /><Relationship Type="http://schemas.openxmlformats.org/officeDocument/2006/relationships/hyperlink" Target="https://royalsocietypublishing.org/doi/10.1098/rstb.2019.0723" TargetMode="External" Id="rId25" /><Relationship Type="http://schemas.openxmlformats.org/officeDocument/2006/relationships/hyperlink" Target="https://archive.org/details/github.com-UCL-ADMUR_-_2021-01-27_11-48-18" TargetMode="External" Id="rId26" /><Relationship Type="http://schemas.openxmlformats.org/officeDocument/2006/relationships/hyperlink" Target="https://github.com/dirkseidensticker/aDRAC" TargetMode="External" Id="rId27" /><Relationship Type="http://schemas.openxmlformats.org/officeDocument/2006/relationships/hyperlink" Target="https://archive.org/details/github.com-dirkseidensticker-aDRAC_-_2021-05-20_10-57-33" TargetMode="External" Id="rId28" /><Relationship Type="http://schemas.openxmlformats.org/officeDocument/2006/relationships/hyperlink" Target="https://github.com/apalmisano82/AIDA" TargetMode="External" Id="rId29" /><Relationship Type="http://schemas.openxmlformats.org/officeDocument/2006/relationships/hyperlink" Target="https://github.com/tesselle/aion" TargetMode="External" Id="rId30" /><Relationship Type="http://schemas.openxmlformats.org/officeDocument/2006/relationships/hyperlink" Target="https://cran.r-project.org/package=aion" TargetMode="External" Id="rId31" /><Relationship Type="http://schemas.openxmlformats.org/officeDocument/2006/relationships/hyperlink" Target="https://packages.tesselle.org/aion/" TargetMode="External" Id="rId32" /><Relationship Type="http://schemas.openxmlformats.org/officeDocument/2006/relationships/hyperlink" Target="https://doi.org/10.21105/joss.06210" TargetMode="External" Id="rId33" /><Relationship Type="http://schemas.openxmlformats.org/officeDocument/2006/relationships/hyperlink" Target="https://github.com/andredebuisne/AIS" TargetMode="External" Id="rId34" /><Relationship Type="http://schemas.openxmlformats.org/officeDocument/2006/relationships/hyperlink" Target="https://archive.org/details/github.com-andredebuisne-AIS_-_2017-12-24_11-44-22" TargetMode="External" Id="rId35" /><Relationship Type="http://schemas.openxmlformats.org/officeDocument/2006/relationships/hyperlink" Target="https://github.com/gaigutherz/Akkademia" TargetMode="External" Id="rId36" /><Relationship Type="http://schemas.openxmlformats.org/officeDocument/2006/relationships/hyperlink" Target="https://github.com/crp2a/Al2O3_AnalysisApp" TargetMode="External" Id="rId37" /><Relationship Type="http://schemas.openxmlformats.org/officeDocument/2006/relationships/hyperlink" Target="https://archive.org/details/github.com-crp2a-Al2O3_AnalysisApp_-_2019-08-16_14-29-35" TargetMode="External" Id="rId38" /><Relationship Type="http://schemas.openxmlformats.org/officeDocument/2006/relationships/hyperlink" Target="https://github.com/tesselle/alkahest" TargetMode="External" Id="rId39" /><Relationship Type="http://schemas.openxmlformats.org/officeDocument/2006/relationships/hyperlink" Target="https://cran.r-project.org/package=alkahest" TargetMode="External" Id="rId40" /><Relationship Type="http://schemas.openxmlformats.org/officeDocument/2006/relationships/hyperlink" Target="https://packages.tesselle.org/alkahest/" TargetMode="External" Id="rId41" /><Relationship Type="http://schemas.openxmlformats.org/officeDocument/2006/relationships/hyperlink" Target="https://github.com/tsdye/allen-relations" TargetMode="External" Id="rId42" /><Relationship Type="http://schemas.openxmlformats.org/officeDocument/2006/relationships/hyperlink" Target="http://tsdye.online/tsdye/posts/allen-relations/" TargetMode="External" Id="rId43" /><Relationship Type="http://schemas.openxmlformats.org/officeDocument/2006/relationships/hyperlink" Target="https://archive.org/details/github.com-tsdye-allen-relations_-_2019-07-07_02-55-15" TargetMode="External" Id="rId44" /><Relationship Type="http://schemas.openxmlformats.org/officeDocument/2006/relationships/hyperlink" Target="https://github.com/tsdye/allen.archaeology" TargetMode="External" Id="rId45" /><Relationship Type="http://schemas.openxmlformats.org/officeDocument/2006/relationships/hyperlink" Target="https://archive.org/details/github.com-tsdye-allen.archaeology_-_2021-01-08_18-37-11" TargetMode="External" Id="rId46" /><Relationship Type="http://schemas.openxmlformats.org/officeDocument/2006/relationships/hyperlink" Target="https://github.com/RGZM/alligator" TargetMode="External" Id="rId47" /><Relationship Type="http://schemas.openxmlformats.org/officeDocument/2006/relationships/hyperlink" Target="https://java-dev.rgzm.de/webapp_alligator/" TargetMode="External" Id="rId48" /><Relationship Type="http://schemas.openxmlformats.org/officeDocument/2006/relationships/hyperlink" Target="https://archive.org/details/github.com-RGZM-alligator_-_2021-06-04_01-29-28" TargetMode="External" Id="rId49" /><Relationship Type="http://schemas.openxmlformats.org/officeDocument/2006/relationships/hyperlink" Target="https://sites.google.com/view/brianhayden/teaching/analyzing-stable-isotope-data" TargetMode="External" Id="rId50" /><Relationship Type="http://schemas.openxmlformats.org/officeDocument/2006/relationships/hyperlink" Target="https://github.com/benmarwick/Analysing-Archaeological-Radiocabon-Ages-Using-R" TargetMode="External" Id="rId51" /><Relationship Type="http://schemas.openxmlformats.org/officeDocument/2006/relationships/hyperlink" Target="https://archive.org/details/github.com-benmarwick-Analysing-Archaeological-Radiocabon-Ages-Using-R_-_2020-07-19_00-54-45" TargetMode="External" Id="rId52" /><Relationship Type="http://schemas.openxmlformats.org/officeDocument/2006/relationships/hyperlink" Target="https://github.com/anatolian/anatolia-bibliography-map" TargetMode="External" Id="rId53" /><Relationship Type="http://schemas.openxmlformats.org/officeDocument/2006/relationships/hyperlink" Target="https://archive.org/details/github.com-anatolian-anatolia-bibliography-map_-_2017-01-11_17-57-08" TargetMode="External" Id="rId54" /><Relationship Type="http://schemas.openxmlformats.org/officeDocument/2006/relationships/hyperlink" Target="https://github.com/vanderbilt-data-science/ancient-artifacts" TargetMode="External" Id="rId55" /><Relationship Type="http://schemas.openxmlformats.org/officeDocument/2006/relationships/hyperlink" Target="https://codeberg.org/steko/ancient-ceramic-kilns" TargetMode="External" Id="rId56" /><Relationship Type="http://schemas.openxmlformats.org/officeDocument/2006/relationships/hyperlink" Target="https://archive.org/details/codeberg.org-steko-ancient-ceramic-kilns_-_2020-04-18_22-52-07" TargetMode="External" Id="rId57" /><Relationship Type="http://schemas.openxmlformats.org/officeDocument/2006/relationships/hyperlink" Target="https://github.com/SPAAM-community/AncientMetagenomeDir" TargetMode="External" Id="rId58" /><Relationship Type="http://schemas.openxmlformats.org/officeDocument/2006/relationships/hyperlink" Target="https://archive.org/details/github.com-SPAAM-community-AncientMetagenomeDir_-_2021-02-02_19-45-27" TargetMode="External" Id="rId59" /><Relationship Type="http://schemas.openxmlformats.org/officeDocument/2006/relationships/hyperlink" Target="https://github.com/ElaineYChu/anthroFun" TargetMode="External" Id="rId60" /><Relationship Type="http://schemas.openxmlformats.org/officeDocument/2006/relationships/hyperlink" Target="https://github.com/frederic-santos/anthropmmd" TargetMode="External" Id="rId61" /><Relationship Type="http://schemas.openxmlformats.org/officeDocument/2006/relationships/hyperlink" Target="https://archive.org/details/github.com-frederic-santos-anthropmmd_-_2020-09-22_11-43-32" TargetMode="External" Id="rId62" /><Relationship Type="http://schemas.openxmlformats.org/officeDocument/2006/relationships/hyperlink" Target="https://github.com/ISAAKiel/aoristAAR" TargetMode="External" Id="rId63" /><Relationship Type="http://schemas.openxmlformats.org/officeDocument/2006/relationships/hyperlink" Target="https://archive.org/details/github.com-ISAAKiel-aoristAAR_-_2020-07-09_13-13-06" TargetMode="External" Id="rId64" /><Relationship Type="http://schemas.openxmlformats.org/officeDocument/2006/relationships/hyperlink" Target="https://github.com/jerryratcliffe/aoristic" TargetMode="External" Id="rId65" /><Relationship Type="http://schemas.openxmlformats.org/officeDocument/2006/relationships/hyperlink" Target="https://cran.r-project.org/package=aoristic" TargetMode="External" Id="rId66" /><Relationship Type="http://schemas.openxmlformats.org/officeDocument/2006/relationships/hyperlink" Target="https://archive.org/details/github.com-jerryratcliffe-aoristic_-_2021-01-31_22-30-35" TargetMode="External" Id="rId67" /><Relationship Type="http://schemas.openxmlformats.org/officeDocument/2006/relationships/hyperlink" Target="https://github.com/LimesLimits/aoristic-analysis" TargetMode="External" Id="rId68" /><Relationship Type="http://schemas.openxmlformats.org/officeDocument/2006/relationships/hyperlink" Target="https://nihk.de/en/research/current-projects/arbodat-ape" TargetMode="External" Id="rId69" /><Relationship Type="http://schemas.openxmlformats.org/officeDocument/2006/relationships/hyperlink" Target="https://github.com/alexbrandsen/archaeo-CRF" TargetMode="External" Id="rId70" /><Relationship Type="http://schemas.openxmlformats.org/officeDocument/2006/relationships/hyperlink" Target="https://github.com/zackbatist/archaeo-db-workshop" TargetMode="External" Id="rId71" /><Relationship Type="http://schemas.openxmlformats.org/officeDocument/2006/relationships/hyperlink" Target="https://archive.org/details/github.com-zackbatist-archaeo-db-workshop_-_2019-01-27_20-31-39" TargetMode="External" Id="rId72" /><Relationship Type="http://schemas.openxmlformats.org/officeDocument/2006/relationships/hyperlink" Target="https://docs.google.com/spreadsheets/d/1KYh9UUZTsc7BWfXh7YTqQqRz84cnJl3Y/edit" TargetMode="External" Id="rId73" /><Relationship Type="http://schemas.openxmlformats.org/officeDocument/2006/relationships/hyperlink" Target="https://unora.unior.it/handle/11574/195235" TargetMode="External" Id="rId74" /><Relationship Type="http://schemas.openxmlformats.org/officeDocument/2006/relationships/hyperlink" Target="https://github.com/marcfrincu/ArchaeoAstroInsight" TargetMode="External" Id="rId75" /><Relationship Type="http://schemas.openxmlformats.org/officeDocument/2006/relationships/hyperlink" Target="https://github.com/ArchaeoStat/ArchaeoCal" TargetMode="External" Id="rId76" /><Relationship Type="http://schemas.openxmlformats.org/officeDocument/2006/relationships/hyperlink" Target="https://archaeostat.github.io/ArchaeoCal/" TargetMode="External" Id="rId77" /><Relationship Type="http://schemas.openxmlformats.org/officeDocument/2006/relationships/hyperlink" Target="https://github.com/ArchaeoStat/ArchaeoChron" TargetMode="External" Id="rId78" /><Relationship Type="http://schemas.openxmlformats.org/officeDocument/2006/relationships/hyperlink" Target="https://cran.r-project.org/package=ArchaeoChron" TargetMode="External" Id="rId79" /><Relationship Type="http://schemas.openxmlformats.org/officeDocument/2006/relationships/hyperlink" Target="https://archaeostat.github.io/ArchaeoChron/" TargetMode="External" Id="rId80" /><Relationship Type="http://schemas.openxmlformats.org/officeDocument/2006/relationships/hyperlink" Target="https://archive.org/details/github.com-ArchaeoStat-ArchaeoChron_-_2019-09-11_12-58-29" TargetMode="External" Id="rId81" /><Relationship Type="http://schemas.openxmlformats.org/officeDocument/2006/relationships/hyperlink" Target="https://github.com/ArchaeoStat/ArchaeoData" TargetMode="External" Id="rId82" /><Relationship Type="http://schemas.openxmlformats.org/officeDocument/2006/relationships/hyperlink" Target="https://archaeostat.github.io/ArchaeoData/" TargetMode="External" Id="rId83" /><Relationship Type="http://schemas.openxmlformats.org/officeDocument/2006/relationships/hyperlink" Target="https://github.com/Stellarium/stellarium/tree/master/plugins/ArchaeoLines" TargetMode="External" Id="rId84" /><Relationship Type="http://schemas.openxmlformats.org/officeDocument/2006/relationships/hyperlink" Target="http://stellarium.sourceforge.net/wiki/index.php/ArchaeoLines_plugin" TargetMode="External" Id="rId85" /><Relationship Type="http://schemas.openxmlformats.org/officeDocument/2006/relationships/hyperlink" Target="https://archaeologicalethics.org/" TargetMode="External" Id="rId86" /><Relationship Type="http://schemas.openxmlformats.org/officeDocument/2006/relationships/hyperlink" Target="https://github.com/latex-ninja/Archaeological_Catalogue_from_CSV_Spreadsheet" TargetMode="External" Id="rId87" /><Relationship Type="http://schemas.openxmlformats.org/officeDocument/2006/relationships/hyperlink" Target="https://latex-ninja.com/2021/07/16/latex-for-archaeologists-an-archaeological-catalogue-from-a-spreadsheet/" TargetMode="External" Id="rId88" /><Relationship Type="http://schemas.openxmlformats.org/officeDocument/2006/relationships/hyperlink" Target="https://github.com/anatolian/archaeological-object-sharing" TargetMode="External" Id="rId89" /><Relationship Type="http://schemas.openxmlformats.org/officeDocument/2006/relationships/hyperlink" Target="https://archive.org/details/github.com-anatolian-archaeological-object-sharing_-_2017-01-25_19-13-38" TargetMode="External" Id="rId90" /><Relationship Type="http://schemas.openxmlformats.org/officeDocument/2006/relationships/hyperlink" Target="https://github.com/deanthebox/archaeological-SNA-R-demo" TargetMode="External" Id="rId91" /><Relationship Type="http://schemas.openxmlformats.org/officeDocument/2006/relationships/hyperlink" Target="https://github.com/anatolian/archaeological-survey-location-collector" TargetMode="External" Id="rId92" /><Relationship Type="http://schemas.openxmlformats.org/officeDocument/2006/relationships/hyperlink" Target="https://archive.org/details/github.com-anatolian-archaeological-survey-location-collector_-_2018-06-27_09-05-36" TargetMode="External" Id="rId93" /><Relationship Type="http://schemas.openxmlformats.org/officeDocument/2006/relationships/hyperlink" Target="https://github.com/archaeology/archaeology" TargetMode="External" Id="rId94" /><Relationship Type="http://schemas.openxmlformats.org/officeDocument/2006/relationships/hyperlink" Target="https://archive.org/details/github.com-archaeology-archaeology_-_2018-04-30_23-20-05" TargetMode="External" Id="rId95" /><Relationship Type="http://schemas.openxmlformats.org/officeDocument/2006/relationships/hyperlink" Target="https://github.com/lili0824/ARchaeology" TargetMode="External" Id="rId96" /><Relationship Type="http://schemas.openxmlformats.org/officeDocument/2006/relationships/hyperlink" Target="https://gist.github.com/benmarwick/0d5e6526604e755b556f" TargetMode="External" Id="rId97" /><Relationship Type="http://schemas.openxmlformats.org/officeDocument/2006/relationships/hyperlink" Target="https://archive.org/details/gist.github.com-0d5e6526604e755b556f_-_2015-09-22_16-54-45" TargetMode="External" Id="rId98" /><Relationship Type="http://schemas.openxmlformats.org/officeDocument/2006/relationships/hyperlink" Target="https://github.com/anatolian/archaeology-data-service" TargetMode="External" Id="rId99" /><Relationship Type="http://schemas.openxmlformats.org/officeDocument/2006/relationships/hyperlink" Target="https://archive.org/details/github.com-anatolian-archaeology-data-service_-_2020-06-05_18-22-23" TargetMode="External" Id="rId100" /><Relationship Type="http://schemas.openxmlformats.org/officeDocument/2006/relationships/hyperlink" Target="https://gist.github.com/benmarwick/d3eb3167ccb2116197ca" TargetMode="External" Id="rId101" /><Relationship Type="http://schemas.openxmlformats.org/officeDocument/2006/relationships/hyperlink" Target="https://archive.org/details/gist.github.com-d3eb3167ccb2116197ca_-_2015-08-29_14-00-53" TargetMode="External" Id="rId102" /><Relationship Type="http://schemas.openxmlformats.org/officeDocument/2006/relationships/hyperlink" Target="https://github.com/lakillo/archaeology-machine-learning" TargetMode="External" Id="rId103" /><Relationship Type="http://schemas.openxmlformats.org/officeDocument/2006/relationships/hyperlink" Target="https://github.com/anatolian/archaeology-object-data-collector-app" TargetMode="External" Id="rId104" /><Relationship Type="http://schemas.openxmlformats.org/officeDocument/2006/relationships/hyperlink" Target="https://archive.org/details/github.com-anatolian-archaeology-object-data-collector-app_-_2018-06-27_09-58-13" TargetMode="External" Id="rId105" /><Relationship Type="http://schemas.openxmlformats.org/officeDocument/2006/relationships/hyperlink" Target="https://github.com/Camology/ArchaeologyAdventure" TargetMode="External" Id="rId106" /><Relationship Type="http://schemas.openxmlformats.org/officeDocument/2006/relationships/hyperlink" Target="https://archive.org/details/github.com-Camology-ArchaeologyAdventure_-_2018-06-06_19-54-37" TargetMode="External" Id="rId107" /><Relationship Type="http://schemas.openxmlformats.org/officeDocument/2006/relationships/hyperlink" Target="https://github.com/iberganzo/ArchaeolPhytoliths" TargetMode="External" Id="rId108" /><Relationship Type="http://schemas.openxmlformats.org/officeDocument/2006/relationships/hyperlink" Target="https://github.com/antonio-schettino/ArchaeoMag" TargetMode="External" Id="rId109" /><Relationship Type="http://schemas.openxmlformats.org/officeDocument/2006/relationships/hyperlink" Target="https://doi.org/10.4430/bgta0296" TargetMode="External" Id="rId110" /><Relationship Type="http://schemas.openxmlformats.org/officeDocument/2006/relationships/hyperlink" Target="https://github.com/ArchaeoStat/ArchaeoPhases" TargetMode="External" Id="rId111" /><Relationship Type="http://schemas.openxmlformats.org/officeDocument/2006/relationships/hyperlink" Target="https://cran.r-project.org/package=ArchaeoPhases" TargetMode="External" Id="rId112" /><Relationship Type="http://schemas.openxmlformats.org/officeDocument/2006/relationships/hyperlink" Target="https://archaeostat.github.io/ArchaeoPhases/" TargetMode="External" Id="rId113" /><Relationship Type="http://schemas.openxmlformats.org/officeDocument/2006/relationships/hyperlink" Target="https://doi.org/10.18637/jss.v093.c01" TargetMode="External" Id="rId114" /><Relationship Type="http://schemas.openxmlformats.org/officeDocument/2006/relationships/hyperlink" Target="https://archive.org/details/github.com-ArchaeoStat-ArchaeoPhases_-_2020-12-01_12-35-04" TargetMode="External" Id="rId115" /><Relationship Type="http://schemas.openxmlformats.org/officeDocument/2006/relationships/hyperlink" Target="https://github.com/seanbergin/archaeosrp" TargetMode="External" Id="rId116" /><Relationship Type="http://schemas.openxmlformats.org/officeDocument/2006/relationships/hyperlink" Target="https://github.com/barak-itkin/archaide-software" TargetMode="External" Id="rId117" /><Relationship Type="http://schemas.openxmlformats.org/officeDocument/2006/relationships/hyperlink" Target="http://www.archaide.eu/" TargetMode="External" Id="rId118" /><Relationship Type="http://schemas.openxmlformats.org/officeDocument/2006/relationships/hyperlink" Target="https://archive.org/details/github.com-barak-itkin-archaide-software_-_2021-02-27_14-51-52" TargetMode="External" Id="rId119" /><Relationship Type="http://schemas.openxmlformats.org/officeDocument/2006/relationships/hyperlink" Target="https://gitlab.com/oliver.nakoinz/archchron" TargetMode="External" Id="rId120" /><Relationship Type="http://schemas.openxmlformats.org/officeDocument/2006/relationships/hyperlink" Target="https://cran.r-project.org/package=archdata" TargetMode="External" Id="rId121" /><Relationship Type="http://schemas.openxmlformats.org/officeDocument/2006/relationships/hyperlink" Target="https://github.com/alexbrandsen/archeo-bertje" TargetMode="External" Id="rId122" /><Relationship Type="http://schemas.openxmlformats.org/officeDocument/2006/relationships/hyperlink" Target="https://github.com/sebastien-plutniak/archeofrag" TargetMode="External" Id="rId123" /><Relationship Type="http://schemas.openxmlformats.org/officeDocument/2006/relationships/hyperlink" Target="https://cran.r-project.org/package=archeofrag" TargetMode="External" Id="rId124" /><Relationship Type="http://schemas.openxmlformats.org/officeDocument/2006/relationships/hyperlink" Target="https://doi.org/10.1016/j.jas.2021.105501" TargetMode="External" Id="rId125" /><Relationship Type="http://schemas.openxmlformats.org/officeDocument/2006/relationships/hyperlink" Target="https://archive.org/details/github.com-sebastien-plutniak-archeofrag_-_2020-11-30_13-30-27" TargetMode="External" Id="rId126" /><Relationship Type="http://schemas.openxmlformats.org/officeDocument/2006/relationships/hyperlink" Target="https://github.com/archeos/ArcheOS" TargetMode="External" Id="rId127" /><Relationship Type="http://schemas.openxmlformats.org/officeDocument/2006/relationships/hyperlink" Target="https://distrowatch.com/table.php?distribution=archeos" TargetMode="External" Id="rId128" /><Relationship Type="http://schemas.openxmlformats.org/officeDocument/2006/relationships/hyperlink" Target="https://github.com/omendoza83/ArcheoShape" TargetMode="External" Id="rId129" /><Relationship Type="http://schemas.openxmlformats.org/officeDocument/2006/relationships/hyperlink" Target="https://github.com/sebastien-plutniak/archeoviz" TargetMode="External" Id="rId130" /><Relationship Type="http://schemas.openxmlformats.org/officeDocument/2006/relationships/hyperlink" Target="https://cran.r-project.org/package=archeoViz" TargetMode="External" Id="rId131" /><Relationship Type="http://schemas.openxmlformats.org/officeDocument/2006/relationships/hyperlink" Target="https://analytics.huma-num.fr/archeoviz/home/" TargetMode="External" Id="rId132" /><Relationship Type="http://schemas.openxmlformats.org/officeDocument/2006/relationships/hyperlink" Target="https://github.com/sebastien-plutniak/archeoviz-portal" TargetMode="External" Id="rId133" /><Relationship Type="http://schemas.openxmlformats.org/officeDocument/2006/relationships/hyperlink" Target="https://analytics.huma-num.fr/archeoviz/home/" TargetMode="External" Id="rId134" /><Relationship Type="http://schemas.openxmlformats.org/officeDocument/2006/relationships/hyperlink" Target="https://github.com/archesproject/arches" TargetMode="External" Id="rId135" /><Relationship Type="http://schemas.openxmlformats.org/officeDocument/2006/relationships/hyperlink" Target="https://www.archesproject.org/" TargetMode="External" Id="rId136" /><Relationship Type="http://schemas.openxmlformats.org/officeDocument/2006/relationships/hyperlink" Target="https://archive.org/details/github.com-archesproject-arches_-_2021-02-04_04-54-27" TargetMode="External" Id="rId137" /><Relationship Type="http://schemas.openxmlformats.org/officeDocument/2006/relationships/hyperlink" Target="https://github.com/opencontext/arches-via-docker" TargetMode="External" Id="rId138" /><Relationship Type="http://schemas.openxmlformats.org/officeDocument/2006/relationships/hyperlink" Target="https://github.com/archiedb/archie" TargetMode="External" Id="rId139" /><Relationship Type="http://schemas.openxmlformats.org/officeDocument/2006/relationships/hyperlink" Target="https://archive.org/details/github.com-archiedb-archie_-_2018-09-30_23-00-43" TargetMode="External" Id="rId140" /><Relationship Type="http://schemas.openxmlformats.org/officeDocument/2006/relationships/hyperlink" Target="https://github.com/ISAAKiel/ArchJobCAD" TargetMode="External" Id="rId141" /><Relationship Type="http://schemas.openxmlformats.org/officeDocument/2006/relationships/hyperlink" Target="https://archive.org/details/github.com-ISAAKiel-ArchJobCAD_-_2021-03-10_12-29-45" TargetMode="External" Id="rId142" /><Relationship Type="http://schemas.openxmlformats.org/officeDocument/2006/relationships/hyperlink" Target="https://github.com/davidcorton/archSeries" TargetMode="External" Id="rId143" /><Relationship Type="http://schemas.openxmlformats.org/officeDocument/2006/relationships/hyperlink" Target="https://archive.org/details/github.com-davidcorton-archSeries_-_2017-09-22_15-50-23" TargetMode="External" Id="rId144" /><Relationship Type="http://schemas.openxmlformats.org/officeDocument/2006/relationships/hyperlink" Target="https://github.com/shawngraham/archstopmo" TargetMode="External" Id="rId145" /><Relationship Type="http://schemas.openxmlformats.org/officeDocument/2006/relationships/hyperlink" Target="https://electricarchaeology.ca/2020/05/01/archstopmo-the-2020-edition/" TargetMode="External" Id="rId146" /><Relationship Type="http://schemas.openxmlformats.org/officeDocument/2006/relationships/hyperlink" Target="https://archive.org/details/github.com-shawngraham-archstopmo_-_2020-04-05_17-08-45" TargetMode="External" Id="rId147" /><Relationship Type="http://schemas.openxmlformats.org/officeDocument/2006/relationships/hyperlink" Target="https://github.com/archaeology/archvocab" TargetMode="External" Id="rId148" /><Relationship Type="http://schemas.openxmlformats.org/officeDocument/2006/relationships/hyperlink" Target="https://web.archive.org/web/20101229001934/http://archvocab.net/" TargetMode="External" Id="rId149" /><Relationship Type="http://schemas.openxmlformats.org/officeDocument/2006/relationships/hyperlink" Target="https://archive.org/details/github.com-archaeology-archvocab_-_2016-02-20_17-56-55" TargetMode="External" Id="rId150" /><Relationship Type="http://schemas.openxmlformats.org/officeDocument/2006/relationships/hyperlink" Target="https://github.com/matrix-msu/ARCSCore" TargetMode="External" Id="rId151" /><Relationship Type="http://schemas.openxmlformats.org/officeDocument/2006/relationships/hyperlink" Target="https://archive.org/details/github.com-matrix-msu-ARCSCore_-_2019-05-07_17-19-47" TargetMode="External" Id="rId152" /><Relationship Type="http://schemas.openxmlformats.org/officeDocument/2006/relationships/hyperlink" Target="https://github.com/carlsun98/ARFloorPlanApp" TargetMode="External" Id="rId153" /><Relationship Type="http://schemas.openxmlformats.org/officeDocument/2006/relationships/hyperlink" Target="https://archive.org/details/github.com-carlsun98-ARFloorPlanApp_-_2018-07-27_22-02-36" TargetMode="External" Id="rId154" /><Relationship Type="http://schemas.openxmlformats.org/officeDocument/2006/relationships/hyperlink" Target="https://github.com/fradeve/ark-addons" TargetMode="External" Id="rId155" /><Relationship Type="http://schemas.openxmlformats.org/officeDocument/2006/relationships/hyperlink" Target="https://archive.org/details/github.com-fradeve-ark-addons_-_2014-10-30_23-48-58" TargetMode="External" Id="rId156" /><Relationship Type="http://schemas.openxmlformats.org/officeDocument/2006/relationships/hyperlink" Target="https://github.com/lparchaeology/ARK1" TargetMode="External" Id="rId157" /><Relationship Type="http://schemas.openxmlformats.org/officeDocument/2006/relationships/hyperlink" Target="https://archive.org/details/github.com-lparchaeology-ARK1_-_2017-11-27_14-43-51" TargetMode="External" Id="rId158" /><Relationship Type="http://schemas.openxmlformats.org/officeDocument/2006/relationships/hyperlink" Target="https://github.com/lparchaeology/ARK2" TargetMode="External" Id="rId159" /><Relationship Type="http://schemas.openxmlformats.org/officeDocument/2006/relationships/hyperlink" Target="https://github.com/lparchaeology/ArkGrid" TargetMode="External" Id="rId160" /><Relationship Type="http://schemas.openxmlformats.org/officeDocument/2006/relationships/hyperlink" Target="https://archive.org/details/github.com-lparchaeology-ArkGrid_-_2016-09-02_16-36-40" TargetMode="External" Id="rId161" /><Relationship Type="http://schemas.openxmlformats.org/officeDocument/2006/relationships/hyperlink" Target="https://github.com/tesselle/arkhe" TargetMode="External" Id="rId162" /><Relationship Type="http://schemas.openxmlformats.org/officeDocument/2006/relationships/hyperlink" Target="https://cran.r-project.org/package=arkhe" TargetMode="External" Id="rId163" /><Relationship Type="http://schemas.openxmlformats.org/officeDocument/2006/relationships/hyperlink" Target="https://packages.tesselle.org/arkhe/" TargetMode="External" Id="rId164" /><Relationship Type="http://schemas.openxmlformats.org/officeDocument/2006/relationships/hyperlink" Target="https://archive.org/details/github.com-tesselle-arkhe_-_2021-01-26_18-26-42" TargetMode="External" Id="rId165" /><Relationship Type="http://schemas.openxmlformats.org/officeDocument/2006/relationships/hyperlink" Target="https://gitlab.com/arklab/ArkMatrix" TargetMode="External" Id="rId166" /><Relationship Type="http://schemas.openxmlformats.org/officeDocument/2006/relationships/hyperlink" Target="https://archive.org/details/gitlab.com-arklab-ArkMatrix_-_2020-03-31_10-32-20" TargetMode="External" Id="rId167" /><Relationship Type="http://schemas.openxmlformats.org/officeDocument/2006/relationships/hyperlink" Target="https://github.com/lparchaeology/ArkScan" TargetMode="External" Id="rId168" /><Relationship Type="http://schemas.openxmlformats.org/officeDocument/2006/relationships/hyperlink" Target="https://archive.org/details/github.com-lparchaeology-ArkScan_-_2015-07-28_08-06-46" TargetMode="External" Id="rId169" /><Relationship Type="http://schemas.openxmlformats.org/officeDocument/2006/relationships/hyperlink" Target="https://github.com/lparchaeology/ArkSpatial" TargetMode="External" Id="rId170" /><Relationship Type="http://schemas.openxmlformats.org/officeDocument/2006/relationships/hyperlink" Target="https://archive.org/details/github.com-lparchaeology-ArkSpatial_-_2018-09-22_18-11-06" TargetMode="External" Id="rId171" /><Relationship Type="http://schemas.openxmlformats.org/officeDocument/2006/relationships/hyperlink" Target="https://github.com/AProfico/Arothron" TargetMode="External" Id="rId172" /><Relationship Type="http://schemas.openxmlformats.org/officeDocument/2006/relationships/hyperlink" Target="https://archive.org/details/github.com-AProfico-Arothron_-_2019-04-26_10-53-43" TargetMode="External" Id="rId173" /><Relationship Type="http://schemas.openxmlformats.org/officeDocument/2006/relationships/hyperlink" Target="https://github.com/jbuxeda/ARQUB" TargetMode="External" Id="rId174" /><Relationship Type="http://schemas.openxmlformats.org/officeDocument/2006/relationships/hyperlink" Target="https://github.com/ickramer/Arran" TargetMode="External" Id="rId175" /><Relationship Type="http://schemas.openxmlformats.org/officeDocument/2006/relationships/hyperlink" Target="https://archive.org/details/github.com-ickramer-Arran_-_2020-01-09_19-22-36" TargetMode="External" Id="rId176" /><Relationship Type="http://schemas.openxmlformats.org/officeDocument/2006/relationships/hyperlink" Target="https://github.com/zacharyliu/arshm-release" TargetMode="External" Id="rId177" /><Relationship Type="http://schemas.openxmlformats.org/officeDocument/2006/relationships/hyperlink" Target="https://archive.org/details/github.com-zacharyliu-arshm-release_-_2018-07-27_23-22-39" TargetMode="External" Id="rId178" /><Relationship Type="http://schemas.openxmlformats.org/officeDocument/2006/relationships/hyperlink" Target="https://gist.github.com/benmarwick/6260541" TargetMode="External" Id="rId179" /><Relationship Type="http://schemas.openxmlformats.org/officeDocument/2006/relationships/hyperlink" Target="https://archive.org/details/gist.github.com-6260541_-_2015-12-21_05-58-59" TargetMode="External" Id="rId180" /><Relationship Type="http://schemas.openxmlformats.org/officeDocument/2006/relationships/hyperlink" Target="https://github.com/taphocoenose/Artifact_Class_Diversity" TargetMode="External" Id="rId181" /><Relationship Type="http://schemas.openxmlformats.org/officeDocument/2006/relationships/hyperlink" Target="https://archive.org/details/github.com-taphocoenose-Artifact_Class_Diversity_-_2020-10-06_16-50-13" TargetMode="External" Id="rId182" /><Relationship Type="http://schemas.openxmlformats.org/officeDocument/2006/relationships/hyperlink" Target="https://github.com/Eythan31/Artifacts-Analyzer" TargetMode="External" Id="rId183" /><Relationship Type="http://schemas.openxmlformats.org/officeDocument/2006/relationships/hyperlink" Target="https://github.com/kacebe/AtlantGIS" TargetMode="External" Id="rId184" /><Relationship Type="http://schemas.openxmlformats.org/officeDocument/2006/relationships/hyperlink" Target="https://archive.org/details/github.com-kacebe-AtlantGIS_-_2020-11-18_10-27-26" TargetMode="External" Id="rId185" /><Relationship Type="http://schemas.openxmlformats.org/officeDocument/2006/relationships/hyperlink" Target="https://github.com/willismonroe/babylonian-hours" TargetMode="External" Id="rId186" /><Relationship Type="http://schemas.openxmlformats.org/officeDocument/2006/relationships/hyperlink" Target="https://archive.org/details/github.com-willismonroe-babylonian-hours_-_2019-01-05_20-36-50" TargetMode="External" Id="rId187" /><Relationship Type="http://schemas.openxmlformats.org/officeDocument/2006/relationships/hyperlink" Target="https://github.com/Big-Ancient-Mediterranean/BAM" TargetMode="External" Id="rId188" /><Relationship Type="http://schemas.openxmlformats.org/officeDocument/2006/relationships/hyperlink" Target="https://archive.org/details/github.com-Big-Ancient-Mediterranean-BAM_-_2018-09-16_12-29-16" TargetMode="External" Id="rId189" /><Relationship Type="http://schemas.openxmlformats.org/officeDocument/2006/relationships/hyperlink" Target="https://github.com/ercrema/baorista" TargetMode="External" Id="rId190" /><Relationship Type="http://schemas.openxmlformats.org/officeDocument/2006/relationships/hyperlink" Target="https://doi.org/10.1111/arcm.12984" TargetMode="External" Id="rId191" /><Relationship Type="http://schemas.openxmlformats.org/officeDocument/2006/relationships/hyperlink" Target="http://www.mattpeeples.net/modules/BasicMapping.html" TargetMode="External" Id="rId192" /><Relationship Type="http://schemas.openxmlformats.org/officeDocument/2006/relationships/hyperlink" Target="https://github.com/eehh-stanford/baydem" TargetMode="External" Id="rId193" /><Relationship Type="http://schemas.openxmlformats.org/officeDocument/2006/relationships/hyperlink" Target="https://eehh-stanford.github.io/baydem/" TargetMode="External" Id="rId194" /><Relationship Type="http://schemas.openxmlformats.org/officeDocument/2006/relationships/hyperlink" Target="https://archive.org/details/github.com-eehh-stanford-baydem_-_2021-04-09_19-24-36" TargetMode="External" Id="rId195" /><Relationship Type="http://schemas.openxmlformats.org/officeDocument/2006/relationships/hyperlink" Target="https://github.com/crp2a/BayLum" TargetMode="External" Id="rId196" /><Relationship Type="http://schemas.openxmlformats.org/officeDocument/2006/relationships/hyperlink" Target="https://cran.r-project.org/package=BayLum" TargetMode="External" Id="rId197" /><Relationship Type="http://schemas.openxmlformats.org/officeDocument/2006/relationships/hyperlink" Target="https://crp2a.github.io/BayLum/" TargetMode="External" Id="rId198" /><Relationship Type="http://schemas.openxmlformats.org/officeDocument/2006/relationships/hyperlink" Target="https://archive.org/details/github.com-crp2a-BayLum_-_2021-01-03_12-01-54" TargetMode="External" Id="rId199" /><Relationship Type="http://schemas.openxmlformats.org/officeDocument/2006/relationships/hyperlink" Target="https://github.com/andrewcparnell/Bchron" TargetMode="External" Id="rId200" /><Relationship Type="http://schemas.openxmlformats.org/officeDocument/2006/relationships/hyperlink" Target="https://cran.r-project.org/package=Bchron" TargetMode="External" Id="rId201" /><Relationship Type="http://schemas.openxmlformats.org/officeDocument/2006/relationships/hyperlink" Target="https://archive.org/details/github.com-andrewcparnell-Bchron_-_2021-02-01_13-37-47" TargetMode="External" Id="rId202" /><Relationship Type="http://schemas.openxmlformats.org/officeDocument/2006/relationships/hyperlink" Target="https://gist.github.com/benmarwick/7331879" TargetMode="External" Id="rId203" /><Relationship Type="http://schemas.openxmlformats.org/officeDocument/2006/relationships/hyperlink" Target="https://archive.org/details/gist.github.com-7331879_-_2015-12-27_20-29-23" TargetMode="External" Id="rId204" /><Relationship Type="http://schemas.openxmlformats.org/officeDocument/2006/relationships/hyperlink" Target="https://gist.github.com/benmarwick/50aa4c39b7d955d0ec40" TargetMode="External" Id="rId205" /><Relationship Type="http://schemas.openxmlformats.org/officeDocument/2006/relationships/hyperlink" Target="https://archive.org/details/gist.github.com-50aa4c39b7d955d0ec40_-_2016-09-16_22-55-57" TargetMode="External" Id="rId206" /><Relationship Type="http://schemas.openxmlformats.org/officeDocument/2006/relationships/hyperlink" Target="https://bibdaa.rice.edu/" TargetMode="External" Id="rId207" /><Relationship Type="http://schemas.openxmlformats.org/officeDocument/2006/relationships/hyperlink" Target="https://github.com/benmarwick/binford" TargetMode="External" Id="rId208" /><Relationship Type="http://schemas.openxmlformats.org/officeDocument/2006/relationships/hyperlink" Target="https://archive.org/details/github.com-benmarwick-binford_-_2017-06-20_12-21-46" TargetMode="External" Id="rId209" /><Relationship Type="http://schemas.openxmlformats.org/officeDocument/2006/relationships/hyperlink" Target="https://github.com/mpeeples2008/Binomial-Co-occurrence-Assessment" TargetMode="External" Id="rId210" /><Relationship Type="http://schemas.openxmlformats.org/officeDocument/2006/relationships/hyperlink" Target="https://archive.org/details/github.com-mpeeples2008-Binomial-Co-occurrence-Assessment_-_2018-05-11_03-58-41" TargetMode="External" Id="rId211" /><Relationship Type="http://schemas.openxmlformats.org/officeDocument/2006/relationships/hyperlink" Target="https://github.com/geanes/bioanth" TargetMode="External" Id="rId212" /><Relationship Type="http://schemas.openxmlformats.org/officeDocument/2006/relationships/hyperlink" Target="https://archive.org/details/github.com-geanes-bioanth_-_2015-02-27_03-40-21" TargetMode="External" Id="rId213" /><Relationship Type="http://schemas.openxmlformats.org/officeDocument/2006/relationships/hyperlink" Target="https://github.com/AlisJay/BioArch_R" TargetMode="External" Id="rId214" /><Relationship Type="http://schemas.openxmlformats.org/officeDocument/2006/relationships/hyperlink" Target="https://github.com/AlisJay/BioProfile" TargetMode="External" Id="rId215" /><Relationship Type="http://schemas.openxmlformats.org/officeDocument/2006/relationships/hyperlink" Target="https://alisjay.shinyapps.io/BioProfile" TargetMode="External" Id="rId216" /><Relationship Type="http://schemas.openxmlformats.org/officeDocument/2006/relationships/hyperlink" Target="https://github.com/nevrome/bleiglas" TargetMode="External" Id="rId217" /><Relationship Type="http://schemas.openxmlformats.org/officeDocument/2006/relationships/hyperlink" Target="https://doi.org/10.21105/joss.03092" TargetMode="External" Id="rId218" /><Relationship Type="http://schemas.openxmlformats.org/officeDocument/2006/relationships/hyperlink" Target="https://archive.org/details/github.com-nevrome-bleiglas_-_2021-04-10_13-49-19" TargetMode="External" Id="rId219" /><Relationship Type="http://schemas.openxmlformats.org/officeDocument/2006/relationships/hyperlink" Target="https://www.digitalbones.eu" TargetMode="External" Id="rId220" /><Relationship Type="http://schemas.openxmlformats.org/officeDocument/2006/relationships/hyperlink" Target="https://github.com/mpeeples2008/Bootstrap-Correspondence-Analysis" TargetMode="External" Id="rId221" /><Relationship Type="http://schemas.openxmlformats.org/officeDocument/2006/relationships/hyperlink" Target="http://www.mattpeeples.net/caboot.html" TargetMode="External" Id="rId222" /><Relationship Type="http://schemas.openxmlformats.org/officeDocument/2006/relationships/hyperlink" Target="https://archive.org/details/github.com-mpeeples2008-Bootstrap-Correspondence-Analysis_-_2018-05-10_21-36-03" TargetMode="External" Id="rId223" /><Relationship Type="http://schemas.openxmlformats.org/officeDocument/2006/relationships/hyperlink" Target="https://github.com/lab-archeologia-digitale/BraDypUS" TargetMode="External" Id="rId224" /><Relationship Type="http://schemas.openxmlformats.org/officeDocument/2006/relationships/hyperlink" Target="https://github.com/mpeeples2008/Brainerd-Robinson-Similarity-Coefficient-and-Sampling-Error-Assessment" TargetMode="External" Id="rId225" /><Relationship Type="http://schemas.openxmlformats.org/officeDocument/2006/relationships/hyperlink" Target="http://www.mattpeeples.net/BR.html" TargetMode="External" Id="rId226" /><Relationship Type="http://schemas.openxmlformats.org/officeDocument/2006/relationships/hyperlink" Target="https://archive.org/details/github.com-mpeeples2008-brainerd-robinson-similarity-coefficient-and-sampling-er" TargetMode="External" Id="rId227" /><Relationship Type="http://schemas.openxmlformats.org/officeDocument/2006/relationships/hyperlink" Target="https://encode.uni-hamburg.de/index.html" TargetMode="External" Id="rId228" /><Relationship Type="http://schemas.openxmlformats.org/officeDocument/2006/relationships/hyperlink" Target="https://github.com/joeroe/c14" TargetMode="External" Id="rId229" /><Relationship Type="http://schemas.openxmlformats.org/officeDocument/2006/relationships/hyperlink" Target="https://c14.joeroe.io" TargetMode="External" Id="rId230" /><Relationship Type="http://schemas.openxmlformats.org/officeDocument/2006/relationships/hyperlink" Target="https://archive.org/details/github.com-joeroe-c14_-_2021-05-06_14-30-31" TargetMode="External" Id="rId231" /><Relationship Type="http://schemas.openxmlformats.org/officeDocument/2006/relationships/hyperlink" Target="https://github.com/alexbrandsen/c14-date-extractor" TargetMode="External" Id="rId232" /><Relationship Type="http://schemas.openxmlformats.org/officeDocument/2006/relationships/hyperlink" Target="https://github.com/letreiro/c14-laboratory-code" TargetMode="External" Id="rId233" /><Relationship Type="http://schemas.openxmlformats.org/officeDocument/2006/relationships/hyperlink" Target="https://archive.org/details/github.com-letreiro-c14-laboratory-code_-_2021-04-15_03-11-35" TargetMode="External" Id="rId234" /><Relationship Type="http://schemas.openxmlformats.org/officeDocument/2006/relationships/hyperlink" Target="https://github.com/ropensci/c14bazAAR" TargetMode="External" Id="rId235" /><Relationship Type="http://schemas.openxmlformats.org/officeDocument/2006/relationships/hyperlink" Target="https://doi.org/10.21105/joss.01914" TargetMode="External" Id="rId236" /><Relationship Type="http://schemas.openxmlformats.org/officeDocument/2006/relationships/hyperlink" Target="https://archive.org/details/github.com-ropensci-c14bazAAR_-_2021-01-28_19-41-36" TargetMode="External" Id="rId237" /><Relationship Type="http://schemas.openxmlformats.org/officeDocument/2006/relationships/hyperlink" Target="https://github.com/jallison7/c14Intervals" TargetMode="External" Id="rId238" /><Relationship Type="http://schemas.openxmlformats.org/officeDocument/2006/relationships/hyperlink" Target="http://www.mattpeeples.net/ca.html" TargetMode="External" Id="rId239" /><Relationship Type="http://schemas.openxmlformats.org/officeDocument/2006/relationships/hyperlink" Target="https://github.com/BernCoDALab/caa" TargetMode="External" Id="rId240" /><Relationship Type="http://schemas.openxmlformats.org/officeDocument/2006/relationships/hyperlink" Target="https://archive.org/details/github.com-BernCoDALab-caa_-_2021-06-23_13-44-53" TargetMode="External" Id="rId241" /><Relationship Type="http://schemas.openxmlformats.org/officeDocument/2006/relationships/hyperlink" Target="https://github.com/joeroe/caa2019_halfway_house" TargetMode="External" Id="rId242" /><Relationship Type="http://schemas.openxmlformats.org/officeDocument/2006/relationships/hyperlink" Target="https://archive.org/details/github.com-joeroe-caa2019_halfway_house_-_2019-04-23_10-08-49" TargetMode="External" Id="rId243" /><Relationship Type="http://schemas.openxmlformats.org/officeDocument/2006/relationships/hyperlink" Target="https://github.com/aksel-blaise/caddonet" TargetMode="External" Id="rId244" /><Relationship Type="http://schemas.openxmlformats.org/officeDocument/2006/relationships/hyperlink" Target="https://aksel-blaise.github.io/caddonet/" TargetMode="External" Id="rId245" /><Relationship Type="http://schemas.openxmlformats.org/officeDocument/2006/relationships/hyperlink" Target="https://archive.org/details/github.com-aksel-blaise-caddonet_-_2020-04-03_11-10-46" TargetMode="External" Id="rId246" /><Relationship Type="http://schemas.openxmlformats.org/officeDocument/2006/relationships/hyperlink" Target="https://github.com/gianmarcoalberti/CAinterprTools" TargetMode="External" Id="rId247" /><Relationship Type="http://schemas.openxmlformats.org/officeDocument/2006/relationships/hyperlink" Target="https://archive.org/details/github.com-gianmarcoalberti-CAinterprTools_-_2018-05-30_15-29-32" TargetMode="External" Id="rId248" /><Relationship Type="http://schemas.openxmlformats.org/officeDocument/2006/relationships/hyperlink" Target="https://github.com/ISAAKiel/calibrator" TargetMode="External" Id="rId249" /><Relationship Type="http://schemas.openxmlformats.org/officeDocument/2006/relationships/hyperlink" Target="https://isaakiel.github.io/calibrator/" TargetMode="External" Id="rId250" /><Relationship Type="http://schemas.openxmlformats.org/officeDocument/2006/relationships/hyperlink" Target="https://archive.org/details/github.com-ISAAKiel-calibrator_-_2020-07-08_15-16-12" TargetMode="External" Id="rId251" /><Relationship Type="http://schemas.openxmlformats.org/officeDocument/2006/relationships/hyperlink" Target="https://github.com/nevrome/CalPal-Database" TargetMode="External" Id="rId252" /><Relationship Type="http://schemas.openxmlformats.org/officeDocument/2006/relationships/hyperlink" Target="https://archive.org/details/github.com-nevrome-CalPal-Database_-_2020-08-30_12-27-59" TargetMode="External" Id="rId253" /><Relationship Type="http://schemas.openxmlformats.org/officeDocument/2006/relationships/hyperlink" Target="https://github.com/paleolimbot/carbon14" TargetMode="External" Id="rId254" /><Relationship Type="http://schemas.openxmlformats.org/officeDocument/2006/relationships/hyperlink" Target="https://archive.org/details/github.com-paleolimbot-carbon14_-_2018-03-14_14-20-15" TargetMode="External" Id="rId255" /><Relationship Type="http://schemas.openxmlformats.org/officeDocument/2006/relationships/hyperlink" Target="https://github.com/TJHeaton/carbondate" TargetMode="External" Id="rId256" /><Relationship Type="http://schemas.openxmlformats.org/officeDocument/2006/relationships/hyperlink" Target="https://cran.r-project.org/package=carbondate" TargetMode="External" Id="rId257" /><Relationship Type="http://schemas.openxmlformats.org/officeDocument/2006/relationships/hyperlink" Target="https://tjheaton.github.io/carbondate/" TargetMode="External" Id="rId258" /><Relationship Type="http://schemas.openxmlformats.org/officeDocument/2006/relationships/hyperlink" Target="https://doi.org/10.1111/rssc.12599" TargetMode="External" Id="rId259" /><Relationship Type="http://schemas.openxmlformats.org/officeDocument/2006/relationships/hyperlink" Target="https://github.com/philriris/caribbean-14C" TargetMode="External" Id="rId260" /><Relationship Type="http://schemas.openxmlformats.org/officeDocument/2006/relationships/hyperlink" Target="https://archive.org/details/github.com-philriris-caribbean-14C_-_2021-06-21_10-55-36" TargetMode="External" Id="rId261" /><Relationship Type="http://schemas.openxmlformats.org/officeDocument/2006/relationships/hyperlink" Target="https://github.com/gianmarcoalberti/CAseriation" TargetMode="External" Id="rId262" /><Relationship Type="http://schemas.openxmlformats.org/officeDocument/2006/relationships/hyperlink" Target="https://archive.org/details/github.com-gianmarcoalberti-CAseriation_-_2018-06-10_15-14-41" TargetMode="External" Id="rId263" /><Relationship Type="http://schemas.openxmlformats.org/officeDocument/2006/relationships/hyperlink" Target="https://github.com/sfsheath/cawd" TargetMode="External" Id="rId264" /><Relationship Type="http://schemas.openxmlformats.org/officeDocument/2006/relationships/hyperlink" Target="https://archive.org/details/github.com-sfsheath-cawd_-_2017-12-21_20-32-33" TargetMode="External" Id="rId265" /><Relationship Type="http://schemas.openxmlformats.org/officeDocument/2006/relationships/hyperlink" Target="https://github.com/adreinhard/cca" TargetMode="External" Id="rId266" /><Relationship Type="http://schemas.openxmlformats.org/officeDocument/2006/relationships/hyperlink" Target="https://archive.org/details/github.com-adreinhard-cca_-_2019-01-09_15-37-54" TargetMode="External" Id="rId267" /><Relationship Type="http://schemas.openxmlformats.org/officeDocument/2006/relationships/hyperlink" Target="https://github.com/demjanp/CeraMatch" TargetMode="External" Id="rId268" /><Relationship Type="http://schemas.openxmlformats.org/officeDocument/2006/relationships/hyperlink" Target="https://archive.org/details/github.com-demjanp-CeraMatch_-_2021-01-26_21-06-30" TargetMode="External" Id="rId269" /><Relationship Type="http://schemas.openxmlformats.org/officeDocument/2006/relationships/hyperlink" Target="https://github.com/ajupton/Ceramic_Dashboard" TargetMode="External" Id="rId270" /><Relationship Type="http://schemas.openxmlformats.org/officeDocument/2006/relationships/hyperlink" Target="https://aupton.shinyapps.io/CeramicDashboard/" TargetMode="External" Id="rId271" /><Relationship Type="http://schemas.openxmlformats.org/officeDocument/2006/relationships/hyperlink" Target="https://archive.org/details/github.com-ajupton-Ceramic_Dashboard_-_2019-07-18_16-24-44" TargetMode="External" Id="rId272" /><Relationship Type="http://schemas.openxmlformats.org/officeDocument/2006/relationships/hyperlink" Target="https://github.com/anatolian/ceramic-computation" TargetMode="External" Id="rId273" /><Relationship Type="http://schemas.openxmlformats.org/officeDocument/2006/relationships/hyperlink" Target="https://archive.org/details/github.com-anatolian-ceramic-computation_-_2017-10-19_23-59-22" TargetMode="External" Id="rId274" /><Relationship Type="http://schemas.openxmlformats.org/officeDocument/2006/relationships/hyperlink" Target="https://github.com/mpeeples2008/Ceramic-Frequency-Date-Plot" TargetMode="External" Id="rId275" /><Relationship Type="http://schemas.openxmlformats.org/officeDocument/2006/relationships/hyperlink" Target="https://archive.org/details/github.com-mpeeples2008-Ceramic-Frequency-Date-Plot_-_2018-05-11_04-48-23" TargetMode="External" Id="rId276" /><Relationship Type="http://schemas.openxmlformats.org/officeDocument/2006/relationships/hyperlink" Target="https://github.com/mpeeples2008/CeramicApportioning" TargetMode="External" Id="rId277" /><Relationship Type="http://schemas.openxmlformats.org/officeDocument/2006/relationships/hyperlink" Target="https://archive.org/details/github.com-mpeeples2008-CeramicApportioning_-_2021-05-27_23-46-40" TargetMode="External" Id="rId278" /><Relationship Type="http://schemas.openxmlformats.org/officeDocument/2006/relationships/hyperlink" Target="https://github.com/jeffblackadar/charcoalhearths" TargetMode="External" Id="rId279" /><Relationship Type="http://schemas.openxmlformats.org/officeDocument/2006/relationships/hyperlink" Target="http://www.charminfo.org/" TargetMode="External" Id="rId280" /><Relationship Type="http://schemas.openxmlformats.org/officeDocument/2006/relationships/hyperlink" Target="https://github.com/gsnitker/CharTool" TargetMode="External" Id="rId281" /><Relationship Type="http://schemas.openxmlformats.org/officeDocument/2006/relationships/hyperlink" Target="https://archive.org/details/github.com-gsnitker-CharTool_-_2020-04-06_21-46-45" TargetMode="External" Id="rId282" /><Relationship Type="http://schemas.openxmlformats.org/officeDocument/2006/relationships/hyperlink" Target="https://github.com/vicrucann/cherish" TargetMode="External" Id="rId283" /><Relationship Type="http://schemas.openxmlformats.org/officeDocument/2006/relationships/hyperlink" Target="https://github.com/XLabCU/chi-field-manual" TargetMode="External" Id="rId284" /><Relationship Type="http://schemas.openxmlformats.org/officeDocument/2006/relationships/hyperlink" Target="https://xlabcu.github.io/chi-field-manual" TargetMode="External" Id="rId285" /><Relationship Type="http://schemas.openxmlformats.org/officeDocument/2006/relationships/hyperlink" Target="https://github.com/lsteinmann/chrongler" TargetMode="External" Id="rId286" /><Relationship Type="http://schemas.openxmlformats.org/officeDocument/2006/relationships/hyperlink" Target="https://github.com/demjanp/chrono_spatial_modelling" TargetMode="External" Id="rId287" /><Relationship Type="http://schemas.openxmlformats.org/officeDocument/2006/relationships/hyperlink" Target="https://archive.org/details/github.com-demjanp-chrono_spatial_modelling_-_2019-11-26_16-13-58" TargetMode="External" Id="rId288" /><Relationship Type="http://schemas.openxmlformats.org/officeDocument/2006/relationships/hyperlink" Target="https://gitlab.com/roset/chronochrt" TargetMode="External" Id="rId289" /><Relationship Type="http://schemas.openxmlformats.org/officeDocument/2006/relationships/hyperlink" Target="https://cran.r-project.org/package=chronochrt" TargetMode="External" Id="rId290" /><Relationship Type="http://schemas.openxmlformats.org/officeDocument/2006/relationships/hyperlink" Target="https://chrono.ulb.be/" TargetMode="External" Id="rId291" /><Relationship Type="http://schemas.openxmlformats.org/officeDocument/2006/relationships/hyperlink" Target="https://github.com/Chronomodel/chronomodel" TargetMode="External" Id="rId292" /><Relationship Type="http://schemas.openxmlformats.org/officeDocument/2006/relationships/hyperlink" Target="https://chronomodel.com/" TargetMode="External" Id="rId293" /><Relationship Type="http://schemas.openxmlformats.org/officeDocument/2006/relationships/hyperlink" Target="https://archive.org/details/github.com-Chronomodel-chronomodel_-_2021-02-02_16-41-52" TargetMode="External" Id="rId294" /><Relationship Type="http://schemas.openxmlformats.org/officeDocument/2006/relationships/hyperlink" Target="https://abp.hypotheses.org/4284" TargetMode="External" Id="rId295" /><Relationship Type="http://schemas.openxmlformats.org/officeDocument/2006/relationships/hyperlink" Target="https://github.com/wccarleton/chronup" TargetMode="External" Id="rId296" /><Relationship Type="http://schemas.openxmlformats.org/officeDocument/2006/relationships/hyperlink" Target="https://github.com/carlosfhernandez/civ5-prehistoric" TargetMode="External" Id="rId297" /><Relationship Type="http://schemas.openxmlformats.org/officeDocument/2006/relationships/hyperlink" Target="https://github.com/carlosfhernandez/civ5-prehistoric/wiki/" TargetMode="External" Id="rId298" /><Relationship Type="http://schemas.openxmlformats.org/officeDocument/2006/relationships/hyperlink" Target="https://github.com/Maarten14C/clam" TargetMode="External" Id="rId299" /><Relationship Type="http://schemas.openxmlformats.org/officeDocument/2006/relationships/hyperlink" Target="https://docs.google.com/spreadsheets/d/1aAssGGswX2WNMllV4kMYexBGS8miCywbW5XdcIeE22c/edit" TargetMode="External" Id="rId300" /><Relationship Type="http://schemas.openxmlformats.org/officeDocument/2006/relationships/hyperlink" Target="https://github.com/joeroe/cleanc14" TargetMode="External" Id="rId301" /><Relationship Type="http://schemas.openxmlformats.org/officeDocument/2006/relationships/hyperlink" Target="https://archive.org/details/github.com-joeroe-cleanc14_-_2021-05-04_08-45-08" TargetMode="External" Id="rId302" /><Relationship Type="http://schemas.openxmlformats.org/officeDocument/2006/relationships/hyperlink" Target="https://github.com/leedrake5/CloudCal" TargetMode="External" Id="rId303" /><Relationship Type="http://schemas.openxmlformats.org/officeDocument/2006/relationships/hyperlink" Target="https://archive.org/details/github.com-leedrake5-CloudCal_-_2021-02-02_19-39-49" TargetMode="External" Id="rId304" /><Relationship Type="http://schemas.openxmlformats.org/officeDocument/2006/relationships/hyperlink" Target="https://github.com/demjanp/clustering_14C" TargetMode="External" Id="rId305" /><Relationship Type="http://schemas.openxmlformats.org/officeDocument/2006/relationships/hyperlink" Target="https://archive.org/details/github.com-demjanp-clustering_14C_-_2020-09-10_17-32-20" TargetMode="External" Id="rId306" /><Relationship Type="http://schemas.openxmlformats.org/officeDocument/2006/relationships/hyperlink" Target="https://github.com/marcelocardillo/CoccionCeramica" TargetMode="External" Id="rId307" /><Relationship Type="http://schemas.openxmlformats.org/officeDocument/2006/relationships/hyperlink" Target="https://github.com/Maarten14C/coffee" TargetMode="External" Id="rId308" /><Relationship Type="http://schemas.openxmlformats.org/officeDocument/2006/relationships/hyperlink" Target="https://corallumfabrica.laas.fr/" TargetMode="External" Id="rId309" /><Relationship Type="http://schemas.openxmlformats.org/officeDocument/2006/relationships/hyperlink" Target="https://github.com/jisunjang19/cran-JSDNE" TargetMode="External" Id="rId310" /><Relationship Type="http://schemas.openxmlformats.org/officeDocument/2006/relationships/hyperlink" Target="https://cran.r-project.org/package=JSDNE" TargetMode="External" Id="rId311" /><Relationship Type="http://schemas.openxmlformats.org/officeDocument/2006/relationships/hyperlink" Target="https://doi.org/10.1016/j.jas.2024.106080" TargetMode="External" Id="rId312" /><Relationship Type="http://schemas.openxmlformats.org/officeDocument/2006/relationships/hyperlink" Target="https://github.com/pr0m1th3as/cranial-sex-estimation-code" TargetMode="External" Id="rId313" /><Relationship Type="http://schemas.openxmlformats.org/officeDocument/2006/relationships/hyperlink" Target="https://archive.org/details/github.com-pr0m1th3as-cranial-sex-estimation-code_-_2020-01-31_08-05-24" TargetMode="External" Id="rId314" /><Relationship Type="http://schemas.openxmlformats.org/officeDocument/2006/relationships/hyperlink" Target="https://github.com/thegetty/crom" TargetMode="External" Id="rId315" /><Relationship Type="http://schemas.openxmlformats.org/officeDocument/2006/relationships/hyperlink" Target="https://github.com/rubenmilla/Crop_Origins_Phylo" TargetMode="External" Id="rId316" /><Relationship Type="http://schemas.openxmlformats.org/officeDocument/2006/relationships/hyperlink" Target="https://archive.org/details/github.com-rubenmilla-Crop_Origins_Phylo_-_2021-03-02_17-30-56" TargetMode="External" Id="rId317" /><Relationship Type="http://schemas.openxmlformats.org/officeDocument/2006/relationships/hyperlink" Target="https://github.com/CropPro-package/CropPro" TargetMode="External" Id="rId318" /><Relationship Type="http://schemas.openxmlformats.org/officeDocument/2006/relationships/hyperlink" Target="http://oadigital.net/software/xbones.html" TargetMode="External" Id="rId319" /><Relationship Type="http://schemas.openxmlformats.org/officeDocument/2006/relationships/hyperlink" Target="https://github.com/Arothron/CSGR" TargetMode="External" Id="rId320" /><Relationship Type="http://schemas.openxmlformats.org/officeDocument/2006/relationships/hyperlink" Target="https://archive.org/details/github.com-Arothron-CSGR_-_2018-09-12_11-05-11" TargetMode="External" Id="rId321" /><Relationship Type="http://schemas.openxmlformats.org/officeDocument/2006/relationships/hyperlink" Target="https://github.com/ercrema/cTransmission" TargetMode="External" Id="rId322" /><Relationship Type="http://schemas.openxmlformats.org/officeDocument/2006/relationships/hyperlink" Target="https://archive.org/details/github.com-ercrema-cTransmission_-_2020-05-14_17-43-37" TargetMode="External" Id="rId323" /><Relationship Type="http://schemas.openxmlformats.org/officeDocument/2006/relationships/hyperlink" Target="https://github.com/benmarwick/ctv-archaeology" TargetMode="External" Id="rId324" /><Relationship Type="http://schemas.openxmlformats.org/officeDocument/2006/relationships/hyperlink" Target="https://archive.org/details/github.com-benmarwick-ctv-archaeology_-_2021-02-01_07-08-47" TargetMode="External" Id="rId325" /><Relationship Type="http://schemas.openxmlformats.org/officeDocument/2006/relationships/hyperlink" Target="https://github.com/situx/CuneiPainter" TargetMode="External" Id="rId326" /><Relationship Type="http://schemas.openxmlformats.org/officeDocument/2006/relationships/hyperlink" Target="https://situx.github.io/CuneiPainter/" TargetMode="External" Id="rId327" /><Relationship Type="http://schemas.openxmlformats.org/officeDocument/2006/relationships/hyperlink" Target="https://archive.org/details/github.com-situx-CuneiPainter_-_2020-10-06_14-40-31" TargetMode="External" Id="rId328" /><Relationship Type="http://schemas.openxmlformats.org/officeDocument/2006/relationships/hyperlink" Target="https://github.com/nevrome/currycarbon" TargetMode="External" Id="rId329" /><Relationship Type="http://schemas.openxmlformats.org/officeDocument/2006/relationships/hyperlink" Target="https://github.com/Mcotsar/Curso_Intro_R_Arqueologia" TargetMode="External" Id="rId330" /><Relationship Type="http://schemas.openxmlformats.org/officeDocument/2006/relationships/hyperlink" Target="https://github.com/jwilczek-dotcom/DACORD" TargetMode="External" Id="rId331" /><Relationship Type="http://schemas.openxmlformats.org/officeDocument/2006/relationships/hyperlink" Target="https://github.com/lsteinmann/datplot" TargetMode="External" Id="rId332" /><Relationship Type="http://schemas.openxmlformats.org/officeDocument/2006/relationships/hyperlink" Target="https://archive.org/details/github.com-lsteinmann-datplot_-_2021-06-26_14-24-43" TargetMode="External" Id="rId333" /><Relationship Type="http://schemas.openxmlformats.org/officeDocument/2006/relationships/hyperlink" Target="https://archaeologydataservice.ac.uk/blog/2021/03/archiving-day-of-archaeology-2011-2017/" TargetMode="External" Id="rId334" /><Relationship Type="http://schemas.openxmlformats.org/officeDocument/2006/relationships/hyperlink" Target="https://github.com/benmarwick/dayofarchaeology" TargetMode="External" Id="rId335" /><Relationship Type="http://schemas.openxmlformats.org/officeDocument/2006/relationships/hyperlink" Target="https://archive.org/details/github.com-benmarwick-dayofarchaeology_-_2014-05-29_16-19-44" TargetMode="External" Id="rId336" /><Relationship Type="http://schemas.openxmlformats.org/officeDocument/2006/relationships/hyperlink" Target="https://github.com/drmattlaw/dayofarchaeology" TargetMode="External" Id="rId337" /><Relationship Type="http://schemas.openxmlformats.org/officeDocument/2006/relationships/hyperlink" Target="https://archive.org/details/github.com-drmattlaw-dayofarchaeology_-_2018-09-20_19-17-11" TargetMode="External" Id="rId338" /><Relationship Type="http://schemas.openxmlformats.org/officeDocument/2006/relationships/hyperlink" Target="https://github.com/renderpci/dedalo" TargetMode="External" Id="rId339" /><Relationship Type="http://schemas.openxmlformats.org/officeDocument/2006/relationships/hyperlink" Target="https://archive.org/details/github.com-renderpci-dedalo_-_2021-01-16_08-50-03" TargetMode="External" Id="rId340" /><Relationship Type="http://schemas.openxmlformats.org/officeDocument/2006/relationships/hyperlink" Target="https://github.com/demjanp/Res14C" TargetMode="External" Id="rId341" /><Relationship Type="http://schemas.openxmlformats.org/officeDocument/2006/relationships/hyperlink" Target="https://archive.org/details/github.com-demjanp-Res14C_-_2020-06-05_11-05-56" TargetMode="External" Id="rId342" /><Relationship Type="http://schemas.openxmlformats.org/officeDocument/2006/relationships/hyperlink" Target="https://github.com/RonaldVisser/Dendro_R" TargetMode="External" Id="rId343" /><Relationship Type="http://schemas.openxmlformats.org/officeDocument/2006/relationships/hyperlink" Target="https://ronaldvisser.github.io/Dendro_R/" TargetMode="External" Id="rId344" /><Relationship Type="http://schemas.openxmlformats.org/officeDocument/2006/relationships/hyperlink" Target="https://github.com/ropensci/dendroNetwork/" TargetMode="External" Id="rId345" /><Relationship Type="http://schemas.openxmlformats.org/officeDocument/2006/relationships/hyperlink" Target="https://cran.r-project.org/package=dendroNetwork" TargetMode="External" Id="rId346" /><Relationship Type="http://schemas.openxmlformats.org/officeDocument/2006/relationships/hyperlink" Target="https://docs.ropensci.org/dendroNetwork/" TargetMode="External" Id="rId347" /><Relationship Type="http://schemas.openxmlformats.org/officeDocument/2006/relationships/hyperlink" Target="https://github.com/chrinne/digging.digital.data" TargetMode="External" Id="rId348" /><Relationship Type="http://schemas.openxmlformats.org/officeDocument/2006/relationships/hyperlink" Target="https://github.com/msu-anthropology/deoa" TargetMode="External" Id="rId349" /><Relationship Type="http://schemas.openxmlformats.org/officeDocument/2006/relationships/hyperlink" Target="https://archive.org/details/github.com-msu-anthropology-deoa_-_2017-11-29_06-22-59" TargetMode="External" Id="rId350" /><Relationship Type="http://schemas.openxmlformats.org/officeDocument/2006/relationships/hyperlink" Target="https://github.com/markhubbe/DIGSS" TargetMode="External" Id="rId351" /><Relationship Type="http://schemas.openxmlformats.org/officeDocument/2006/relationships/hyperlink" Target="https://cran.r-project.org/package=DIGSS" TargetMode="External" Id="rId352" /><Relationship Type="http://schemas.openxmlformats.org/officeDocument/2006/relationships/hyperlink" Target="https://github.com/tesselle/dimensio" TargetMode="External" Id="rId353" /><Relationship Type="http://schemas.openxmlformats.org/officeDocument/2006/relationships/hyperlink" Target="https://cran.r-project.org/package=dimensio" TargetMode="External" Id="rId354" /><Relationship Type="http://schemas.openxmlformats.org/officeDocument/2006/relationships/hyperlink" Target="https://packages.tesselle.org/dimensio/" TargetMode="External" Id="rId355" /><Relationship Type="http://schemas.openxmlformats.org/officeDocument/2006/relationships/hyperlink" Target="https://archive.org/details/github.com-tesselle-dimensio_-_2021-05-24_16-00-49" TargetMode="External" Id="rId356" /><Relationship Type="http://schemas.openxmlformats.org/officeDocument/2006/relationships/hyperlink" Target="https://github.com/aejolene/disastermap" TargetMode="External" Id="rId357" /><Relationship Type="http://schemas.openxmlformats.org/officeDocument/2006/relationships/hyperlink" Target="https://aejolene.github.io/disastermap/" TargetMode="External" Id="rId358" /><Relationship Type="http://schemas.openxmlformats.org/officeDocument/2006/relationships/hyperlink" Target="https://archive.org/details/github.com-aejolene-disastermap_-_2017-10-31_22-24-16" TargetMode="External" Id="rId359" /><Relationship Type="http://schemas.openxmlformats.org/officeDocument/2006/relationships/hyperlink" Target="https://github.com/zackbatist/DIYFieldworkDatabase" TargetMode="External" Id="rId360" /><Relationship Type="http://schemas.openxmlformats.org/officeDocument/2006/relationships/hyperlink" Target="https://archive.org/details/zackbatist-DIYFieldworkDatabase_-_2018-07-28_05-00-47" TargetMode="External" Id="rId361" /><Relationship Type="http://schemas.openxmlformats.org/officeDocument/2006/relationships/hyperlink" Target="https://github.com/zackbatist/DObsiSS" TargetMode="External" Id="rId362" /><Relationship Type="http://schemas.openxmlformats.org/officeDocument/2006/relationships/hyperlink" Target="https://archive.org/details/github.com-zackbatist-DObsiSS_-_2017-01-25_04-57-41" TargetMode="External" Id="rId363" /><Relationship Type="http://schemas.openxmlformats.org/officeDocument/2006/relationships/hyperlink" Target="https://github.com/AndyBunn/dplR" TargetMode="External" Id="rId364" /><Relationship Type="http://schemas.openxmlformats.org/officeDocument/2006/relationships/hyperlink" Target="https://github.com/DRAC-calculator/DRAC-calculator" TargetMode="External" Id="rId365" /><Relationship Type="http://schemas.openxmlformats.org/officeDocument/2006/relationships/hyperlink" Target="https://archive.org/details/github.com-DRAC-calculator-DRAC-calculator_-_2016-09-07_16-22-39" TargetMode="External" Id="rId366" /><Relationship Type="http://schemas.openxmlformats.org/officeDocument/2006/relationships/hyperlink" Target="https://github.com/isaacullah/DroneSurveyPlanner" TargetMode="External" Id="rId367" /><Relationship Type="http://schemas.openxmlformats.org/officeDocument/2006/relationships/hyperlink" Target="http://isaacullah.github.io/DroneSurveyPlanner/" TargetMode="External" Id="rId368" /><Relationship Type="http://schemas.openxmlformats.org/officeDocument/2006/relationships/hyperlink" Target="https://archive.org/details/github.com-isaacullah-DroneSurveyPlanner_-_2018-01-02_23-32-47" TargetMode="External" Id="rId369" /><Relationship Type="http://schemas.openxmlformats.org/officeDocument/2006/relationships/hyperlink" Target="https://github.com/surf3s/E5" TargetMode="External" Id="rId370" /><Relationship Type="http://schemas.openxmlformats.org/officeDocument/2006/relationships/hyperlink" Target="https://archive.org/details/github.com-surf3s-E5_-_2019-11-15_12-18-58" TargetMode="External" Id="rId371" /><Relationship Type="http://schemas.openxmlformats.org/officeDocument/2006/relationships/hyperlink" Target="https://github.com/demjanp/ede_interpolation" TargetMode="External" Id="rId372" /><Relationship Type="http://schemas.openxmlformats.org/officeDocument/2006/relationships/hyperlink" Target="https://plugins.qgis.org/plugins/ede_interpolation/" TargetMode="External" Id="rId373" /><Relationship Type="http://schemas.openxmlformats.org/officeDocument/2006/relationships/hyperlink" Target="https://archive.org/details/github.com-demjanp-ede_interpolation_-_2020-06-05_13-54-37" TargetMode="External" Id="rId374" /><Relationship Type="http://schemas.openxmlformats.org/officeDocument/2006/relationships/hyperlink" Target="https://github.com/surf3s/EDM" TargetMode="External" Id="rId375" /><Relationship Type="http://schemas.openxmlformats.org/officeDocument/2006/relationships/hyperlink" Target="https://github.com/surf3s/EDMWIN" TargetMode="External" Id="rId376" /><Relationship Type="http://schemas.openxmlformats.org/officeDocument/2006/relationships/hyperlink" Target="https://www.ebl.lmu.de/" TargetMode="External" Id="rId377" /><Relationship Type="http://schemas.openxmlformats.org/officeDocument/2006/relationships/hyperlink" Target="https://github.com/bischrob/ElementSourcing" TargetMode="External" Id="rId378" /><Relationship Type="http://schemas.openxmlformats.org/officeDocument/2006/relationships/hyperlink" Target="https://archive.org/details/github.com-bischrob-ElementSourcing_-_2018-02-06_20-35-44" TargetMode="External" Id="rId379" /><Relationship Type="http://schemas.openxmlformats.org/officeDocument/2006/relationships/hyperlink" Target="https://github.com/bischrob/elemSource" TargetMode="External" Id="rId380" /><Relationship Type="http://schemas.openxmlformats.org/officeDocument/2006/relationships/hyperlink" Target="https://archive.org/details/github.com-bischrob-elemSource_-_2020-01-06_18-15-30" TargetMode="External" Id="rId381" /><Relationship Type="http://schemas.openxmlformats.org/officeDocument/2006/relationships/hyperlink" Target="https://github.com/zalmoxes-laran/EM-blender-tools" TargetMode="External" Id="rId382" /><Relationship Type="http://schemas.openxmlformats.org/officeDocument/2006/relationships/hyperlink" Target="https://github.com/joeroe/era" TargetMode="External" Id="rId383" /><Relationship Type="http://schemas.openxmlformats.org/officeDocument/2006/relationships/hyperlink" Target="https://cran.r-project.org/package=era" TargetMode="External" Id="rId384" /><Relationship Type="http://schemas.openxmlformats.org/officeDocument/2006/relationships/hyperlink" Target="https://era.joeroe.io/" TargetMode="External" Id="rId385" /><Relationship Type="http://schemas.openxmlformats.org/officeDocument/2006/relationships/hyperlink" Target="https://archive.org/details/github.com-joeroe-era_-_2021-02-02_13-48-22" TargetMode="External" Id="rId386" /><Relationship Type="http://schemas.openxmlformats.org/officeDocument/2006/relationships/hyperlink" Target="https://github.com/scollinselliott/eratosthenes" TargetMode="External" Id="rId387" /><Relationship Type="http://schemas.openxmlformats.org/officeDocument/2006/relationships/hyperlink" Target="https://github.com/CWWhitney/ethnobotanyR" TargetMode="External" Id="rId388" /><Relationship Type="http://schemas.openxmlformats.org/officeDocument/2006/relationships/hyperlink" Target="http://htmlpreview.github.io/?https://github.com/CWWhitney/ethnobotanyR/blob/master/vignettes/ethnobotanyr_vignette.html" TargetMode="External" Id="rId389" /><Relationship Type="http://schemas.openxmlformats.org/officeDocument/2006/relationships/hyperlink" Target="https://archive.org/details/github.com-CWWhitney-ethnobotanyR_-_2021-01-08_12-45-25" TargetMode="External" Id="rId390" /><Relationship Type="http://schemas.openxmlformats.org/officeDocument/2006/relationships/hyperlink" Target="https://github.com/benmarwick/evoarchdata" TargetMode="External" Id="rId391" /><Relationship Type="http://schemas.openxmlformats.org/officeDocument/2006/relationships/hyperlink" Target="https://archive.org/details/github.com-benmarwick-evoarchdata_-_2020-08-20_14-00-44" TargetMode="External" Id="rId392" /><Relationship Type="http://schemas.openxmlformats.org/officeDocument/2006/relationships/hyperlink" Target="https://github.com/samclin/Excavation_data_viewer" TargetMode="External" Id="rId393" /><Relationship Type="http://schemas.openxmlformats.org/officeDocument/2006/relationships/hyperlink" Target="https://abp.hypotheses.org/le-programme-bassin-parisien/les-projets/les-projets-associes-au-programme/outils-danalyse-graphique-des-donnees" TargetMode="External" Id="rId394" /><Relationship Type="http://schemas.openxmlformats.org/officeDocument/2006/relationships/hyperlink" Target="https://codeberg.org/steko/expotime" TargetMode="External" Id="rId395" /><Relationship Type="http://schemas.openxmlformats.org/officeDocument/2006/relationships/hyperlink" Target="https://archive.org/details/codeberg.org-steko-expotime_-_2020-08-08_08-20-45" TargetMode="External" Id="rId396" /><Relationship Type="http://schemas.openxmlformats.org/officeDocument/2006/relationships/hyperlink" Target="https://github.com/zalmoxes-laran/ExtendedMatrix" TargetMode="External" Id="rId397" /><Relationship Type="http://schemas.openxmlformats.org/officeDocument/2006/relationships/hyperlink" Target="https://www.extendedmatrix.org/home" TargetMode="External" Id="rId398" /><Relationship Type="http://schemas.openxmlformats.org/officeDocument/2006/relationships/hyperlink" Target="https://doi.org/10.3390/heritage6020069" TargetMode="External" Id="rId399" /><Relationship Type="http://schemas.openxmlformats.org/officeDocument/2006/relationships/hyperlink" Target="https://github.com/marchaeologist/fabryka" TargetMode="External" Id="rId400" /><Relationship Type="http://schemas.openxmlformats.org/officeDocument/2006/relationships/hyperlink" Target="https://github.com/f-silva-archaeo/fastmaRching" TargetMode="External" Id="rId401" /><Relationship Type="http://schemas.openxmlformats.org/officeDocument/2006/relationships/hyperlink" Target="https://cran.r-project.org/package=fastmaRching" TargetMode="External" Id="rId402" /><Relationship Type="http://schemas.openxmlformats.org/officeDocument/2006/relationships/hyperlink" Target="https://doi.org/10.1016/j.jas.2014.04.021" TargetMode="External" Id="rId403" /><Relationship Type="http://schemas.openxmlformats.org/officeDocument/2006/relationships/hyperlink" Target="https://archive.org/details/github.com-f-silva-archaeo-fastmaRching_-_2019-09-05_11-20-15" TargetMode="External" Id="rId404" /><Relationship Type="http://schemas.openxmlformats.org/officeDocument/2006/relationships/hyperlink" Target="https://github.com/hanecakr/fellingDateR" TargetMode="External" Id="rId405" /><Relationship Type="http://schemas.openxmlformats.org/officeDocument/2006/relationships/hyperlink" Target="https://abp.hypotheses.org/le-programme-bassin-parisien/les-projets/les-projets-associes-au-programme/fsn" TargetMode="External" Id="rId406" /><Relationship Type="http://schemas.openxmlformats.org/officeDocument/2006/relationships/hyperlink" Target="https://github.com/anatolian/field-photographs" TargetMode="External" Id="rId407" /><Relationship Type="http://schemas.openxmlformats.org/officeDocument/2006/relationships/hyperlink" Target="https://archive.org/details/github.com-anatolian-field-photographs_-_2016-03-06_19-58-32" TargetMode="External" Id="rId408" /><Relationship Type="http://schemas.openxmlformats.org/officeDocument/2006/relationships/hyperlink" Target="https://github.com/joeroe/fieldwalkr" TargetMode="External" Id="rId409" /><Relationship Type="http://schemas.openxmlformats.org/officeDocument/2006/relationships/hyperlink" Target="https://archive.org/details/github.com-joeroe-fieldwalkr_-_2019-03-18_08-56-49" TargetMode="External" Id="rId410" /><Relationship Type="http://schemas.openxmlformats.org/officeDocument/2006/relationships/hyperlink" Target="http://www.heritage-standards.org.uk/fish-vocabularies/" TargetMode="External" Id="rId411" /><Relationship Type="http://schemas.openxmlformats.org/officeDocument/2006/relationships/hyperlink" Target="https://codeberg.org/steko/fix-exif-artist" TargetMode="External" Id="rId412" /><Relationship Type="http://schemas.openxmlformats.org/officeDocument/2006/relationships/hyperlink" Target="https://archive.org/details/codeberg.org-steko-fix-exif-artist_-_2020-03-25_20-46-58" TargetMode="External" Id="rId413" /><Relationship Type="http://schemas.openxmlformats.org/officeDocument/2006/relationships/hyperlink" Target="https://github.com/tesselle/folio" TargetMode="External" Id="rId414" /><Relationship Type="http://schemas.openxmlformats.org/officeDocument/2006/relationships/hyperlink" Target="https://cran.r-project.org/package=folio" TargetMode="External" Id="rId415" /><Relationship Type="http://schemas.openxmlformats.org/officeDocument/2006/relationships/hyperlink" Target="https://packages.tesselle.org/folio/" TargetMode="External" Id="rId416" /><Relationship Type="http://schemas.openxmlformats.org/officeDocument/2006/relationships/hyperlink" Target="https://archive.org/details/github.com-tesselle-folio_-_2021-05-24_16-01-32" TargetMode="External" Id="rId417" /><Relationship Type="http://schemas.openxmlformats.org/officeDocument/2006/relationships/hyperlink" Target="https://github.com/mpeeples2008/Ford-Diagram" TargetMode="External" Id="rId418" /><Relationship Type="http://schemas.openxmlformats.org/officeDocument/2006/relationships/hyperlink" Target="https://archive.org/details/github.com-mpeeples2008-Ford-Diagram_-_2019-01-14_18-46-58" TargetMode="External" Id="rId419" /><Relationship Type="http://schemas.openxmlformats.org/officeDocument/2006/relationships/hyperlink" Target="https://github.com/gianmarcoalberti/FuzzyViewshed" TargetMode="External" Id="rId420" /><Relationship Type="http://schemas.openxmlformats.org/officeDocument/2006/relationships/hyperlink" Target="https://archive.org/details/github.com-gianmarcoalberti-FuzzyViewshed_-_2017-10-31_07-54-32" TargetMode="External" Id="rId421" /><Relationship Type="http://schemas.openxmlformats.org/officeDocument/2006/relationships/hyperlink" Target="https://github.com/crp2a/gamma" TargetMode="External" Id="rId422" /><Relationship Type="http://schemas.openxmlformats.org/officeDocument/2006/relationships/hyperlink" Target="https://cran.r-project.org/package=gamma" TargetMode="External" Id="rId423" /><Relationship Type="http://schemas.openxmlformats.org/officeDocument/2006/relationships/hyperlink" Target="https://crp2a.github.io/gamma/" TargetMode="External" Id="rId424" /><Relationship Type="http://schemas.openxmlformats.org/officeDocument/2006/relationships/hyperlink" Target="https://archive.org/details/github.com-crp2a-gamma_-_2021-01-14_11-31-46" TargetMode="External" Id="rId425" /><Relationship Type="http://schemas.openxmlformats.org/officeDocument/2006/relationships/hyperlink" Target="https://github.com/oblarquez/GCD" TargetMode="External" Id="rId426" /><Relationship Type="http://schemas.openxmlformats.org/officeDocument/2006/relationships/hyperlink" Target="https://archive.org/details/github.com-oblarquez-GCD_-_2020-10-26_18-54-03" TargetMode="External" Id="rId427" /><Relationship Type="http://schemas.openxmlformats.org/officeDocument/2006/relationships/hyperlink" Target="https://github.com/t-systems-on-site-services-gmbh/geoCore" TargetMode="External" Id="rId428" /><Relationship Type="http://schemas.openxmlformats.org/officeDocument/2006/relationships/hyperlink" Target="https://plugins.qgis.org/plugins/geoCore/" TargetMode="External" Id="rId429" /><Relationship Type="http://schemas.openxmlformats.org/officeDocument/2006/relationships/hyperlink" Target="https://github.com/cl379/Geostat" TargetMode="External" Id="rId430" /><Relationship Type="http://schemas.openxmlformats.org/officeDocument/2006/relationships/hyperlink" Target="https://archive.org/details/github.com-cl379-Geostat_-_2014-11-10_16-24-57" TargetMode="External" Id="rId431" /><Relationship Type="http://schemas.openxmlformats.org/officeDocument/2006/relationships/hyperlink" Target="https://github.com/isaacullah/GIS-Projects" TargetMode="External" Id="rId432" /><Relationship Type="http://schemas.openxmlformats.org/officeDocument/2006/relationships/hyperlink" Target="https://archive.org/details/github.com-isaacullah-GIS-Projects_-_2018-06-22_16-38-00" TargetMode="External" Id="rId433" /><Relationship Type="http://schemas.openxmlformats.org/officeDocument/2006/relationships/hyperlink" Target="https://github.com/aksel-blaise/git-to-the-point" TargetMode="External" Id="rId434" /><Relationship Type="http://schemas.openxmlformats.org/officeDocument/2006/relationships/hyperlink" Target="https://archive.org/details/github.com-aksel-blaise-git-to-the-point_-_2020-01-24_17-25-26" TargetMode="External" Id="rId435" /><Relationship Type="http://schemas.openxmlformats.org/officeDocument/2006/relationships/hyperlink" Target="https://github.com/BritishMuseum/gitMuseum" TargetMode="External" Id="rId436" /><Relationship Type="http://schemas.openxmlformats.org/officeDocument/2006/relationships/hyperlink" Target="https://archive.org/details/github.com-BritishMuseum-gitMuseum_-_2016-04-11_13-28-49" TargetMode="External" Id="rId437" /><Relationship Type="http://schemas.openxmlformats.org/officeDocument/2006/relationships/hyperlink" Target="https://github.com/archmetalDBM/GlobaLID-App" TargetMode="External" Id="rId438" /><Relationship Type="http://schemas.openxmlformats.org/officeDocument/2006/relationships/hyperlink" Target="https://globalid.dmt-lb.de/" TargetMode="External" Id="rId439" /><Relationship Type="http://schemas.openxmlformats.org/officeDocument/2006/relationships/hyperlink" Target="https://github.com/archmetalDBM/GlobaLID-database" TargetMode="External" Id="rId440" /><Relationship Type="http://schemas.openxmlformats.org/officeDocument/2006/relationships/hyperlink" Target="https://doi.org/10.5880/fidgeo.2021.031" TargetMode="External" Id="rId441" /><Relationship Type="http://schemas.openxmlformats.org/officeDocument/2006/relationships/hyperlink" Target="https://github.com/gianmarcoalberti/GmAMisc" TargetMode="External" Id="rId442" /><Relationship Type="http://schemas.openxmlformats.org/officeDocument/2006/relationships/hyperlink" Target="https://archive.org/details/github.com-gianmarcoalberti-GmAMisc_-_2018-07-10_14-35-11" TargetMode="External" Id="rId443" /><Relationship Type="http://schemas.openxmlformats.org/officeDocument/2006/relationships/hyperlink" Target="https://github.com/adammertel/gods-on-the-barge" TargetMode="External" Id="rId444" /><Relationship Type="http://schemas.openxmlformats.org/officeDocument/2006/relationships/hyperlink" Target="http://www.coffeegnome.net/godsonthebarge/" TargetMode="External" Id="rId445" /><Relationship Type="http://schemas.openxmlformats.org/officeDocument/2006/relationships/hyperlink" Target="https://archive.org/details/github.com-adammertel-gods-on-the-barge_-_2020-08-07_18-19-26" TargetMode="External" Id="rId446" /><Relationship Type="http://schemas.openxmlformats.org/officeDocument/2006/relationships/hyperlink" Target="https://github.com/sfsheath/gorbit" TargetMode="External" Id="rId447" /><Relationship Type="http://schemas.openxmlformats.org/officeDocument/2006/relationships/hyperlink" Target="https://archive.org/details/github.com-sfsheath-gorbit_-_2015-01-27_16-16-08" TargetMode="External" Id="rId448" /><Relationship Type="http://schemas.openxmlformats.org/officeDocument/2006/relationships/hyperlink" Target="https://github.com/fradeve/grass-arch" TargetMode="External" Id="rId449" /><Relationship Type="http://schemas.openxmlformats.org/officeDocument/2006/relationships/hyperlink" Target="https://archive.org/details/github.com-fradeve-grass-arch_-_2013-07-17_17-19-06" TargetMode="External" Id="rId450" /><Relationship Type="http://schemas.openxmlformats.org/officeDocument/2006/relationships/hyperlink" Target="https://github.com/willismonroe/hammurabi-markov" TargetMode="External" Id="rId451" /><Relationship Type="http://schemas.openxmlformats.org/officeDocument/2006/relationships/hyperlink" Target="https://archive.org/details/github.com-willismonroe-hammurabi-markov_-_2021-05-07_17-40-49" TargetMode="External" Id="rId452" /><Relationship Type="http://schemas.openxmlformats.org/officeDocument/2006/relationships/hyperlink" Target="https://github.com/tsdye/harris-matrix/" TargetMode="External" Id="rId453" /><Relationship Type="http://schemas.openxmlformats.org/officeDocument/2006/relationships/hyperlink" Target="http://tsdye.online/harris-matrix/homepage/" TargetMode="External" Id="rId454" /><Relationship Type="http://schemas.openxmlformats.org/officeDocument/2006/relationships/hyperlink" Target="https://archive.org/details/github.com-tsdye-harris-matrix_-_2019-08-27_02-15-00" TargetMode="External" Id="rId455" /><Relationship Type="http://schemas.openxmlformats.org/officeDocument/2006/relationships/hyperlink" Target="https://github.com/semerj/harris-matrix" TargetMode="External" Id="rId456" /><Relationship Type="http://schemas.openxmlformats.org/officeDocument/2006/relationships/hyperlink" Target="https://archive.org/details/github.com-semerj-harris-matrix_-_2016-05-29_22-11-13" TargetMode="External" Id="rId457" /><Relationship Type="http://schemas.openxmlformats.org/officeDocument/2006/relationships/hyperlink" Target="https://codeberg.org/steko/harris-matrix-data-package" TargetMode="External" Id="rId458" /><Relationship Type="http://schemas.openxmlformats.org/officeDocument/2006/relationships/hyperlink" Target="https://archive.org/details/codeberg.org-steko-harris-matrix-data-package_-_2020-03-04_22-46-43" TargetMode="External" Id="rId459" /><Relationship Type="http://schemas.openxmlformats.org/officeDocument/2006/relationships/hyperlink" Target="https://codeberg.org/steko/harris-matrix-legacy" TargetMode="External" Id="rId460" /><Relationship Type="http://schemas.openxmlformats.org/officeDocument/2006/relationships/hyperlink" Target="https://www.iosa.it/2008/08/27/harris-matrix-with-graphviz-a-draft-application-with-python/" TargetMode="External" Id="rId461" /><Relationship Type="http://schemas.openxmlformats.org/officeDocument/2006/relationships/hyperlink" Target="https://github.com/lparchaeology/harris2graph/" TargetMode="External" Id="rId462" /><Relationship Type="http://schemas.openxmlformats.org/officeDocument/2006/relationships/hyperlink" Target="https://archive.org/details/github.com-lparchaeology-harris2graph_-_2016-01-28_10-44-01" TargetMode="External" Id="rId463" /><Relationship Type="http://schemas.openxmlformats.org/officeDocument/2006/relationships/hyperlink" Target="https://github.com/HeuristNetwork/heurist" TargetMode="External" Id="rId464" /><Relationship Type="http://schemas.openxmlformats.org/officeDocument/2006/relationships/hyperlink" Target="http://heuristnetwork.org/" TargetMode="External" Id="rId465" /><Relationship Type="http://schemas.openxmlformats.org/officeDocument/2006/relationships/hyperlink" Target="https://archive.org/details/github.com-HeuristNetwork-heurist_-_2021-03-01_11-18-04" TargetMode="External" Id="rId466" /><Relationship Type="http://schemas.openxmlformats.org/officeDocument/2006/relationships/hyperlink" Target="https://github.com/adammertel/historical-geocoding-assistant" TargetMode="External" Id="rId467" /><Relationship Type="http://schemas.openxmlformats.org/officeDocument/2006/relationships/hyperlink" Target="https://archive.org/details/github.com-adammertel-historical-geocoding-assistant_-_2021-02-04_13-33-32" TargetMode="External" Id="rId468" /><Relationship Type="http://schemas.openxmlformats.org/officeDocument/2006/relationships/hyperlink" Target="https://github.com/openhistorymap/hsv-api" TargetMode="External" Id="rId469" /><Relationship Type="http://schemas.openxmlformats.org/officeDocument/2006/relationships/hyperlink" Target="https://visions.ofthepast.org/" TargetMode="External" Id="rId470" /><Relationship Type="http://schemas.openxmlformats.org/officeDocument/2006/relationships/hyperlink" Target="https://www.humanos.cnrs.fr/" TargetMode="External" Id="rId471" /><Relationship Type="http://schemas.openxmlformats.org/officeDocument/2006/relationships/hyperlink" Target="https://polipapers.upv.es/index.php/var/article/view/13422" TargetMode="External" Id="rId472" /><Relationship Type="http://schemas.openxmlformats.org/officeDocument/2006/relationships/hyperlink" Target="https://github.com/zoometh/iconr" TargetMode="External" Id="rId473" /><Relationship Type="http://schemas.openxmlformats.org/officeDocument/2006/relationships/hyperlink" Target="https://zoometh.github.io/iconr/articles/index.html" TargetMode="External" Id="rId474" /><Relationship Type="http://schemas.openxmlformats.org/officeDocument/2006/relationships/hyperlink" Target="https://archive.org/details/github.com-zoometh-iconr_-_2021-03-01_18-06-08" TargetMode="External" Id="rId475" /><Relationship Type="http://schemas.openxmlformats.org/officeDocument/2006/relationships/hyperlink" Target="https://github.com/dainst/idai-field" TargetMode="External" Id="rId476" /><Relationship Type="http://schemas.openxmlformats.org/officeDocument/2006/relationships/hyperlink" Target="https://field.dainst.org/" TargetMode="External" Id="rId477" /><Relationship Type="http://schemas.openxmlformats.org/officeDocument/2006/relationships/hyperlink" Target="https://archive.org/details/github.com-dainst-idai-field_-_2021-07-06_16-20-43" TargetMode="External" Id="rId478" /><Relationship Type="http://schemas.openxmlformats.org/officeDocument/2006/relationships/hyperlink" Target="https://github.com/lsteinmann/idaifieldR" TargetMode="External" Id="rId479" /><Relationship Type="http://schemas.openxmlformats.org/officeDocument/2006/relationships/hyperlink" Target="https://archive.org/details/github.com-lsteinmann-idaifieldR_-_2021-04-13_16-34-48" TargetMode="External" Id="rId480" /><Relationship Type="http://schemas.openxmlformats.org/officeDocument/2006/relationships/hyperlink" Target="https://codeberg.org/steko/inclusions" TargetMode="External" Id="rId481" /><Relationship Type="http://schemas.openxmlformats.org/officeDocument/2006/relationships/hyperlink" Target="https://archive.org/details/codeberg.org-steko-inclusions_-_2019-10-26_17-03-54" TargetMode="External" Id="rId482" /><Relationship Type="http://schemas.openxmlformats.org/officeDocument/2006/relationships/hyperlink" Target="https://github.com/Maarten14C/IntCal" TargetMode="External" Id="rId483" /><Relationship Type="http://schemas.openxmlformats.org/officeDocument/2006/relationships/hyperlink" Target="https://cran.r-project.org/package=IntCal" TargetMode="External" Id="rId484" /><Relationship Type="http://schemas.openxmlformats.org/officeDocument/2006/relationships/hyperlink" Target="https://intchron.org/" TargetMode="External" Id="rId485" /><Relationship Type="http://schemas.openxmlformats.org/officeDocument/2006/relationships/hyperlink" Target="https://pypi.org/project/iosacal/" TargetMode="External" Id="rId486" /><Relationship Type="http://schemas.openxmlformats.org/officeDocument/2006/relationships/hyperlink" Target="https://codeberg.org/steko/iosacal" TargetMode="External" Id="rId487" /><Relationship Type="http://schemas.openxmlformats.org/officeDocument/2006/relationships/hyperlink" Target="https://iosacal.readthedocs.io/en/latest/" TargetMode="External" Id="rId488" /><Relationship Type="http://schemas.openxmlformats.org/officeDocument/2006/relationships/hyperlink" Target="https://archive.org/details/codeberg.org-steko-iosacal_-_2021-01-28_00-04-29" TargetMode="External" Id="rId489" /><Relationship Type="http://schemas.openxmlformats.org/officeDocument/2006/relationships/hyperlink" Target="https://github.com/apalmisano82/Iraq_mortar" TargetMode="External" Id="rId490" /><Relationship Type="http://schemas.openxmlformats.org/officeDocument/2006/relationships/hyperlink" Target="https://archive.org/details/github.com-apalmisano82-Iraq_mortar_-_2017-03-17_18-27-31" TargetMode="External" Id="rId491" /><Relationship Type="http://schemas.openxmlformats.org/officeDocument/2006/relationships/hyperlink" Target="http://isaacullah.github.io/List-of-FOSS-tools-for-academics/" TargetMode="External" Id="rId492" /><Relationship Type="http://schemas.openxmlformats.org/officeDocument/2006/relationships/hyperlink" Target="https://gitlab.com/iggdrasil/ishtar" TargetMode="External" Id="rId493" /><Relationship Type="http://schemas.openxmlformats.org/officeDocument/2006/relationships/hyperlink" Target="https://ishtar-archeo.net/en/" TargetMode="External" Id="rId494" /><Relationship Type="http://schemas.openxmlformats.org/officeDocument/2006/relationships/hyperlink" Target="https://archive.org/details/gitlab.com-iggdrasil-ishtar_-_2021-02-12_16-06-23" TargetMode="External" Id="rId495" /><Relationship Type="http://schemas.openxmlformats.org/officeDocument/2006/relationships/hyperlink" Target="https://twitter.com/isoarch_eu" TargetMode="External" Id="rId496" /><Relationship Type="http://schemas.openxmlformats.org/officeDocument/2006/relationships/hyperlink" Target="https://isoarch.eu/" TargetMode="External" Id="rId497" /><Relationship Type="http://schemas.openxmlformats.org/officeDocument/2006/relationships/hyperlink" Target="https://github.com/stantis/IsoDataVis" TargetMode="External" Id="rId498" /><Relationship Type="http://schemas.openxmlformats.org/officeDocument/2006/relationships/hyperlink" Target="https://stantis.github.io/IsoDataVis/" TargetMode="External" Id="rId499" /><Relationship Type="http://schemas.openxmlformats.org/officeDocument/2006/relationships/hyperlink" Target="https://github.com/EstherPlomp/IsoMapNL" TargetMode="External" Id="rId500" /><Relationship Type="http://schemas.openxmlformats.org/officeDocument/2006/relationships/hyperlink" Target="https://github.com/tesselle/isopleuros" TargetMode="External" Id="rId501" /><Relationship Type="http://schemas.openxmlformats.org/officeDocument/2006/relationships/hyperlink" Target="https://cran.r-project.org/package=isopleuros" TargetMode="External" Id="rId502" /><Relationship Type="http://schemas.openxmlformats.org/officeDocument/2006/relationships/hyperlink" Target="https://packages.tesselle.org/isopleuros/" TargetMode="External" Id="rId503" /><Relationship Type="http://schemas.openxmlformats.org/officeDocument/2006/relationships/hyperlink" Target="https://github.com/EstherPlomp/Isotope-Visualisation" TargetMode="External" Id="rId504" /><Relationship Type="http://schemas.openxmlformats.org/officeDocument/2006/relationships/hyperlink" Target="https://github.com/sfsheath/italy-3d-amphitheaters" TargetMode="External" Id="rId505" /><Relationship Type="http://schemas.openxmlformats.org/officeDocument/2006/relationships/hyperlink" Target="https://archive.org/details/github.com-sfsheath-italy-3d-amphitheaters_-_2018-01-21_04-52-13" TargetMode="External" Id="rId506" /><Relationship Type="http://schemas.openxmlformats.org/officeDocument/2006/relationships/hyperlink" Target="https://github.com/deepmind/ithaca" TargetMode="External" Id="rId507" /><Relationship Type="http://schemas.openxmlformats.org/officeDocument/2006/relationships/hyperlink" Target="https://github.com/alexbrandsen/joint-disease-tool" TargetMode="External" Id="rId508" /><Relationship Type="http://schemas.openxmlformats.org/officeDocument/2006/relationships/hyperlink" Target="https://github.com/tesselle/kairos" TargetMode="External" Id="rId509" /><Relationship Type="http://schemas.openxmlformats.org/officeDocument/2006/relationships/hyperlink" Target="https://cran.r-project.org/package=kairos" TargetMode="External" Id="rId510" /><Relationship Type="http://schemas.openxmlformats.org/officeDocument/2006/relationships/hyperlink" Target="https://packages.tesselle.org/kairos/" TargetMode="External" Id="rId511" /><Relationship Type="http://schemas.openxmlformats.org/officeDocument/2006/relationships/hyperlink" Target="https://archive.org/details/github.com-tesselle-kairos_-_2021-06-24_12-52-49" TargetMode="External" Id="rId512" /><Relationship Type="http://schemas.openxmlformats.org/officeDocument/2006/relationships/hyperlink" Target="https://github.com/UnitoAssyrianGovernance/kart4arch" TargetMode="External" Id="rId513" /><Relationship Type="http://schemas.openxmlformats.org/officeDocument/2006/relationships/hyperlink" Target="https://unitoassyriangovernance.github.io/kart4arch/" TargetMode="External" Id="rId514" /><Relationship Type="http://schemas.openxmlformats.org/officeDocument/2006/relationships/hyperlink" Target="https://github.com/jgregoriods/katun" TargetMode="External" Id="rId515" /><Relationship Type="http://schemas.openxmlformats.org/officeDocument/2006/relationships/hyperlink" Target="https://jgregoriods.github.io/katun/" TargetMode="External" Id="rId516" /><Relationship Type="http://schemas.openxmlformats.org/officeDocument/2006/relationships/hyperlink" Target="https://archive.org/details/github.com-jgregoriods-katun_-_2021-05-27_03-02-18" TargetMode="External" Id="rId517" /><Relationship Type="http://schemas.openxmlformats.org/officeDocument/2006/relationships/hyperlink" Target="https://github.com/tesselle/khroma" TargetMode="External" Id="rId518" /><Relationship Type="http://schemas.openxmlformats.org/officeDocument/2006/relationships/hyperlink" Target="https://cran.r-project.org/package=khroma" TargetMode="External" Id="rId519" /><Relationship Type="http://schemas.openxmlformats.org/officeDocument/2006/relationships/hyperlink" Target="https://packages.tesselle.org/khroma/" TargetMode="External" Id="rId520" /><Relationship Type="http://schemas.openxmlformats.org/officeDocument/2006/relationships/hyperlink" Target="https://archive.org/details/github.com-tesselle-khroma_-_2021-01-26_17-55-46" TargetMode="External" Id="rId521" /><Relationship Type="http://schemas.openxmlformats.org/officeDocument/2006/relationships/hyperlink" Target="https://github.com/ElaineYChu/kidstats" TargetMode="External" Id="rId522" /><Relationship Type="http://schemas.openxmlformats.org/officeDocument/2006/relationships/hyperlink" Target="https://github.com/mpeeples2008/Kmeans" TargetMode="External" Id="rId523" /><Relationship Type="http://schemas.openxmlformats.org/officeDocument/2006/relationships/hyperlink" Target="http://www.mattpeeples.net/kmeans.html" TargetMode="External" Id="rId524" /><Relationship Type="http://schemas.openxmlformats.org/officeDocument/2006/relationships/hyperlink" Target="https://archive.org/details/github.com-mpeeples2008-Kmeans_-_2018-05-10_22-06-21" TargetMode="External" Id="rId525" /><Relationship Type="http://schemas.openxmlformats.org/officeDocument/2006/relationships/hyperlink" Target="https://codeberg.org/steko/kotyle" TargetMode="External" Id="rId526" /><Relationship Type="http://schemas.openxmlformats.org/officeDocument/2006/relationships/hyperlink" Target="https://kotyle.readthedocs.io/en/latest/" TargetMode="External" Id="rId527" /><Relationship Type="http://schemas.openxmlformats.org/officeDocument/2006/relationships/hyperlink" Target="https://archive.org/details/codeberg.org-steko-kotyle_-_2020-06-23_23-00-02" TargetMode="External" Id="rId528" /><Relationship Type="http://schemas.openxmlformats.org/officeDocument/2006/relationships/hyperlink" Target="https://github.com/cl379/kriging" TargetMode="External" Id="rId529" /><Relationship Type="http://schemas.openxmlformats.org/officeDocument/2006/relationships/hyperlink" Target="https://archive.org/details/github.com-cl379-kriging_-_2015-05-04_10-58-32" TargetMode="External" Id="rId530" /><Relationship Type="http://schemas.openxmlformats.org/officeDocument/2006/relationships/hyperlink" Target="https://github.com/ajupton/LA_ICP_MS-Routines_FMNH" TargetMode="External" Id="rId531" /><Relationship Type="http://schemas.openxmlformats.org/officeDocument/2006/relationships/hyperlink" Target="https://archive.org/details/github.com-ajupton-LA_ICP_MS-Routines_FMNH_-_2018-10-20_19-02-22" TargetMode="External" Id="rId532" /><Relationship Type="http://schemas.openxmlformats.org/officeDocument/2006/relationships/hyperlink" Target="https://github.com/scollinselliott/lakhesis" TargetMode="External" Id="rId533" /><Relationship Type="http://schemas.openxmlformats.org/officeDocument/2006/relationships/hyperlink" Target="https://cran.r-project.org/package=lakhesis" TargetMode="External" Id="rId534" /><Relationship Type="http://schemas.openxmlformats.org/officeDocument/2006/relationships/hyperlink" Target="https://abp.hypotheses.org/3965" TargetMode="External" Id="rId535" /><Relationship Type="http://schemas.openxmlformats.org/officeDocument/2006/relationships/hyperlink" Target="https://github.com/josephlewis/leastcostpath" TargetMode="External" Id="rId536" /><Relationship Type="http://schemas.openxmlformats.org/officeDocument/2006/relationships/hyperlink" Target="https://archive.org/details/github.com-josephlewis-leastcostpath_-_2021-01-28_18-03-22" TargetMode="External" Id="rId537" /><Relationship Type="http://schemas.openxmlformats.org/officeDocument/2006/relationships/hyperlink" Target="https://github.com/ISAAKiel/lecAAR" TargetMode="External" Id="rId538" /><Relationship Type="http://schemas.openxmlformats.org/officeDocument/2006/relationships/hyperlink" Target="https://archive.org/details/github.com-ISAAKiel-lecAAR_-_2019-07-29_12-28-26" TargetMode="External" Id="rId539" /><Relationship Type="http://schemas.openxmlformats.org/officeDocument/2006/relationships/hyperlink" Target="https://github.com/sarahkansa/levant-zooarch" TargetMode="External" Id="rId540" /><Relationship Type="http://schemas.openxmlformats.org/officeDocument/2006/relationships/hyperlink" Target="https://archive.org/details/github.com-sarahkansa-levant-zooarch_-_2015-01-15_06-52-11" TargetMode="External" Id="rId541" /><Relationship Type="http://schemas.openxmlformats.org/officeDocument/2006/relationships/hyperlink" Target="http://www.mattpeeples.net/modules/LISA.html" TargetMode="External" Id="rId542" /><Relationship Type="http://schemas.openxmlformats.org/officeDocument/2006/relationships/hyperlink" Target="https://github.com/kotdijian/lithic3dslicer" TargetMode="External" Id="rId543" /><Relationship Type="http://schemas.openxmlformats.org/officeDocument/2006/relationships/hyperlink" Target="https://archive.org/details/github.com-kotdijian-lithic3dslicer_-_2019-06-23_01-39-40" TargetMode="External" Id="rId544" /><Relationship Type="http://schemas.openxmlformats.org/officeDocument/2006/relationships/hyperlink" Target="https://github.com/cornelmpop/Lithics3D" TargetMode="External" Id="rId545" /><Relationship Type="http://schemas.openxmlformats.org/officeDocument/2006/relationships/hyperlink" Target="https://archive.org/details/github.com-cornelmpop-Lithics3D_-_2019-05-03_13-16-34" TargetMode="External" Id="rId546" /><Relationship Type="http://schemas.openxmlformats.org/officeDocument/2006/relationships/hyperlink" Target="https://github.com/pr0m1th3as/long-bone-diaphyseal-CSG-Toolkit" TargetMode="External" Id="rId547" /><Relationship Type="http://schemas.openxmlformats.org/officeDocument/2006/relationships/hyperlink" Target="https://archive.org/details/github.com-pr0m1th3as-long-bone-diaphyseal-CSG-Toolkit_-_2021-04-18_01-42-07" TargetMode="External" Id="rId548" /><Relationship Type="http://schemas.openxmlformats.org/officeDocument/2006/relationships/hyperlink" Target="https://github.com/R-Lum/Luminescence" TargetMode="External" Id="rId549" /><Relationship Type="http://schemas.openxmlformats.org/officeDocument/2006/relationships/hyperlink" Target="https://cran.r-project.org/package=Luminescence" TargetMode="External" Id="rId550" /><Relationship Type="http://schemas.openxmlformats.org/officeDocument/2006/relationships/hyperlink" Target="https://r-lum.github.io/Luminescence/" TargetMode="External" Id="rId551" /><Relationship Type="http://schemas.openxmlformats.org/officeDocument/2006/relationships/hyperlink" Target="https://archive.org/details/github.com-R-Lum-Luminescence_-_2021-02-01_17-37-18" TargetMode="External" Id="rId552" /><Relationship Type="http://schemas.openxmlformats.org/officeDocument/2006/relationships/hyperlink" Target="https://github.com/dstreble/LumReader" TargetMode="External" Id="rId553" /><Relationship Type="http://schemas.openxmlformats.org/officeDocument/2006/relationships/hyperlink" Target="https://archive.org/details/github.com-dstreble-LumReader_-_2017-01-26_13-55-17" TargetMode="External" Id="rId554" /><Relationship Type="http://schemas.openxmlformats.org/officeDocument/2006/relationships/hyperlink" Target="https://github.com/aejolene/maacgis" TargetMode="External" Id="rId555" /><Relationship Type="http://schemas.openxmlformats.org/officeDocument/2006/relationships/hyperlink" Target="https://aejolene.github.io/maacgis/" TargetMode="External" Id="rId556" /><Relationship Type="http://schemas.openxmlformats.org/officeDocument/2006/relationships/hyperlink" Target="https://archive.org/details/github.com-aejolene-maacgis_-_2018-03-15_19-42-30" TargetMode="External" Id="rId557" /><Relationship Type="http://schemas.openxmlformats.org/officeDocument/2006/relationships/hyperlink" Target="https://github.com/JGravier/mafa" TargetMode="External" Id="rId558" /><Relationship Type="http://schemas.openxmlformats.org/officeDocument/2006/relationships/hyperlink" Target="https://jgravier.github.io/mafa/" TargetMode="External" Id="rId559" /><Relationship Type="http://schemas.openxmlformats.org/officeDocument/2006/relationships/hyperlink" Target="https://github.com/ISAAKiel/magAAR" TargetMode="External" Id="rId560" /><Relationship Type="http://schemas.openxmlformats.org/officeDocument/2006/relationships/hyperlink" Target="https://archive.org/details/github.com-ISAAKiel-magAAR_-_2017-06-10_14-34-21" TargetMode="External" Id="rId561" /><Relationship Type="http://schemas.openxmlformats.org/officeDocument/2006/relationships/hyperlink" Target="https://github.com/LSIND/map-of-Ancient-Egypt" TargetMode="External" Id="rId562" /><Relationship Type="http://schemas.openxmlformats.org/officeDocument/2006/relationships/hyperlink" Target="https://archive.org/details/github.com-LSIND-map-of-Ancient-Egypt_-_2020-02-08_23-45-07" TargetMode="External" Id="rId563" /><Relationship Type="http://schemas.openxmlformats.org/officeDocument/2006/relationships/hyperlink" Target="https://github.com/sslarch/MapofComputationalArchaeology" TargetMode="External" Id="rId564" /><Relationship Type="http://schemas.openxmlformats.org/officeDocument/2006/relationships/hyperlink" Target="https://github.com/rybesh/marbleplan" TargetMode="External" Id="rId565" /><Relationship Type="http://schemas.openxmlformats.org/officeDocument/2006/relationships/hyperlink" Target="http://rybesh.github.io/marbleplan/" TargetMode="External" Id="rId566" /><Relationship Type="http://schemas.openxmlformats.org/officeDocument/2006/relationships/hyperlink" Target="https://github.com/maltaweel/Mask_UAV" TargetMode="External" Id="rId567" /><Relationship Type="http://schemas.openxmlformats.org/officeDocument/2006/relationships/hyperlink" Target="https://github.com/stark1tty/Mastodon-Archaeology" TargetMode="External" Id="rId568" /><Relationship Type="http://schemas.openxmlformats.org/officeDocument/2006/relationships/hyperlink" Target="https://materialsourcesforearlyislamandlateantiqueneareast.hcommons.org/" TargetMode="External" Id="rId569" /><Relationship Type="http://schemas.openxmlformats.org/officeDocument/2006/relationships/hyperlink" Target="https://github.com/stefanieschneider/MAX" TargetMode="External" Id="rId570" /><Relationship Type="http://schemas.openxmlformats.org/officeDocument/2006/relationships/hyperlink" Target="https://www.max.gwi.uni-muenchen.de/" TargetMode="External" Id="rId571" /><Relationship Type="http://schemas.openxmlformats.org/officeDocument/2006/relationships/hyperlink" Target="https://archive.org/details/github.com-stefanieschneider-MAX_-_2020-10-20_11-38-03" TargetMode="External" Id="rId572" /><Relationship Type="http://schemas.openxmlformats.org/officeDocument/2006/relationships/hyperlink" Target="https://github.com/jgregoriods/maya-calendar" TargetMode="External" Id="rId573" /><Relationship Type="http://schemas.openxmlformats.org/officeDocument/2006/relationships/hyperlink" Target="https://jgregoriods.github.io/maya-calendar/dist/" TargetMode="External" Id="rId574" /><Relationship Type="http://schemas.openxmlformats.org/officeDocument/2006/relationships/hyperlink" Target="https://archive.org/details/github.com-jgregoriods-maya-calendar_-_2021-05-27_02-40-14" TargetMode="External" Id="rId575" /><Relationship Type="http://schemas.openxmlformats.org/officeDocument/2006/relationships/hyperlink" Target="https://github.com/mpeeples2008/Mean-Ceramic-Date-and-Error-Estimation" TargetMode="External" Id="rId576" /><Relationship Type="http://schemas.openxmlformats.org/officeDocument/2006/relationships/hyperlink" Target="http://www.mattpeeples.net/mcd.html" TargetMode="External" Id="rId577" /><Relationship Type="http://schemas.openxmlformats.org/officeDocument/2006/relationships/hyperlink" Target="https://archive.org/details/github.com-mpeeples2008-Mean-Ceramic-Date-and-Error-Estimation_-_2018-05-10_22-18-24" TargetMode="External" Id="rId578" /><Relationship Type="http://schemas.openxmlformats.org/officeDocument/2006/relationships/hyperlink" Target="https://github.com/KevinCain/meshlab" TargetMode="External" Id="rId579" /><Relationship Type="http://schemas.openxmlformats.org/officeDocument/2006/relationships/hyperlink" Target="https://archive.org/details/github.com-KevinCain-meshlab_-_2016-10-29_04-39-53" TargetMode="External" Id="rId580" /><Relationship Type="http://schemas.openxmlformats.org/officeDocument/2006/relationships/hyperlink" Target="https://codeberg.org/steko/missing" TargetMode="External" Id="rId581" /><Relationship Type="http://schemas.openxmlformats.org/officeDocument/2006/relationships/hyperlink" Target="https://archive.org/details/codeberg.org-steko-missing_-_2020-02-10_10-18-09" TargetMode="External" Id="rId582" /><Relationship Type="http://schemas.openxmlformats.org/officeDocument/2006/relationships/hyperlink" Target="https://github.com/nevrome/mobest" TargetMode="External" Id="rId583" /><Relationship Type="http://schemas.openxmlformats.org/officeDocument/2006/relationships/hyperlink" Target="https://nevrome.de/mobest/html/master/" TargetMode="External" Id="rId584" /><Relationship Type="http://schemas.openxmlformats.org/officeDocument/2006/relationships/hyperlink" Target="https://doi.org/10.1073/pnas.2218375120" TargetMode="External" Id="rId585" /><Relationship Type="http://schemas.openxmlformats.org/officeDocument/2006/relationships/hyperlink" Target="https://github.com/Palaeoprot/ModulAAR" TargetMode="External" Id="rId586" /><Relationship Type="http://schemas.openxmlformats.org/officeDocument/2006/relationships/hyperlink" Target="https://www.palaeome.org/get-involved/software/modulaar" TargetMode="External" Id="rId587" /><Relationship Type="http://schemas.openxmlformats.org/officeDocument/2006/relationships/hyperlink" Target="https://github.com/JGravier/morphalr" TargetMode="External" Id="rId588" /><Relationship Type="http://schemas.openxmlformats.org/officeDocument/2006/relationships/hyperlink" Target="https://jgravier.github.io/morphalr/" TargetMode="External" Id="rId589" /><Relationship Type="http://schemas.openxmlformats.org/officeDocument/2006/relationships/hyperlink" Target="https://github.com/kafetzakid/morphotype" TargetMode="External" Id="rId590" /><Relationship Type="http://schemas.openxmlformats.org/officeDocument/2006/relationships/hyperlink" Target="https://github.com/kafetzakid/morphotypeShiny" TargetMode="External" Id="rId591" /><Relationship Type="http://schemas.openxmlformats.org/officeDocument/2006/relationships/hyperlink" Target="https://github.com/ISAAKiel/mortAAR" TargetMode="External" Id="rId592" /><Relationship Type="http://schemas.openxmlformats.org/officeDocument/2006/relationships/hyperlink" Target="https://archive.org/details/github.com-ISAAKiel-mortAAR_-_2021-01-06_22-00-39" TargetMode="External" Id="rId593" /><Relationship Type="http://schemas.openxmlformats.org/officeDocument/2006/relationships/hyperlink" Target="https://github.com/ropensci/MtreeRing" TargetMode="External" Id="rId594" /><Relationship Type="http://schemas.openxmlformats.org/officeDocument/2006/relationships/hyperlink" Target="https://ropensci.github.io/MtreeRing/" TargetMode="External" Id="rId595" /><Relationship Type="http://schemas.openxmlformats.org/officeDocument/2006/relationships/hyperlink" Target="https://archive.org/details/github.com-ropensci-MtreeRing_-_2020-06-09_18-41-07" TargetMode="External" Id="rId596" /><Relationship Type="http://schemas.openxmlformats.org/officeDocument/2006/relationships/hyperlink" Target="https://github.com/cwickham/munsell/" TargetMode="External" Id="rId597" /><Relationship Type="http://schemas.openxmlformats.org/officeDocument/2006/relationships/hyperlink" Target="https://cran.r-project.org/package=munsell" TargetMode="External" Id="rId598" /><Relationship Type="http://schemas.openxmlformats.org/officeDocument/2006/relationships/hyperlink" Target="https://archive.org/details/github.com-cwickham-munsell_-_2019-09-24_04-56-16" TargetMode="External" Id="rId599" /><Relationship Type="http://schemas.openxmlformats.org/officeDocument/2006/relationships/hyperlink" Target="https://gist.github.com/benmarwick/f32cbc2fe7297ec9f276b52c118a249a" TargetMode="External" Id="rId600" /><Relationship Type="http://schemas.openxmlformats.org/officeDocument/2006/relationships/hyperlink" Target="https://archive.org/details/gist.github.com-f32cbc2fe7297ec9f276b52c118a249a_-_2019-03-16_00-28-14" TargetMode="External" Id="rId601" /><Relationship Type="http://schemas.openxmlformats.org/officeDocument/2006/relationships/hyperlink" Target="https://codeberg.org/steko/murature" TargetMode="External" Id="rId602" /><Relationship Type="http://schemas.openxmlformats.org/officeDocument/2006/relationships/hyperlink" Target="https://archive.org/details/codeberg.org-steko-murature_-_2020-06-22_14-12-21" TargetMode="External" Id="rId603" /><Relationship Type="http://schemas.openxmlformats.org/officeDocument/2006/relationships/hyperlink" Target="http://helladic.info/" TargetMode="External" Id="rId604" /><Relationship Type="http://schemas.openxmlformats.org/officeDocument/2006/relationships/hyperlink" Target="https://github.com/mpeeples2008/NAA_analytical_dashboard" TargetMode="External" Id="rId605" /><Relationship Type="http://schemas.openxmlformats.org/officeDocument/2006/relationships/hyperlink" Target="http://nsls-ii.github.io/PyXRF/" TargetMode="External" Id="rId606" /><Relationship Type="http://schemas.openxmlformats.org/officeDocument/2006/relationships/hyperlink" Target="https://archive.org/details/github.com-mpeeples2008-NAA_analytical_dashboard_-_2018-10-24_03-38-28" TargetMode="External" Id="rId607" /><Relationship Type="http://schemas.openxmlformats.org/officeDocument/2006/relationships/hyperlink" Target="https://github.com/Archaeology-ABM/NASSA-modules" TargetMode="External" Id="rId608" /><Relationship Type="http://schemas.openxmlformats.org/officeDocument/2006/relationships/hyperlink" Target="https://archaeology-abm.github.io/NASSA-modules" TargetMode="External" Id="rId609" /><Relationship Type="http://schemas.openxmlformats.org/officeDocument/2006/relationships/hyperlink" Target="https://github.com/eweaverdyck/Near-Presence-Analysis" TargetMode="External" Id="rId610" /><Relationship Type="http://schemas.openxmlformats.org/officeDocument/2006/relationships/hyperlink" Target="https://archive.org/details/github.com-eweaverdyck-Near-Presence-Analysis_-_2021-06-11_19-30-34" TargetMode="External" Id="rId611" /><Relationship Type="http://schemas.openxmlformats.org/officeDocument/2006/relationships/hyperlink" Target="https://github.com/eweaverdyck/nearpresence" TargetMode="External" Id="rId612" /><Relationship Type="http://schemas.openxmlformats.org/officeDocument/2006/relationships/hyperlink" Target="https://github.com/nevrome/neiman1995" TargetMode="External" Id="rId613" /><Relationship Type="http://schemas.openxmlformats.org/officeDocument/2006/relationships/hyperlink" Target="https://nevrome.shinyapps.io/neiman1995" TargetMode="External" Id="rId614" /><Relationship Type="http://schemas.openxmlformats.org/officeDocument/2006/relationships/hyperlink" Target="https://archive.org/details/github.com-nevrome-neiman1995_-_2018-09-15_12-51-43" TargetMode="External" Id="rId615" /><Relationship Type="http://schemas.openxmlformats.org/officeDocument/2006/relationships/hyperlink" Target="https://github.com/nevrome/neolithicR" TargetMode="External" Id="rId616" /><Relationship Type="http://schemas.openxmlformats.org/officeDocument/2006/relationships/hyperlink" Target="https://www.neolithicrc.de" TargetMode="External" Id="rId617" /><Relationship Type="http://schemas.openxmlformats.org/officeDocument/2006/relationships/hyperlink" Target="https://archive.org/details/github.com-nevrome-neolithicR_-_2019-11-18_08-37-30" TargetMode="External" Id="rId618" /><Relationship Type="http://schemas.openxmlformats.org/officeDocument/2006/relationships/hyperlink" Target="https://github.com/zoometh/neonet" TargetMode="External" Id="rId619" /><Relationship Type="http://schemas.openxmlformats.org/officeDocument/2006/relationships/hyperlink" Target="https://github.com/ropensci/neotoma" TargetMode="External" Id="rId620" /><Relationship Type="http://schemas.openxmlformats.org/officeDocument/2006/relationships/hyperlink" Target="https://archive.org/details/github.com-ropensci-neotoma_-_2020-09-20_18-21-19" TargetMode="External" Id="rId621" /><Relationship Type="http://schemas.openxmlformats.org/officeDocument/2006/relationships/hyperlink" Target="https://github.com/apalmisano82/NERD" TargetMode="External" Id="rId622" /><Relationship Type="http://schemas.openxmlformats.org/officeDocument/2006/relationships/hyperlink" Target="https://archive.org/details/github.com-apalmisano82-NERD_-_2021-04-08_11-31-14" TargetMode="External" Id="rId623" /><Relationship Type="http://schemas.openxmlformats.org/officeDocument/2006/relationships/hyperlink" Target="https://github.com/steko/nervia" TargetMode="External" Id="rId624" /><Relationship Type="http://schemas.openxmlformats.org/officeDocument/2006/relationships/hyperlink" Target="https://codeberg.org/steko/nervia" TargetMode="External" Id="rId625" /><Relationship Type="http://schemas.openxmlformats.org/officeDocument/2006/relationships/hyperlink" Target="https://archive.org/details/codeberg.org-steko-nervia_-_2020-06-22_07-37-06" TargetMode="External" Id="rId626" /><Relationship Type="http://schemas.openxmlformats.org/officeDocument/2006/relationships/hyperlink" Target="https://github.com/tesselle/nexus" TargetMode="External" Id="rId627" /><Relationship Type="http://schemas.openxmlformats.org/officeDocument/2006/relationships/hyperlink" Target="https://cran.r-project.org/package=nexus" TargetMode="External" Id="rId628" /><Relationship Type="http://schemas.openxmlformats.org/officeDocument/2006/relationships/hyperlink" Target="https://packages.tesselle.org/nexus/" TargetMode="External" Id="rId629" /><Relationship Type="http://schemas.openxmlformats.org/officeDocument/2006/relationships/hyperlink" Target="https://archive.org/details/github.com-tesselle-nexus_-_2021-05-24_16-02-18" TargetMode="External" Id="rId630" /><Relationship Type="http://schemas.openxmlformats.org/officeDocument/2006/relationships/hyperlink" Target="https://github.com/ercrema/nimbleCarbon" TargetMode="External" Id="rId631" /><Relationship Type="http://schemas.openxmlformats.org/officeDocument/2006/relationships/hyperlink" Target="https://archive.org/details/github.com-ercrema-nimbleCarbon_-_2021-06-17_15-27-15" TargetMode="External" Id="rId632" /><Relationship Type="http://schemas.openxmlformats.org/officeDocument/2006/relationships/hyperlink" Target="https://github.com/pr0m1th3as/non-metric-trait-analysis" TargetMode="External" Id="rId633" /><Relationship Type="http://schemas.openxmlformats.org/officeDocument/2006/relationships/hyperlink" Target="https://archive.org/details/github.com-pr0m1th3as-non-metric-trait-analysis_-_2018-03-08_14-05-12" TargetMode="External" Id="rId634" /><Relationship Type="http://schemas.openxmlformats.org/officeDocument/2006/relationships/hyperlink" Target="https://github.com/ISAAKiel/nonekXML" TargetMode="External" Id="rId635" /><Relationship Type="http://schemas.openxmlformats.org/officeDocument/2006/relationships/hyperlink" Target="https://archive.org/details/github.com-ISAAKiel-nonekXML_-_2020-03-04_16-27-25" TargetMode="External" Id="rId636" /><Relationship Type="http://schemas.openxmlformats.org/officeDocument/2006/relationships/hyperlink" Target="https://github.com/aejolene/NRHP_Metadata_Scheme" TargetMode="External" Id="rId637" /><Relationship Type="http://schemas.openxmlformats.org/officeDocument/2006/relationships/hyperlink" Target="https://archive.org/details/github.com-aejolene-NRHP_Metadata_Scheme_-_2019-03-21_20-40-51" TargetMode="External" Id="rId638" /><Relationship Type="http://schemas.openxmlformats.org/officeDocument/2006/relationships/hyperlink" Target="https://github.com/o-date/draft" TargetMode="External" Id="rId639" /><Relationship Type="http://schemas.openxmlformats.org/officeDocument/2006/relationships/hyperlink" Target="https://o-date.github.io/" TargetMode="External" Id="rId640" /><Relationship Type="http://schemas.openxmlformats.org/officeDocument/2006/relationships/hyperlink" Target="https://archive.org/details/github.com-o-date-draft_-_2020-07-11_17-25-37" TargetMode="External" Id="rId641" /><Relationship Type="http://schemas.openxmlformats.org/officeDocument/2006/relationships/hyperlink" Target="https://github.com/isaacullah/ODK-forms-archaeology" TargetMode="External" Id="rId642" /><Relationship Type="http://schemas.openxmlformats.org/officeDocument/2006/relationships/hyperlink" Target="https://archive.org/details/github.com-isaacullah-ODK-forms-archaeology_-_2021-01-11_23-33-22" TargetMode="External" Id="rId643" /><Relationship Type="http://schemas.openxmlformats.org/officeDocument/2006/relationships/hyperlink" Target="https://github.com/UNMOCA/ODKArchForms" TargetMode="External" Id="rId644" /><Relationship Type="http://schemas.openxmlformats.org/officeDocument/2006/relationships/hyperlink" Target="https://archive.org/details/github.com-UNMOCA-ODKArchForms_-_2016-02-17_22-32-59" TargetMode="External" Id="rId645" /><Relationship Type="http://schemas.openxmlformats.org/officeDocument/2006/relationships/hyperlink" Target="https://index.openhistorymap.org/" TargetMode="External" Id="rId646" /><Relationship Type="http://schemas.openxmlformats.org/officeDocument/2006/relationships/hyperlink" Target="https://twitter.com/OpenAccessArch" TargetMode="External" Id="rId647" /><Relationship Type="http://schemas.openxmlformats.org/officeDocument/2006/relationships/hyperlink" Target="http://www.openaccessarchaeology.org/" TargetMode="External" Id="rId648" /><Relationship Type="http://schemas.openxmlformats.org/officeDocument/2006/relationships/hyperlink" Target="https://github.com/openhistorymap" TargetMode="External" Id="rId649" /><Relationship Type="http://schemas.openxmlformats.org/officeDocument/2006/relationships/hyperlink" Target="http://www.openhistorymap.org/" TargetMode="External" Id="rId650" /><Relationship Type="http://schemas.openxmlformats.org/officeDocument/2006/relationships/hyperlink" Target="https://github.com/zackbatist/open-archaeo" TargetMode="External" Id="rId651" /><Relationship Type="http://schemas.openxmlformats.org/officeDocument/2006/relationships/hyperlink" Target="https://open-archaeo.info/" TargetMode="External" Id="rId652" /><Relationship Type="http://schemas.openxmlformats.org/officeDocument/2006/relationships/hyperlink" Target="https://doi.org/10.5334/joad.111" TargetMode="External" Id="rId653" /><Relationship Type="http://schemas.openxmlformats.org/officeDocument/2006/relationships/hyperlink" Target="https://archive.org/details/github.com-zackbatist-open-archaeo_-_2021-01-29_16-09-17" TargetMode="External" Id="rId654" /><Relationship Type="http://schemas.openxmlformats.org/officeDocument/2006/relationships/hyperlink" Target="https://github.com/ekansa/open-context-py" TargetMode="External" Id="rId655" /><Relationship Type="http://schemas.openxmlformats.org/officeDocument/2006/relationships/hyperlink" Target="https://archive.org/details/github.com-ekansa-open-context-py_-_2021-02-01_02-54-37" TargetMode="External" Id="rId656" /><Relationship Type="http://schemas.openxmlformats.org/officeDocument/2006/relationships/hyperlink" Target="https://github.com/EKaroune/Open-Science-in-Phytolith-Research" TargetMode="External" Id="rId657" /><Relationship Type="http://schemas.openxmlformats.org/officeDocument/2006/relationships/hyperlink" Target="https://ekaroune.github.io/Open-Science-in-Phytolith-Research/" TargetMode="External" Id="rId658" /><Relationship Type="http://schemas.openxmlformats.org/officeDocument/2006/relationships/hyperlink" Target="http://openarchaeology.net" TargetMode="External" Id="rId659" /><Relationship Type="http://schemas.openxmlformats.org/officeDocument/2006/relationships/hyperlink" Target="https://launchpad.net/openarchaeology" TargetMode="External" Id="rId660" /><Relationship Type="http://schemas.openxmlformats.org/officeDocument/2006/relationships/hyperlink" Target="https://github.com/craws/OpenAtlas" TargetMode="External" Id="rId661" /><Relationship Type="http://schemas.openxmlformats.org/officeDocument/2006/relationships/hyperlink" Target="https://openatlas.eu/" TargetMode="External" Id="rId662" /><Relationship Type="http://schemas.openxmlformats.org/officeDocument/2006/relationships/hyperlink" Target="https://archive.org/details/github.com-craws-OpenAtlas_-_2021-06-25_15-15-38" TargetMode="External" Id="rId663" /><Relationship Type="http://schemas.openxmlformats.org/officeDocument/2006/relationships/hyperlink" Target="https://github.com/ropensci/opencontext" TargetMode="External" Id="rId664" /><Relationship Type="http://schemas.openxmlformats.org/officeDocument/2006/relationships/hyperlink" Target="https://docs.ropensci.org/opencontext/" TargetMode="External" Id="rId665" /><Relationship Type="http://schemas.openxmlformats.org/officeDocument/2006/relationships/hyperlink" Target="https://archive.org/details/github.com-ropensci-opencontext_-_2020-05-13_14-44-02" TargetMode="External" Id="rId666" /><Relationship Type="http://schemas.openxmlformats.org/officeDocument/2006/relationships/hyperlink" Target="https://github.com/stefaneichert/OpenLidarToolbox" TargetMode="External" Id="rId667" /><Relationship Type="http://schemas.openxmlformats.org/officeDocument/2006/relationships/hyperlink" Target="https://gist.github.com/benmarwick/5f996a0f52ba1d92f76968119f941bd8" TargetMode="External" Id="rId668" /><Relationship Type="http://schemas.openxmlformats.org/officeDocument/2006/relationships/hyperlink" Target="https://archive.org/details/gist.github.com-5f996a0f52ba1d92f76968119f941bd8_-_2016-05-10_07-53-04" TargetMode="External" Id="rId669" /><Relationship Type="http://schemas.openxmlformats.org/officeDocument/2006/relationships/hyperlink" Target="https://github.com/davidcorton/osteoGIS" TargetMode="External" Id="rId670" /><Relationship Type="http://schemas.openxmlformats.org/officeDocument/2006/relationships/hyperlink" Target="https://archive.org/details/github.com-davidcorton-osteoGIS_-_2016-11-30_23-04-56" TargetMode="External" Id="rId671" /><Relationship Type="http://schemas.openxmlformats.org/officeDocument/2006/relationships/hyperlink" Target="https://github.com/pr0m1th3as/osteometric-sorting" TargetMode="External" Id="rId672" /><Relationship Type="http://schemas.openxmlformats.org/officeDocument/2006/relationships/hyperlink" Target="https://archive.org/details/github.com-pr0m1th3as-osteometric-sorting_-_2020-05-09_00-52-46" TargetMode="External" Id="rId673" /><Relationship Type="http://schemas.openxmlformats.org/officeDocument/2006/relationships/hyperlink" Target="https://github.com/benmarwick/outliner" TargetMode="External" Id="rId674" /><Relationship Type="http://schemas.openxmlformats.org/officeDocument/2006/relationships/hyperlink" Target="https://archive.org/details/github.com-benmarwick-outliner_-_2021-01-31_08-26-33" TargetMode="External" Id="rId675" /><Relationship Type="http://schemas.openxmlformats.org/officeDocument/2006/relationships/hyperlink" Target="https://github.com/yesdavid/outlineR" TargetMode="External" Id="rId676" /><Relationship Type="http://schemas.openxmlformats.org/officeDocument/2006/relationships/hyperlink" Target="https://archive.org/details/github.com-yesdavid-outlineR_-_2021-06-18_18-20-24" TargetMode="External" Id="rId677" /><Relationship Type="http://schemas.openxmlformats.org/officeDocument/2006/relationships/hyperlink" Target="https://github.com/ISAAKiel/oxcAAR" TargetMode="External" Id="rId678" /><Relationship Type="http://schemas.openxmlformats.org/officeDocument/2006/relationships/hyperlink" Target="https://archive.org/details/github.com-ISAAKiel-oxcAAR_-_2021-07-05_16-54-08" TargetMode="External" Id="rId679" /><Relationship Type="http://schemas.openxmlformats.org/officeDocument/2006/relationships/hyperlink" Target="https://github.com/philriris/p2pPerm" TargetMode="External" Id="rId680" /><Relationship Type="http://schemas.openxmlformats.org/officeDocument/2006/relationships/hyperlink" Target="https://archive.org/details/github.com-philriris-p2pPerm_-_2021-07-02_10-58-34" TargetMode="External" Id="rId681" /><Relationship Type="http://schemas.openxmlformats.org/officeDocument/2006/relationships/hyperlink" Target="https://github.com/people3k/p3k14c" TargetMode="External" Id="rId682" /><Relationship Type="http://schemas.openxmlformats.org/officeDocument/2006/relationships/hyperlink" Target="https://github.com/people3k/p3k14c-data-scrubbing" TargetMode="External" Id="rId683" /><Relationship Type="http://schemas.openxmlformats.org/officeDocument/2006/relationships/hyperlink" Target="https://github.com/bocinsky/paleocar" TargetMode="External" Id="rId684" /><Relationship Type="http://schemas.openxmlformats.org/officeDocument/2006/relationships/hyperlink" Target="https://archive.org/details/github.com-bocinsky-paleocar_-_2021-02-04_20-42-19" TargetMode="External" Id="rId685" /><Relationship Type="http://schemas.openxmlformats.org/officeDocument/2006/relationships/hyperlink" Target="https://github.com/paleocore/paleocore-retired" TargetMode="External" Id="rId686" /><Relationship Type="http://schemas.openxmlformats.org/officeDocument/2006/relationships/hyperlink" Target="https://paleocore.org/" TargetMode="External" Id="rId687" /><Relationship Type="http://schemas.openxmlformats.org/officeDocument/2006/relationships/hyperlink" Target="https://archive.org/details/github.com-paleocore-paleocore-retired_-_2018-01-05_20-00-41" TargetMode="External" Id="rId688" /><Relationship Type="http://schemas.openxmlformats.org/officeDocument/2006/relationships/hyperlink" Target="https://github.com/paleocore/paleocoreR" TargetMode="External" Id="rId689" /><Relationship Type="http://schemas.openxmlformats.org/officeDocument/2006/relationships/hyperlink" Target="http://paleocore.github.io/paleocoreR/" TargetMode="External" Id="rId690" /><Relationship Type="http://schemas.openxmlformats.org/officeDocument/2006/relationships/hyperlink" Target="https://archive.org/details/github.com-paleocore-paleocoreR_-_2014-07-18_20-59-37" TargetMode="External" Id="rId691" /><Relationship Type="http://schemas.openxmlformats.org/officeDocument/2006/relationships/hyperlink" Target="https://github.com/oblarquez/paleofire" TargetMode="External" Id="rId692" /><Relationship Type="http://schemas.openxmlformats.org/officeDocument/2006/relationships/hyperlink" Target="https://www.gpwg.paleofire.org/" TargetMode="External" Id="rId693" /><Relationship Type="http://schemas.openxmlformats.org/officeDocument/2006/relationships/hyperlink" Target="https://archive.org/details/github.com-oblarquez-paleofire_-_2020-02-14_20-29-05" TargetMode="External" Id="rId694" /><Relationship Type="http://schemas.openxmlformats.org/officeDocument/2006/relationships/hyperlink" Target="https://github.com/paleolimbot/paleoxrf" TargetMode="External" Id="rId695" /><Relationship Type="http://schemas.openxmlformats.org/officeDocument/2006/relationships/hyperlink" Target="https://archive.org/details/github.com-paleolimbot-paleoxrf_-_2019-04-01_17-07-08" TargetMode="External" Id="rId696" /><Relationship Type="http://schemas.openxmlformats.org/officeDocument/2006/relationships/hyperlink" Target="https://github.com/EvolEcolGroup/pastclim/" TargetMode="External" Id="rId697" /><Relationship Type="http://schemas.openxmlformats.org/officeDocument/2006/relationships/hyperlink" Target="https://cran.r-project.org/package=pastclim" TargetMode="External" Id="rId698" /><Relationship Type="http://schemas.openxmlformats.org/officeDocument/2006/relationships/hyperlink" Target="https://evolecolgroup.github.io/pastclim/" TargetMode="External" Id="rId699" /><Relationship Type="http://schemas.openxmlformats.org/officeDocument/2006/relationships/hyperlink" Target="https://github.com/ISAAKiel/pathAAR" TargetMode="External" Id="rId700" /><Relationship Type="http://schemas.openxmlformats.org/officeDocument/2006/relationships/hyperlink" Target="https://archive.org/details/github.com-ISAAKiel-pathAAR_-_2020-11-02_14-32-45" TargetMode="External" Id="rId701" /><Relationship Type="http://schemas.openxmlformats.org/officeDocument/2006/relationships/hyperlink" Target="https://docs.paths-erc.eu/data/svp" TargetMode="External" Id="rId702" /><Relationship Type="http://schemas.openxmlformats.org/officeDocument/2006/relationships/hyperlink" Target="https://github.com/alexbrandsen/pdf-to-nested-xml" TargetMode="External" Id="rId703" /><Relationship Type="http://schemas.openxmlformats.org/officeDocument/2006/relationships/hyperlink" Target="https://github.com/willismonroe/pe-dictionary" TargetMode="External" Id="rId704" /><Relationship Type="http://schemas.openxmlformats.org/officeDocument/2006/relationships/hyperlink" Target="https://archive.org/details/github.com-willismonroe-pe-dictionary_-_2021-06-17_05-04-27" TargetMode="External" Id="rId705" /><Relationship Type="http://schemas.openxmlformats.org/officeDocument/2006/relationships/hyperlink" Target="https://github.com/natowi/photogrammetry_datasets" TargetMode="External" Id="rId706" /><Relationship Type="http://schemas.openxmlformats.org/officeDocument/2006/relationships/hyperlink" Target="https://archive.org/details/github.com-natowi-photogrammetry_datasets_-_2020-11-19_10-57-37" TargetMode="External" Id="rId707" /><Relationship Type="http://schemas.openxmlformats.org/officeDocument/2006/relationships/hyperlink" Target="https://github.com/anatolian/photogrammetry-object-scannner" TargetMode="External" Id="rId708" /><Relationship Type="http://schemas.openxmlformats.org/officeDocument/2006/relationships/hyperlink" Target="https://archive.org/details/github.com-anatolian-photogrammetry-object-scannner_-_2019-06-22_03-21-09" TargetMode="External" Id="rId709" /><Relationship Type="http://schemas.openxmlformats.org/officeDocument/2006/relationships/hyperlink" Target="https://github.com/joeroe/piwigo-3dhop" TargetMode="External" Id="rId710" /><Relationship Type="http://schemas.openxmlformats.org/officeDocument/2006/relationships/hyperlink" Target="https://archive.org/details/github.com-joeroe-piwigo-3dhop_-_2020-08-12_12-09-51" TargetMode="External" Id="rId711" /><Relationship Type="http://schemas.openxmlformats.org/officeDocument/2006/relationships/hyperlink" Target="http://www.mattpeeples.net/modules/PLC.html" TargetMode="External" Id="rId712" /><Relationship Type="http://schemas.openxmlformats.org/officeDocument/2006/relationships/hyperlink" Target="https://github.com/isawnyu/pleiades.datasets" TargetMode="External" Id="rId713" /><Relationship Type="http://schemas.openxmlformats.org/officeDocument/2006/relationships/hyperlink" Target="https://pleiades.stoa.org/" TargetMode="External" Id="rId714" /><Relationship Type="http://schemas.openxmlformats.org/officeDocument/2006/relationships/hyperlink" Target="https://github.com/g33k5p34k/PleistoDist" TargetMode="External" Id="rId715" /><Relationship Type="http://schemas.openxmlformats.org/officeDocument/2006/relationships/hyperlink" Target="https://github.com/g33k5p34k/PleistoDistR" TargetMode="External" Id="rId716" /><Relationship Type="http://schemas.openxmlformats.org/officeDocument/2006/relationships/hyperlink" Target="https://bbartholdy.github.io/dental-inv-plot/dental-plot.html" TargetMode="External" Id="rId717" /><Relationship Type="http://schemas.openxmlformats.org/officeDocument/2006/relationships/hyperlink" Target="https://github.com/pofatu/pofatu-data" TargetMode="External" Id="rId718" /><Relationship Type="http://schemas.openxmlformats.org/officeDocument/2006/relationships/hyperlink" Target="https://pofatu.clld.org/" TargetMode="External" Id="rId719" /><Relationship Type="http://schemas.openxmlformats.org/officeDocument/2006/relationships/hyperlink" Target="https://doi.org/10.5281/zenodo.4726799" TargetMode="External" Id="rId720" /><Relationship Type="http://schemas.openxmlformats.org/officeDocument/2006/relationships/hyperlink" Target="http://www.mattpeeples.net/modules/PointPattern.html" TargetMode="External" Id="rId721" /><Relationship Type="http://schemas.openxmlformats.org/officeDocument/2006/relationships/hyperlink" Target="https://github.com/MartinHinz/pollen_data_processing" TargetMode="External" Id="rId722" /><Relationship Type="http://schemas.openxmlformats.org/officeDocument/2006/relationships/hyperlink" Target="https://archive.org/details/github.com-MartinHinz-pollen_data_processing_-_2018-05-23_12-54-10" TargetMode="External" Id="rId723" /><Relationship Type="http://schemas.openxmlformats.org/officeDocument/2006/relationships/hyperlink" Target="https://github.com/Maarten14C/pollencount" TargetMode="External" Id="rId724" /><Relationship Type="http://schemas.openxmlformats.org/officeDocument/2006/relationships/hyperlink" Target="https://github.com/poseidon-framework/poseidon-hs" TargetMode="External" Id="rId725" /><Relationship Type="http://schemas.openxmlformats.org/officeDocument/2006/relationships/hyperlink" Target="https://www.poseidon-adna.org" TargetMode="External" Id="rId726" /><Relationship Type="http://schemas.openxmlformats.org/officeDocument/2006/relationships/hyperlink" Target="https://archive.org/details/github.com-poseidon-framework-poseidon-hs_-_2021-02-09_09-16-28" TargetMode="External" Id="rId727" /><Relationship Type="http://schemas.openxmlformats.org/officeDocument/2006/relationships/hyperlink" Target="https://github.com/ISAAKiel/postAAR" TargetMode="External" Id="rId728" /><Relationship Type="http://schemas.openxmlformats.org/officeDocument/2006/relationships/hyperlink" Target="https://archive.org/details/github.com-ISAAKiel-postAAR_-_2019-05-06_12-38-44" TargetMode="External" Id="rId729" /><Relationship Type="http://schemas.openxmlformats.org/officeDocument/2006/relationships/hyperlink" Target="https://github.com/ISAAKiel/postAAR-python" TargetMode="External" Id="rId730" /><Relationship Type="http://schemas.openxmlformats.org/officeDocument/2006/relationships/hyperlink" Target="https://archive.org/details/github.com-ISAAKiel-postAAR-python_-_2020-12-16_15-22-01" TargetMode="External" Id="rId731" /><Relationship Type="http://schemas.openxmlformats.org/officeDocument/2006/relationships/hyperlink" Target="https://docs.google.com/document/d/1BuIJ0ZXzzh838qvMOu59dLCCEz9xE3JnC76oHN-kMTU/edit" TargetMode="External" Id="rId732" /><Relationship Type="http://schemas.openxmlformats.org/officeDocument/2006/relationships/hyperlink" Target="https://github.com/archca/pred_map_tut" TargetMode="External" Id="rId733" /><Relationship Type="http://schemas.openxmlformats.org/officeDocument/2006/relationships/hyperlink" Target="https://archca.github.io/pred_map_tut/index.html" TargetMode="External" Id="rId734" /><Relationship Type="http://schemas.openxmlformats.org/officeDocument/2006/relationships/hyperlink" Target="https://archive.org/details/github.com-archca-pred_map_tut_-_2019-02-08_12-56-28" TargetMode="External" Id="rId735" /><Relationship Type="http://schemas.openxmlformats.org/officeDocument/2006/relationships/hyperlink" Target="https://github.com/benmarwick/predictSource" TargetMode="External" Id="rId736" /><Relationship Type="http://schemas.openxmlformats.org/officeDocument/2006/relationships/hyperlink" Target="https://archive.org/details/github.com-benmarwick-predictSource_-_2020-06-23_20-14-59" TargetMode="External" Id="rId737" /><Relationship Type="http://schemas.openxmlformats.org/officeDocument/2006/relationships/hyperlink" Target="https://github.com/ISAAKiel/profileAAR" TargetMode="External" Id="rId738" /><Relationship Type="http://schemas.openxmlformats.org/officeDocument/2006/relationships/hyperlink" Target="https://archive.org/details/github.com-ISAAKiel-profileAAR_-_2019-07-04_11-47-50" TargetMode="External" Id="rId739" /><Relationship Type="http://schemas.openxmlformats.org/officeDocument/2006/relationships/hyperlink" Target="https://github.com/PatristicTextArchive/pta_data" TargetMode="External" Id="rId740" /><Relationship Type="http://schemas.openxmlformats.org/officeDocument/2006/relationships/hyperlink" Target="https://pta.bbaw.de/pta/" TargetMode="External" Id="rId741" /><Relationship Type="http://schemas.openxmlformats.org/officeDocument/2006/relationships/hyperlink" Target="https://archive.org/details/github.com-PatristicTextArchive-pta_data_-_2021-05-06_16-45-24" TargetMode="External" Id="rId742" /><Relationship Type="http://schemas.openxmlformats.org/officeDocument/2006/relationships/hyperlink" Target="https://github.com/MartinHinz/pXRF" TargetMode="External" Id="rId743" /><Relationship Type="http://schemas.openxmlformats.org/officeDocument/2006/relationships/hyperlink" Target="https://sites.google.com/site/pyarchinit/" TargetMode="External" Id="rId744" /><Relationship Type="http://schemas.openxmlformats.org/officeDocument/2006/relationships/hyperlink" Target="https://github.com/pofatu/pygeoroc" TargetMode="External" Id="rId745" /><Relationship Type="http://schemas.openxmlformats.org/officeDocument/2006/relationships/hyperlink" Target="https://github.com/pofatu/pypofatu" TargetMode="External" Id="rId746" /><Relationship Type="http://schemas.openxmlformats.org/officeDocument/2006/relationships/hyperlink" Target="https://github.com/zoran-cuckovic/QGIS-scripts" TargetMode="External" Id="rId747" /><Relationship Type="http://schemas.openxmlformats.org/officeDocument/2006/relationships/hyperlink" Target="https://archive.org/details/github.com-zoran-cuckovic-QGIS-scripts_-_2018-07-21_22-11-13" TargetMode="External" Id="rId748" /><Relationship Type="http://schemas.openxmlformats.org/officeDocument/2006/relationships/hyperlink" Target="https://github.com/zoran-cuckovic/QGIS-topographic-networks" TargetMode="External" Id="rId749" /><Relationship Type="http://schemas.openxmlformats.org/officeDocument/2006/relationships/hyperlink" Target="https://archive.org/details/github.com-zoran-cuckovic-QGIS-topographic-networks_-_2016-06-29_12-43-38" TargetMode="External" Id="rId750" /><Relationship Type="http://schemas.openxmlformats.org/officeDocument/2006/relationships/hyperlink" Target="https://github.com/zoran-cuckovic/QGIS-visibility-analysis" TargetMode="External" Id="rId751" /><Relationship Type="http://schemas.openxmlformats.org/officeDocument/2006/relationships/hyperlink" Target="http://www.zoran-cuckovic.from.hr/QGIS-visibility-analysis/" TargetMode="External" Id="rId752" /><Relationship Type="http://schemas.openxmlformats.org/officeDocument/2006/relationships/hyperlink" Target="https://archive.org/details/github.com-zoran-cuckovic-QGIS-visibility-analysis_-_2021-01-14_19-11-48" TargetMode="External" Id="rId753" /><Relationship Type="http://schemas.openxmlformats.org/officeDocument/2006/relationships/hyperlink" Target="https://codeberg.org/steko/qrcode-storage" TargetMode="External" Id="rId754" /><Relationship Type="http://schemas.openxmlformats.org/officeDocument/2006/relationships/hyperlink" Target="https://archive.org/details/codeberg.org-steko-qrcode-storage_-_2020-06-22_14-11-12" TargetMode="External" Id="rId755" /><Relationship Type="http://schemas.openxmlformats.org/officeDocument/2006/relationships/hyperlink" Target="https://github.com/ISAAKiel/quantAAR" TargetMode="External" Id="rId756" /><Relationship Type="http://schemas.openxmlformats.org/officeDocument/2006/relationships/hyperlink" Target="https://archive.org/details/github.com-ISAAKiel-quantAAR_-_2020-07-09_13-14-14" TargetMode="External" Id="rId757" /><Relationship Type="http://schemas.openxmlformats.org/officeDocument/2006/relationships/hyperlink" Target="https://github.com/maciejkasinski/quantatools" TargetMode="External" Id="rId758" /><Relationship Type="http://schemas.openxmlformats.org/officeDocument/2006/relationships/hyperlink" Target="https://github.com/maciejkasinski/quantum-archeo" TargetMode="External" Id="rId759" /><Relationship Type="http://schemas.openxmlformats.org/officeDocument/2006/relationships/hyperlink" Target="https://github.com/zackbatist/QuARI" TargetMode="External" Id="rId760" /><Relationship Type="http://schemas.openxmlformats.org/officeDocument/2006/relationships/hyperlink" Target="https://archive.org/details/github.com-zackbatist-QuARI_-_2021-01-29_14-34-38" TargetMode="External" Id="rId761" /><Relationship Type="http://schemas.openxmlformats.org/officeDocument/2006/relationships/hyperlink" Target="https://github.com/carpentries-incubator/R-archaeology-lesson" TargetMode="External" Id="rId762" /><Relationship Type="http://schemas.openxmlformats.org/officeDocument/2006/relationships/hyperlink" Target="https://carpentries-incubator.github.io/R-archaeology-lesson/" TargetMode="External" Id="rId763" /><Relationship Type="http://schemas.openxmlformats.org/officeDocument/2006/relationships/hyperlink" Target="https://github.com/isaacullah/R-Scripts" TargetMode="External" Id="rId764" /><Relationship Type="http://schemas.openxmlformats.org/officeDocument/2006/relationships/hyperlink" Target="https://archive.org/details/github.com-isaacullah-R-Scripts_-_2018-04-23_23-56-35" TargetMode="External" Id="rId765" /><Relationship Type="http://schemas.openxmlformats.org/officeDocument/2006/relationships/hyperlink" Target="https://github.com/parkgayoung/racisminarchy" TargetMode="External" Id="rId766" /><Relationship Type="http://schemas.openxmlformats.org/officeDocument/2006/relationships/hyperlink" Target="https://archive.org/details/github.com-parkgayoung-racisminarchy_-_2021-07-02_22-43-55" TargetMode="External" Id="rId767" /><Relationship Type="http://schemas.openxmlformats.org/officeDocument/2006/relationships/hyperlink" Target="https://github.com/jwilczek-dotcom/RACORD" TargetMode="External" Id="rId768" /><Relationship Type="http://schemas.openxmlformats.org/officeDocument/2006/relationships/hyperlink" Target="https://codeberg.org/steko/radiocarbon-scrapers" TargetMode="External" Id="rId769" /><Relationship Type="http://schemas.openxmlformats.org/officeDocument/2006/relationships/hyperlink" Target="https://archive.org/details/codeberg.org-steko-radiocarbon-scrapers_-_2020-03-27_10-55-09" TargetMode="External" Id="rId770" /><Relationship Type="http://schemas.openxmlformats.org/officeDocument/2006/relationships/hyperlink" Target="https://github.com/ISAAKiel/radon" TargetMode="External" Id="rId771" /><Relationship Type="http://schemas.openxmlformats.org/officeDocument/2006/relationships/hyperlink" Target="https://radon.ufg.uni-kiel.de/" TargetMode="External" Id="rId772" /><Relationship Type="http://schemas.openxmlformats.org/officeDocument/2006/relationships/hyperlink" Target="https://archive.org/details/github.com-ISAAKiel-radon_-_2020-07-08_15-18-49" TargetMode="External" Id="rId773" /><Relationship Type="http://schemas.openxmlformats.org/officeDocument/2006/relationships/hyperlink" Target="https://github.com/sfsheath/ramphs" TargetMode="External" Id="rId774" /><Relationship Type="http://schemas.openxmlformats.org/officeDocument/2006/relationships/hyperlink" Target="https://archive.org/details/github.com-sfsheath-ramphs_-_2014-12-19_20-59-57" TargetMode="External" Id="rId775" /><Relationship Type="http://schemas.openxmlformats.org/officeDocument/2006/relationships/hyperlink" Target="https://github.com/clipo/rapanui-radiocarbon" TargetMode="External" Id="rId776" /><Relationship Type="http://schemas.openxmlformats.org/officeDocument/2006/relationships/hyperlink" Target="https://archive.org/details/github.com-clipo-rapanui-radiocarbon_-_2021-03-31_17-01-02" TargetMode="External" Id="rId777" /><Relationship Type="http://schemas.openxmlformats.org/officeDocument/2006/relationships/hyperlink" Target="https://github.com/nfrerebeau/rarcheo" TargetMode="External" Id="rId778" /><Relationship Type="http://schemas.openxmlformats.org/officeDocument/2006/relationships/hyperlink" Target="https://r-archeo.huma-num.fr/" TargetMode="External" Id="rId779" /><Relationship Type="http://schemas.openxmlformats.org/officeDocument/2006/relationships/hyperlink" Target="https://github.com/Maarten14C/rbacon" TargetMode="External" Id="rId780" /><Relationship Type="http://schemas.openxmlformats.org/officeDocument/2006/relationships/hyperlink" Target="https://cran.r-project.org/package=rbacon" TargetMode="External" Id="rId781" /><Relationship Type="http://schemas.openxmlformats.org/officeDocument/2006/relationships/hyperlink" Target="https://github.com/R-Lum/RCarb" TargetMode="External" Id="rId782" /><Relationship Type="http://schemas.openxmlformats.org/officeDocument/2006/relationships/hyperlink" Target="https://archive.org/details/github.com-R-Lum-RCarb_-_2021-01-03_12-21-09" TargetMode="External" Id="rId783" /><Relationship Type="http://schemas.openxmlformats.org/officeDocument/2006/relationships/hyperlink" Target="https://github.com/ahb108/rcarbon" TargetMode="External" Id="rId784" /><Relationship Type="http://schemas.openxmlformats.org/officeDocument/2006/relationships/hyperlink" Target="https://archive.org/details/github.com-ahb108-rcarbon_-_2021-02-04_16-06-01" TargetMode="External" Id="rId785" /><Relationship Type="http://schemas.openxmlformats.org/officeDocument/2006/relationships/hyperlink" Target="https://github.com/frederic-santos/rdss" TargetMode="External" Id="rId786" /><Relationship Type="http://schemas.openxmlformats.org/officeDocument/2006/relationships/hyperlink" Target="https://archive.org/details/github.com-frederic-santos-rdss_-_2021-01-21_10-05-28" TargetMode="External" Id="rId787" /><Relationship Type="http://schemas.openxmlformats.org/officeDocument/2006/relationships/hyperlink" Target="https://github.com/ISAAKiel/recexcavAAR/" TargetMode="External" Id="rId788" /><Relationship Type="http://schemas.openxmlformats.org/officeDocument/2006/relationships/hyperlink" Target="https://cran.r-project.org/package=recexcavAAR" TargetMode="External" Id="rId789" /><Relationship Type="http://schemas.openxmlformats.org/officeDocument/2006/relationships/hyperlink" Target="https://archive.org/details/github.com-ISAAKiel-recexcavAAR_-_2020-07-09_13-15-10" TargetMode="External" Id="rId790" /><Relationship Type="http://schemas.openxmlformats.org/officeDocument/2006/relationships/hyperlink" Target="https://github.com/wccarleton/recmod" TargetMode="External" Id="rId791" /><Relationship Type="http://schemas.openxmlformats.org/officeDocument/2006/relationships/hyperlink" Target="https://github.com/rekrei/rekrei" TargetMode="External" Id="rId792" /><Relationship Type="http://schemas.openxmlformats.org/officeDocument/2006/relationships/hyperlink" Target="https://archive.org/details/github.com-rekrei-rekrei_-_2021-01-14_19-27-48" TargetMode="External" Id="rId793" /><Relationship Type="http://schemas.openxmlformats.org/officeDocument/2006/relationships/hyperlink" Target="https://github.com/emanuelhuber/RGPR" TargetMode="External" Id="rId794" /><Relationship Type="http://schemas.openxmlformats.org/officeDocument/2006/relationships/hyperlink" Target="http://emanuelhuber.github.io/RGPR/" TargetMode="External" Id="rId795" /><Relationship Type="http://schemas.openxmlformats.org/officeDocument/2006/relationships/hyperlink" Target="https://archive.org/details/github.com-emanuelhuber-RGPR_-_2021-02-08_18-17-57" TargetMode="External" Id="rId796" /><Relationship Type="http://schemas.openxmlformats.org/officeDocument/2006/relationships/hyperlink" Target="https://github.com/joeroe/rintchron" TargetMode="External" Id="rId797" /><Relationship Type="http://schemas.openxmlformats.org/officeDocument/2006/relationships/hyperlink" Target="https://archive.org/details/github.com-joeroe-rintchron_-_2021-01-20_16-36-37" TargetMode="External" Id="rId798" /><Relationship Type="http://schemas.openxmlformats.org/officeDocument/2006/relationships/hyperlink" Target="https://github.com/sara-amira-alassam/RJradiocarbon" TargetMode="External" Id="rId799" /><Relationship Type="http://schemas.openxmlformats.org/officeDocument/2006/relationships/hyperlink" Target="https://github.com/R-Lum/RLumModel" TargetMode="External" Id="rId800" /><Relationship Type="http://schemas.openxmlformats.org/officeDocument/2006/relationships/hyperlink" Target="https://archive.org/details/github.com-R-Lum-RLumModel_-_2021-01-03_13-13-23" TargetMode="External" Id="rId801" /><Relationship Type="http://schemas.openxmlformats.org/officeDocument/2006/relationships/hyperlink" Target="https://github.com/Swedish-Rock-Art-Research-Archives/rock-art-radnet" TargetMode="External" Id="rId802" /><Relationship Type="http://schemas.openxmlformats.org/officeDocument/2006/relationships/hyperlink" Target="https://github.com/Swedish-Rock-Art-Research-Archives/rock-art-ratopoviz" TargetMode="External" Id="rId803" /><Relationship Type="http://schemas.openxmlformats.org/officeDocument/2006/relationships/hyperlink" Target="https://github.com/keeeal/rock-art-transfer-learning" TargetMode="External" Id="rId804" /><Relationship Type="http://schemas.openxmlformats.org/officeDocument/2006/relationships/hyperlink" Target="https://github.com/lakillo/rockart-textanalysis" TargetMode="External" Id="rId805" /><Relationship Type="http://schemas.openxmlformats.org/officeDocument/2006/relationships/hyperlink" Target="https://github.com/benmarwick/roev" TargetMode="External" Id="rId806" /><Relationship Type="http://schemas.openxmlformats.org/officeDocument/2006/relationships/hyperlink" Target="https://github.com/sfsheath/roman-amphitheaters" TargetMode="External" Id="rId807" /><Relationship Type="http://schemas.openxmlformats.org/officeDocument/2006/relationships/hyperlink" Target="https://archive.org/details/github.com-sfsheath-roman-amphitheaters_-_2020-06-19_14-28-07" TargetMode="External" Id="rId808" /><Relationship Type="http://schemas.openxmlformats.org/officeDocument/2006/relationships/hyperlink" Target="https://github.com/roman-amphitheaters/roman-amphitheaters" TargetMode="External" Id="rId809" /><Relationship Type="http://schemas.openxmlformats.org/officeDocument/2006/relationships/hyperlink" Target="https://archive.org/details/github.com-roman-amphitheaters-roman-amphitheaters_-_2021-05-29_14-30-00" TargetMode="External" Id="rId810" /><Relationship Type="http://schemas.openxmlformats.org/officeDocument/2006/relationships/hyperlink" Target="https://github.com/klokantech/roman-empire" TargetMode="External" Id="rId811" /><Relationship Type="http://schemas.openxmlformats.org/officeDocument/2006/relationships/hyperlink" Target="https://archive.org/details/github.com-klokantech-roman-empire_-_2020-10-23_20-34-48" TargetMode="External" Id="rId812" /><Relationship Type="http://schemas.openxmlformats.org/officeDocument/2006/relationships/hyperlink" Target="https://github.com/sfsheath/roman-maps" TargetMode="External" Id="rId813" /><Relationship Type="http://schemas.openxmlformats.org/officeDocument/2006/relationships/hyperlink" Target="https://archive.org/details/github.com-sfsheath-roman-maps_-_2014-09-22_01-44-03" TargetMode="External" Id="rId814" /><Relationship Type="http://schemas.openxmlformats.org/officeDocument/2006/relationships/hyperlink" Target="https://github.com/rkn2/Roman-material-database-info" TargetMode="External" Id="rId815" /><Relationship Type="http://schemas.openxmlformats.org/officeDocument/2006/relationships/hyperlink" Target="https://archive.org/details/github.com-rkn2-Roman-material-database-info_-_2018-06-07_15-08-29" TargetMode="External" Id="rId816" /><Relationship Type="http://schemas.openxmlformats.org/officeDocument/2006/relationships/hyperlink" Target="https://github.com/kintigh/RoomAccum" TargetMode="External" Id="rId817" /><Relationship Type="http://schemas.openxmlformats.org/officeDocument/2006/relationships/hyperlink" Target="https://archive.org/details/github.com-kintigh-RoomAccum_-_2020-06-15_19-37-46" TargetMode="External" Id="rId818" /><Relationship Type="http://schemas.openxmlformats.org/officeDocument/2006/relationships/hyperlink" Target="https://github.com/sfsheath/rorbium" TargetMode="External" Id="rId819" /><Relationship Type="http://schemas.openxmlformats.org/officeDocument/2006/relationships/hyperlink" Target="https://archive.org/details/github.com-sfsheath-rorbium_-_2014-12-25_21-10-56" TargetMode="External" Id="rId820" /><Relationship Type="http://schemas.openxmlformats.org/officeDocument/2006/relationships/hyperlink" Target="https://twitter.com/AWOL_tweets" TargetMode="External" Id="rId821" /><Relationship Type="http://schemas.openxmlformats.org/officeDocument/2006/relationships/hyperlink" Target="http://ancientworldonline.blogspot.com/2012/09/roundup-of-resources-on-ancient.html" TargetMode="External" Id="rId822" /><Relationship Type="http://schemas.openxmlformats.org/officeDocument/2006/relationships/hyperlink" Target="https://github.com/joeroe/rpaleoclim" TargetMode="External" Id="rId823" /><Relationship Type="http://schemas.openxmlformats.org/officeDocument/2006/relationships/hyperlink" Target="https://cran.r-project.org/package=rpaleoclim" TargetMode="External" Id="rId824" /><Relationship Type="http://schemas.openxmlformats.org/officeDocument/2006/relationships/hyperlink" Target="https://rpaleoclim.joeroe.io" TargetMode="External" Id="rId825" /><Relationship Type="http://schemas.openxmlformats.org/officeDocument/2006/relationships/hyperlink" Target="https://archive.org/details/github.com-joeroe-rpaleoclim_-_2019-10-03_11-01-37" TargetMode="External" Id="rId826" /><Relationship Type="http://schemas.openxmlformats.org/officeDocument/2006/relationships/hyperlink" Target="https://github.com/scollinselliott/rppsf" TargetMode="External" Id="rId827" /><Relationship Type="http://schemas.openxmlformats.org/officeDocument/2006/relationships/hyperlink" Target="https://archive.org/details/github.com-scollinselliott-rppsf_-_2018-11-08_03-52-43" TargetMode="External" Id="rId828" /><Relationship Type="http://schemas.openxmlformats.org/officeDocument/2006/relationships/hyperlink" Target="https://github.com/ahb108/rtfact" TargetMode="External" Id="rId829" /><Relationship Type="http://schemas.openxmlformats.org/officeDocument/2006/relationships/hyperlink" Target="https://archive.org/details/github.com-ahb108-rtfact_-_2021-01-25_09-24-54" TargetMode="External" Id="rId830" /><Relationship Type="http://schemas.openxmlformats.org/officeDocument/2006/relationships/hyperlink" Target="https://github.com/kmartinez/rti" TargetMode="External" Id="rId831" /><Relationship Type="http://schemas.openxmlformats.org/officeDocument/2006/relationships/hyperlink" Target="https://custom-imaging.co.uk/software/" TargetMode="External" Id="rId832" /><Relationship Type="http://schemas.openxmlformats.org/officeDocument/2006/relationships/hyperlink" Target="https://archive.org/details/github.com-kmartinez-rti_-_2019-05-29_15-38-12" TargetMode="External" Id="rId833" /><Relationship Type="http://schemas.openxmlformats.org/officeDocument/2006/relationships/hyperlink" Target="http://culturalheritageimaging.org/What_We_Offer/Downloads/Process/index.html" TargetMode="External" Id="rId834" /><Relationship Type="http://schemas.openxmlformats.org/officeDocument/2006/relationships/hyperlink" Target="http://culturalheritageimaging.org/What_We_Offer/Downloads/View/index.html" TargetMode="External" Id="rId835" /><Relationship Type="http://schemas.openxmlformats.org/officeDocument/2006/relationships/hyperlink" Target="https://github.com/joeroe/ruby-radiocarbon" TargetMode="External" Id="rId836" /><Relationship Type="http://schemas.openxmlformats.org/officeDocument/2006/relationships/hyperlink" Target="https://github.com/jgregoriods/rxpand" TargetMode="External" Id="rId837" /><Relationship Type="http://schemas.openxmlformats.org/officeDocument/2006/relationships/hyperlink" Target="https://archive.org/details/github.com-jgregoriods-rxpand_-_2021-06-16_08-05-37" TargetMode="External" Id="rId838" /><Relationship Type="http://schemas.openxmlformats.org/officeDocument/2006/relationships/hyperlink" Target="https://github.com/R-Lum/rxylib" TargetMode="External" Id="rId839" /><Relationship Type="http://schemas.openxmlformats.org/officeDocument/2006/relationships/hyperlink" Target="https://archive.org/details/github.com-R-Lum-rxylib_-_2021-01-03_13-06-26" TargetMode="External" Id="rId840" /><Relationship Type="http://schemas.openxmlformats.org/officeDocument/2006/relationships/hyperlink" Target="https://github.com/kserkcho/SCEM" TargetMode="External" Id="rId841" /><Relationship Type="http://schemas.openxmlformats.org/officeDocument/2006/relationships/hyperlink" Target="https://cran.r-project.org/package=SCEM" TargetMode="External" Id="rId842" /><Relationship Type="http://schemas.openxmlformats.org/officeDocument/2006/relationships/hyperlink" Target="https://github.com/atiro/scroll-viewer" TargetMode="External" Id="rId843" /><Relationship Type="http://schemas.openxmlformats.org/officeDocument/2006/relationships/hyperlink" Target="https://github.com/Johanna-Mestorf-Academy/sdsanalysis" TargetMode="External" Id="rId844" /><Relationship Type="http://schemas.openxmlformats.org/officeDocument/2006/relationships/hyperlink" Target="https://archive.org/details/github.com-Johanna-Mestorf-Academy-sdsanalysis_-_2018-12-13_13-20-29" TargetMode="External" Id="rId845" /><Relationship Type="http://schemas.openxmlformats.org/officeDocument/2006/relationships/hyperlink" Target="https://github.com/Johanna-Mestorf-Academy/sdsbrowser" TargetMode="External" Id="rId846" /><Relationship Type="http://schemas.openxmlformats.org/officeDocument/2006/relationships/hyperlink" Target="http://sds.ufg.uni-kiel.de/" TargetMode="External" Id="rId847" /><Relationship Type="http://schemas.openxmlformats.org/officeDocument/2006/relationships/hyperlink" Target="https://archive.org/details/github.com-Johanna-Mestorf-Academy-sdsbrowser_-_2018-12-12_12-44-35" TargetMode="External" Id="rId848" /><Relationship Type="http://schemas.openxmlformats.org/officeDocument/2006/relationships/hyperlink" Target="https://github.com/AurelienRoyer/SEAHORS" TargetMode="External" Id="rId849" /><Relationship Type="http://schemas.openxmlformats.org/officeDocument/2006/relationships/hyperlink" Target="https://github.com/zoran-cuckovic/senscape" TargetMode="External" Id="rId850" /><Relationship Type="http://schemas.openxmlformats.org/officeDocument/2006/relationships/hyperlink" Target="https://archive.org/details/github.com-zoran-cuckovic-senscape_-_2017-09-24_10-34-14" TargetMode="External" Id="rId851" /><Relationship Type="http://schemas.openxmlformats.org/officeDocument/2006/relationships/hyperlink" Target="https://github.com/mhahsler/seriation" TargetMode="External" Id="rId852" /><Relationship Type="http://schemas.openxmlformats.org/officeDocument/2006/relationships/hyperlink" Target="https://cran.r-project.org/package=seriation" TargetMode="External" Id="rId853" /><Relationship Type="http://schemas.openxmlformats.org/officeDocument/2006/relationships/hyperlink" Target="https://archive.org/details/github.com-mhahsler-seriation_-_2021-06-30_17-19-23" TargetMode="External" Id="rId854" /><Relationship Type="http://schemas.openxmlformats.org/officeDocument/2006/relationships/hyperlink" Target="https://github.com/clipo/Seriation" TargetMode="External" Id="rId855" /><Relationship Type="http://schemas.openxmlformats.org/officeDocument/2006/relationships/hyperlink" Target="https://archive.org/details/github.com-clipo-Seriation_-_2015-04-07_22-44-25" TargetMode="External" Id="rId856" /><Relationship Type="http://schemas.openxmlformats.org/officeDocument/2006/relationships/hyperlink" Target="https://abp.hypotheses.org/le-programme-bassin-parisien/les-projets/les-projets-associes-au-programme/outils-danalyse-graphique-des-donnees" TargetMode="External" Id="rId857" /><Relationship Type="http://schemas.openxmlformats.org/officeDocument/2006/relationships/hyperlink" Target="https://abp.hypotheses.org/le-programme-bassin-parisien/les-projets/les-projets-associes-au-programme/outils-danalyse-graphique-des-donnees" TargetMode="External" Id="rId858" /><Relationship Type="http://schemas.openxmlformats.org/officeDocument/2006/relationships/hyperlink" Target="https://github.com/cconsta1/SexEst" TargetMode="External" Id="rId859" /><Relationship Type="http://schemas.openxmlformats.org/officeDocument/2006/relationships/hyperlink" Target="https://github.com/ISAAKiel/shapAAR" TargetMode="External" Id="rId860" /><Relationship Type="http://schemas.openxmlformats.org/officeDocument/2006/relationships/hyperlink" Target="https://archive.org/details/github.com-ISAAKiel-shapAAR_-_2020-07-08_15-22-23" TargetMode="External" Id="rId861" /><Relationship Type="http://schemas.openxmlformats.org/officeDocument/2006/relationships/hyperlink" Target="https://github.com/dstreble/shiny_DRAC" TargetMode="External" Id="rId862" /><Relationship Type="http://schemas.openxmlformats.org/officeDocument/2006/relationships/hyperlink" Target="https://archive.org/details/github.com-dstreble-shiny_DRAC_-_2016-11-02_16-04-27" TargetMode="External" Id="rId863" /><Relationship Type="http://schemas.openxmlformats.org/officeDocument/2006/relationships/hyperlink" Target="https://github.com/dstreble/shiny_TLdating" TargetMode="External" Id="rId864" /><Relationship Type="http://schemas.openxmlformats.org/officeDocument/2006/relationships/hyperlink" Target="https://archive.org/details/github.com-dstreble-shiny_TLdating_-_2016-11-02_16-04-05" TargetMode="External" Id="rId865" /><Relationship Type="http://schemas.openxmlformats.org/officeDocument/2006/relationships/hyperlink" Target="https://github.com/ISAAKiel/shkrdata" TargetMode="External" Id="rId866" /><Relationship Type="http://schemas.openxmlformats.org/officeDocument/2006/relationships/hyperlink" Target="https://archive.org/details/github.com-ISAAKiel-shkrdata_-_2020-07-20_09-44-14" TargetMode="External" Id="rId867" /><Relationship Type="http://schemas.openxmlformats.org/officeDocument/2006/relationships/hyperlink" Target="https://github.com/Lugal-PCZ/shootpoints-web-api" TargetMode="External" Id="rId868" /><Relationship Type="http://schemas.openxmlformats.org/officeDocument/2006/relationships/hyperlink" Target="https://github.com/Lugal-PCZ/shootpoints-web-frontend" TargetMode="External" Id="rId869" /><Relationship Type="http://schemas.openxmlformats.org/officeDocument/2006/relationships/hyperlink" Target="https://github.com/isakro/shoredate" TargetMode="External" Id="rId870" /><Relationship Type="http://schemas.openxmlformats.org/officeDocument/2006/relationships/hyperlink" Target="https://cran.r-project.org/package=shoredate" TargetMode="External" Id="rId871" /><Relationship Type="http://schemas.openxmlformats.org/officeDocument/2006/relationships/hyperlink" Target="https://github.com/mrecos/signboardr" TargetMode="External" Id="rId872" /><Relationship Type="http://schemas.openxmlformats.org/officeDocument/2006/relationships/hyperlink" Target="https://archive.org/details/github.com-mrecos-signboardr_-_2017-11-04_00-39-27" TargetMode="External" Id="rId873" /><Relationship Type="http://schemas.openxmlformats.org/officeDocument/2006/relationships/hyperlink" Target="https://bitbucket.org/steko/mpi.r/src/default/" TargetMode="External" Id="rId874" /><Relationship Type="http://schemas.openxmlformats.org/officeDocument/2006/relationships/hyperlink" Target="https://github.com/fradeve/sipontomedievale" TargetMode="External" Id="rId875" /><Relationship Type="http://schemas.openxmlformats.org/officeDocument/2006/relationships/hyperlink" Target="https://archive.org/details/github.com-fradeve-sipontomedievale_-_2015-03-14_12-20-54" TargetMode="External" Id="rId876" /><Relationship Type="http://schemas.openxmlformats.org/officeDocument/2006/relationships/hyperlink" Target="https://github.com/SCSchmidt/sitedefinition" TargetMode="External" Id="rId877" /><Relationship Type="http://schemas.openxmlformats.org/officeDocument/2006/relationships/hyperlink" Target="https://archive.org/details/github.com-SCSchmidt-sitedefinition_-_2019-09-05_16-30-54" TargetMode="External" Id="rId878" /><Relationship Type="http://schemas.openxmlformats.org/officeDocument/2006/relationships/hyperlink" Target="https://github.com/demjanp/SiteSyncro" TargetMode="External" Id="rId879" /><Relationship Type="http://schemas.openxmlformats.org/officeDocument/2006/relationships/hyperlink" Target="https://sitesyncro.readthedocs.io/en/latest/" TargetMode="External" Id="rId880" /><Relationship Type="http://schemas.openxmlformats.org/officeDocument/2006/relationships/hyperlink" Target="https://doi.org/10.1017/RDC.2020.129" TargetMode="External" Id="rId881" /><Relationship Type="http://schemas.openxmlformats.org/officeDocument/2006/relationships/hyperlink" Target="https://github.com/pr0m1th3as/skeletal-sex-estimation" TargetMode="External" Id="rId882" /><Relationship Type="http://schemas.openxmlformats.org/officeDocument/2006/relationships/hyperlink" Target="https://archive.org/details/github.com-pr0m1th3as-skeletal-sex-estimation_-_2020-07-15_16-36-11" TargetMode="External" Id="rId883" /><Relationship Type="http://schemas.openxmlformats.org/officeDocument/2006/relationships/hyperlink" Target="https://github.com/pr0m1th3as/skullanalyzer" TargetMode="External" Id="rId884" /><Relationship Type="http://schemas.openxmlformats.org/officeDocument/2006/relationships/hyperlink" Target="https://archive.org/details/github.com-pr0m1th3as-skullanalyzer_-_2020-04-13_19-57-16" TargetMode="External" Id="rId885" /><Relationship Type="http://schemas.openxmlformats.org/officeDocument/2006/relationships/hyperlink" Target="https://github.com/f-silva-archaeo/skyscapeR" TargetMode="External" Id="rId886" /><Relationship Type="http://schemas.openxmlformats.org/officeDocument/2006/relationships/hyperlink" Target="https://archive.org/details/github.com-f-silva-archaeo-skyscapeR_-_2020-02-27_14-52-38" TargetMode="External" Id="rId887" /><Relationship Type="http://schemas.openxmlformats.org/officeDocument/2006/relationships/hyperlink" Target="https://github.com/julienmoeys/soiltexture" TargetMode="External" Id="rId888" /><Relationship Type="http://schemas.openxmlformats.org/officeDocument/2006/relationships/hyperlink" Target="https://cran.r-project.org/package=soiltexture" TargetMode="External" Id="rId889" /><Relationship Type="http://schemas.openxmlformats.org/officeDocument/2006/relationships/hyperlink" Target="https://archive.org/details/github.com-julienmoeys-soiltexture_-_2020-03-09_15-35-09" TargetMode="External" Id="rId890" /><Relationship Type="http://schemas.openxmlformats.org/officeDocument/2006/relationships/hyperlink" Target="https://github.com/ahb108/sparch" TargetMode="External" Id="rId891" /><Relationship Type="http://schemas.openxmlformats.org/officeDocument/2006/relationships/hyperlink" Target="https://archive.org/details/github.com-ahb108-sparch_-_2021-02-01_09-55-02" TargetMode="External" Id="rId892" /><Relationship Type="http://schemas.openxmlformats.org/officeDocument/2006/relationships/hyperlink" Target="https://cran.r-project.org/package=SPARTAAS" TargetMode="External" Id="rId893" /><Relationship Type="http://schemas.openxmlformats.org/officeDocument/2006/relationships/hyperlink" Target="https://github.com/jgregoriods/spDates" TargetMode="External" Id="rId894" /><Relationship Type="http://schemas.openxmlformats.org/officeDocument/2006/relationships/hyperlink" Target="https://archive.org/details/github.com-jgregoriods-spDates_-_2021-06-16_08-03-29" TargetMode="External" Id="rId895" /><Relationship Type="http://schemas.openxmlformats.org/officeDocument/2006/relationships/hyperlink" Target="https://github.com/ISAAKiel/statuAAR" TargetMode="External" Id="rId896" /><Relationship Type="http://schemas.openxmlformats.org/officeDocument/2006/relationships/hyperlink" Target="https://archive.org/details/github.com-ISAAKiel-statuAAR_-_2021-06-23_15-36-26" TargetMode="External" Id="rId897" /><Relationship Type="http://schemas.openxmlformats.org/officeDocument/2006/relationships/hyperlink" Target="https://github.com/rbbristow/StoneAdvisor" TargetMode="External" Id="rId898" /><Relationship Type="http://schemas.openxmlformats.org/officeDocument/2006/relationships/hyperlink" Target="https://abp.hypotheses.org/le-programme-bassin-parisien/les-projets/les-projets-associes-au-programme/fsn" TargetMode="External" Id="rId899" /><Relationship Type="http://schemas.openxmlformats.org/officeDocument/2006/relationships/hyperlink" Target="https://github.com/joeroe/stratigraphr" TargetMode="External" Id="rId900" /><Relationship Type="http://schemas.openxmlformats.org/officeDocument/2006/relationships/hyperlink" Target="https://archive.org/details/github.com-joeroe-stratigraphr_-_2021-01-30_15-20-12" TargetMode="External" Id="rId901" /><Relationship Type="http://schemas.openxmlformats.org/officeDocument/2006/relationships/hyperlink" Target="https://github.com/acortell3/SurveyeR" TargetMode="External" Id="rId902" /><Relationship Type="http://schemas.openxmlformats.org/officeDocument/2006/relationships/hyperlink" Target="https://codeberg.org/steko/svg-pottery" TargetMode="External" Id="rId903" /><Relationship Type="http://schemas.openxmlformats.org/officeDocument/2006/relationships/hyperlink" Target="https://archive.org/details/codeberg.org-steko-svg-pottery_-_2020-04-05_22-34-18" TargetMode="External" Id="rId904" /><Relationship Type="http://schemas.openxmlformats.org/officeDocument/2006/relationships/hyperlink" Target="https://github.com/joeroe/swapdata" TargetMode="External" Id="rId905" /><Relationship Type="http://schemas.openxmlformats.org/officeDocument/2006/relationships/hyperlink" Target="https://archive.org/details/github.com-joeroe-swapdata_-_2021-03-25_14-55-43" TargetMode="External" Id="rId906" /><Relationship Type="http://schemas.openxmlformats.org/officeDocument/2006/relationships/hyperlink" Target="https://github.com/scollinselliott/synthkat" TargetMode="External" Id="rId907" /><Relationship Type="http://schemas.openxmlformats.org/officeDocument/2006/relationships/hyperlink" Target="https://archive.org/details/github.com-scollinselliott-synthkat_-_2017-01-18_06-25-18" TargetMode="External" Id="rId908" /><Relationship Type="http://schemas.openxmlformats.org/officeDocument/2006/relationships/hyperlink" Target="https://github.com/tesselle/tabula" TargetMode="External" Id="rId909" /><Relationship Type="http://schemas.openxmlformats.org/officeDocument/2006/relationships/hyperlink" Target="https://cran.r-project.org/package=tabula" TargetMode="External" Id="rId910" /><Relationship Type="http://schemas.openxmlformats.org/officeDocument/2006/relationships/hyperlink" Target="https://packages.tesselle.org/tabula/" TargetMode="External" Id="rId911" /><Relationship Type="http://schemas.openxmlformats.org/officeDocument/2006/relationships/hyperlink" Target="https://doi.org/10.21105/joss.01821" TargetMode="External" Id="rId912" /><Relationship Type="http://schemas.openxmlformats.org/officeDocument/2006/relationships/hyperlink" Target="https://archive.org/details/github.com-tesselle-tabula_-_2021-01-26_20-01-25" TargetMode="External" Id="rId913" /><Relationship Type="http://schemas.openxmlformats.org/officeDocument/2006/relationships/hyperlink" Target="https://github.com/Archaeological-Museum-Hamburg/Tachy2GIS" TargetMode="External" Id="rId914" /><Relationship Type="http://schemas.openxmlformats.org/officeDocument/2006/relationships/hyperlink" Target="https://archive.org/details/github.com-gbv-Tachy2GIS_-_2021-04-23_09-17-43" TargetMode="External" Id="rId915" /><Relationship Type="http://schemas.openxmlformats.org/officeDocument/2006/relationships/hyperlink" Target="https://github.com/Landesamt-fuer-Archaeologie-Sachsen/Tachy2GIS_arch" TargetMode="External" Id="rId916" /><Relationship Type="http://schemas.openxmlformats.org/officeDocument/2006/relationships/hyperlink" Target="https://archive.org/details/github.com-Landesamt-fuer-Archaeologie-Sachsen-Tachy2GIS_arch_-_2021-06-29_11-41-35" TargetMode="External" Id="rId917" /><Relationship Type="http://schemas.openxmlformats.org/officeDocument/2006/relationships/hyperlink" Target="https://github.com/joeroe/tavo-a27" TargetMode="External" Id="rId918" /><Relationship Type="http://schemas.openxmlformats.org/officeDocument/2006/relationships/hyperlink" Target="https://archive.org/details/github.com-joeroe-tavo-a27_-_2019-10-01_07-38-25" TargetMode="External" Id="rId919" /><Relationship Type="http://schemas.openxmlformats.org/officeDocument/2006/relationships/hyperlink" Target="https://github.com/bocinsky/tdar" TargetMode="External" Id="rId920" /><Relationship Type="http://schemas.openxmlformats.org/officeDocument/2006/relationships/hyperlink" Target="https://archive.org/details/github.com-bocinsky-tdar_-_2020-08-06_02-10-16" TargetMode="External" Id="rId921" /><Relationship Type="http://schemas.openxmlformats.org/officeDocument/2006/relationships/hyperlink" Target="https://github.com/sfsheath/teaching-rome" TargetMode="External" Id="rId922" /><Relationship Type="http://schemas.openxmlformats.org/officeDocument/2006/relationships/hyperlink" Target="https://archive.org/details/github.com-sfsheath-teaching-rome_-_2017-09-21_03-53-33" TargetMode="External" Id="rId923" /><Relationship Type="http://schemas.openxmlformats.org/officeDocument/2006/relationships/hyperlink" Target="https://github.com/bbartholdy/teethr" TargetMode="External" Id="rId924" /><Relationship Type="http://schemas.openxmlformats.org/officeDocument/2006/relationships/hyperlink" Target="https://github.com/sslarch/tfqar" TargetMode="External" Id="rId925" /><Relationship Type="http://schemas.openxmlformats.org/officeDocument/2006/relationships/hyperlink" Target="http://tfqa.com/" TargetMode="External" Id="rId926" /><Relationship Type="http://schemas.openxmlformats.org/officeDocument/2006/relationships/hyperlink" Target="https://archive.org/details/github.com-sslarch-tfqar_-_2020-11-06_14-44-53" TargetMode="External" Id="rId927" /><Relationship Type="http://schemas.openxmlformats.org/officeDocument/2006/relationships/hyperlink" Target="https://github.com/stefaneichert/thanados" TargetMode="External" Id="rId928" /><Relationship Type="http://schemas.openxmlformats.org/officeDocument/2006/relationships/hyperlink" Target="https://thanados.net/" TargetMode="External" Id="rId929" /><Relationship Type="http://schemas.openxmlformats.org/officeDocument/2006/relationships/hyperlink" Target="https://archive.org/details/github.com-stefaneichert-thanados_-_2021-06-29_09-29-29" TargetMode="External" Id="rId930" /><Relationship Type="http://schemas.openxmlformats.org/officeDocument/2006/relationships/hyperlink" Target="https://github.com/ArchoLen/The-ABM-in-Archaeology-Bibliography" TargetMode="External" Id="rId931" /><Relationship Type="http://schemas.openxmlformats.org/officeDocument/2006/relationships/hyperlink" Target="https://archive.org/details/github.com-ArchoLen-The-ABM-in-Archaeology-Bibliography_-_2021-01-20_09-41-35" TargetMode="External" Id="rId932" /><Relationship Type="http://schemas.openxmlformats.org/officeDocument/2006/relationships/hyperlink" Target="http://isaw.nyu.edu/publications/awol-index/" TargetMode="External" Id="rId933" /><Relationship Type="http://schemas.openxmlformats.org/officeDocument/2006/relationships/hyperlink" Target="https://github.com/bocinsky/swtp" TargetMode="External" Id="rId934" /><Relationship Type="http://schemas.openxmlformats.org/officeDocument/2006/relationships/hyperlink" Target="https://archive.org/details/github.com-bocinsky-swtp_-_2020-12-11_04-18-38" TargetMode="External" Id="rId935" /><Relationship Type="http://schemas.openxmlformats.org/officeDocument/2006/relationships/hyperlink" Target="https://github.com/paleolimbot/tidypaleo" TargetMode="External" Id="rId936" /><Relationship Type="http://schemas.openxmlformats.org/officeDocument/2006/relationships/hyperlink" Target="https://archive.org/details/github.com-paleolimbot-tidypaleo_-_2020-12-30_14-14-17" TargetMode="External" Id="rId937" /><Relationship Type="http://schemas.openxmlformats.org/officeDocument/2006/relationships/hyperlink" Target="https://github.com/alexbrandsen/timeperiod2daterange" TargetMode="External" Id="rId938" /><Relationship Type="http://schemas.openxmlformats.org/officeDocument/2006/relationships/hyperlink" Target="https://cran.r-project.org/package=tipom" TargetMode="External" Id="rId939" /><Relationship Type="http://schemas.openxmlformats.org/officeDocument/2006/relationships/hyperlink" Target="https://codeberg.org/steko/tipom" TargetMode="External" Id="rId940" /><Relationship Type="http://schemas.openxmlformats.org/officeDocument/2006/relationships/hyperlink" Target="https://github.com/dstreble/TLdating" TargetMode="External" Id="rId941" /><Relationship Type="http://schemas.openxmlformats.org/officeDocument/2006/relationships/hyperlink" Target="https://archive.org/details/github.com-dstreble-TLdating_-_2017-09-06_14-41-46" TargetMode="External" Id="rId942" /><Relationship Type="http://schemas.openxmlformats.org/officeDocument/2006/relationships/hyperlink" Target="http://tfqa.com/" TargetMode="External" Id="rId943" /><Relationship Type="http://schemas.openxmlformats.org/officeDocument/2006/relationships/hyperlink" Target="https://github.com/ISAAKiel/tosca" TargetMode="External" Id="rId944" /><Relationship Type="http://schemas.openxmlformats.org/officeDocument/2006/relationships/hyperlink" Target="https://codeberg.org/steko/total-station-manuals" TargetMode="External" Id="rId945" /><Relationship Type="http://schemas.openxmlformats.org/officeDocument/2006/relationships/hyperlink" Target="https://archive.org/details/codeberg.org-steko-total-station-manuals_-_2020-04-18_22-50-09" TargetMode="External" Id="rId946" /><Relationship Type="http://schemas.openxmlformats.org/officeDocument/2006/relationships/hyperlink" Target="https://github.com/steko/totalopenstation" TargetMode="External" Id="rId947" /><Relationship Type="http://schemas.openxmlformats.org/officeDocument/2006/relationships/hyperlink" Target="https://tops.iosa.it/" TargetMode="External" Id="rId948" /><Relationship Type="http://schemas.openxmlformats.org/officeDocument/2006/relationships/hyperlink" Target="https://archive.org/details/github.com-steko-totalopenstation_-_2020-11-18_11-12-29" TargetMode="External" Id="rId949" /><Relationship Type="http://schemas.openxmlformats.org/officeDocument/2006/relationships/hyperlink" Target="https://github.com/enzococca/totalopenstationToQgis" TargetMode="External" Id="rId950" /><Relationship Type="http://schemas.openxmlformats.org/officeDocument/2006/relationships/hyperlink" Target="https://github.com/WiseLabCMU/totalstation-tools" TargetMode="External" Id="rId951" /><Relationship Type="http://schemas.openxmlformats.org/officeDocument/2006/relationships/hyperlink" Target="https://archive.org/details/github.com-WiseLabCMU-totalstation-tools_-_2018-03-10_20-40-09" TargetMode="External" Id="rId952" /><Relationship Type="http://schemas.openxmlformats.org/officeDocument/2006/relationships/hyperlink" Target="https://github.com/Eythan31/TPQ-Composer" TargetMode="External" Id="rId953" /><Relationship Type="http://schemas.openxmlformats.org/officeDocument/2006/relationships/hyperlink" Target="https://github.com/gianmarcoalberti/TRANSIT" TargetMode="External" Id="rId954" /><Relationship Type="http://schemas.openxmlformats.org/officeDocument/2006/relationships/hyperlink" Target="https://archive.org/details/github.com-gianmarcoalberti-TRANSIT_-_2017-12-17_09-17-29" TargetMode="External" Id="rId955" /><Relationship Type="http://schemas.openxmlformats.org/officeDocument/2006/relationships/hyperlink" Target="https://github.com/masonyoungblood/TransmissionBias" TargetMode="External" Id="rId956" /><Relationship Type="http://schemas.openxmlformats.org/officeDocument/2006/relationships/hyperlink" Target="https://archive.org/details/github.com-masonyoungblood-TransmissionBias_-_2021-07-01_11-24-26" TargetMode="External" Id="rId957" /><Relationship Type="http://schemas.openxmlformats.org/officeDocument/2006/relationships/hyperlink" Target="https://github.com/ElaineYChu/tRauma" TargetMode="External" Id="rId958" /><Relationship Type="http://schemas.openxmlformats.org/officeDocument/2006/relationships/hyperlink" Target="https://github.com/MikeJJohnson/trenchdrawer" TargetMode="External" Id="rId959" /><Relationship Type="http://schemas.openxmlformats.org/officeDocument/2006/relationships/hyperlink" Target="https://archive.org/details/github.com-MikeJJohnson-trenchdrawer_-_2016-05-10_08-42-06" TargetMode="External" Id="rId960" /><Relationship Type="http://schemas.openxmlformats.org/officeDocument/2006/relationships/hyperlink" Target="https://codeberg.org/steko/tridas" TargetMode="External" Id="rId961" /><Relationship Type="http://schemas.openxmlformats.org/officeDocument/2006/relationships/hyperlink" Target="https://sourceforge.net/projects/tridas/" TargetMode="External" Id="rId962" /><Relationship Type="http://schemas.openxmlformats.org/officeDocument/2006/relationships/hyperlink" Target="https://archive.org/details/codeberg.org-steko-tridas_-_2020-02-10_16-10-11" TargetMode="External" Id="rId963" /><Relationship Type="http://schemas.openxmlformats.org/officeDocument/2006/relationships/hyperlink" Target="https://github.com/chrinne/tutorial-autocad2018" TargetMode="External" Id="rId964" /><Relationship Type="http://schemas.openxmlformats.org/officeDocument/2006/relationships/hyperlink" Target="https://gitlab.com/oliver.nakoinz/tutorials" TargetMode="External" Id="rId965" /><Relationship Type="http://schemas.openxmlformats.org/officeDocument/2006/relationships/hyperlink" Target="https://gist.github.com/benmarwick/ac394fd61f481393b0ae" TargetMode="External" Id="rId966" /><Relationship Type="http://schemas.openxmlformats.org/officeDocument/2006/relationships/hyperlink" Target="https://archive.org/details/gist.github.com-ac394fd61f481393b0ae_-_2020-06-14_18-15-41" TargetMode="External" Id="rId967" /><Relationship Type="http://schemas.openxmlformats.org/officeDocument/2006/relationships/hyperlink" Target="http://www.mattpeeples.net/modules/UnconstrainedClustering.html" TargetMode="External" Id="rId968" /><Relationship Type="http://schemas.openxmlformats.org/officeDocument/2006/relationships/hyperlink" Target="https://github.com/mpeeples2008/UniformProbabilityDensityAnalysis" TargetMode="External" Id="rId969" /><Relationship Type="http://schemas.openxmlformats.org/officeDocument/2006/relationships/hyperlink" Target="https://github.com/stefanieschneider/unstruwwel" TargetMode="External" Id="rId970" /><Relationship Type="http://schemas.openxmlformats.org/officeDocument/2006/relationships/hyperlink" Target="https://archive.org/details/github.com-stefanieschneider-unstruwwel_-_2021-01-20_07-46-30" TargetMode="External" Id="rId971" /><Relationship Type="http://schemas.openxmlformats.org/officeDocument/2006/relationships/hyperlink" Target="https://github.com/tonydoss/UThwigl" TargetMode="External" Id="rId972" /><Relationship Type="http://schemas.openxmlformats.org/officeDocument/2006/relationships/hyperlink" Target="https://github.com/alessandrobattisti/Vessel-Measuring-Tool" TargetMode="External" Id="rId973" /><Relationship Type="http://schemas.openxmlformats.org/officeDocument/2006/relationships/hyperlink" Target="https://alessandrobattisti.github.io/Vessel-Measuring-Tool/" TargetMode="External" Id="rId974" /><Relationship Type="http://schemas.openxmlformats.org/officeDocument/2006/relationships/hyperlink" Target="https://archive.org/details/github.com-alessandrobattisti-Vessel-Measuring-Tool_-_2020-01-09_10-32-30" TargetMode="External" Id="rId975" /><Relationship Type="http://schemas.openxmlformats.org/officeDocument/2006/relationships/hyperlink" Target="http://vici.org" TargetMode="External" Id="rId976" /><Relationship Type="http://schemas.openxmlformats.org/officeDocument/2006/relationships/hyperlink" Target="https://github.com/renevoorburg/vici.org" TargetMode="External" Id="rId977" /><Relationship Type="http://schemas.openxmlformats.org/officeDocument/2006/relationships/hyperlink" Target="https://vici.org" TargetMode="External" Id="rId978" /><Relationship Type="http://schemas.openxmlformats.org/officeDocument/2006/relationships/hyperlink" Target="https://github.com/MartinHinz/vitutr" TargetMode="External" Id="rId979" /><Relationship Type="http://schemas.openxmlformats.org/officeDocument/2006/relationships/hyperlink" Target="https://archive.org/details/github.com-MartinHinz-vitutr_-_2019-07-10_07-18-25" TargetMode="External" Id="rId980" /><Relationship Type="http://schemas.openxmlformats.org/officeDocument/2006/relationships/hyperlink" Target="https://github.com/arf-berkeley/web_geochemistry" TargetMode="External" Id="rId981" /><Relationship Type="http://schemas.openxmlformats.org/officeDocument/2006/relationships/hyperlink" Target="https://github.com/WeedEco/WeedEco" TargetMode="External" Id="rId982" /><Relationship Type="http://schemas.openxmlformats.org/officeDocument/2006/relationships/hyperlink" Target="https://github.com/AndyBunn/xDateR" TargetMode="External" Id="rId983" /><Relationship Type="http://schemas.openxmlformats.org/officeDocument/2006/relationships/hyperlink" Target="https://github.com/paleolimbot/xrftools" TargetMode="External" Id="rId984" /><Relationship Type="http://schemas.openxmlformats.org/officeDocument/2006/relationships/hyperlink" Target="https://archive.org/details/github.com-paleolimbot-xrftools_-_2020-07-14_14-17-56" TargetMode="External" Id="rId985" /><Relationship Type="http://schemas.openxmlformats.org/officeDocument/2006/relationships/hyperlink" Target="https://github.com/xronos-ch/xronos.R" TargetMode="External" Id="rId986" /><Relationship Type="http://schemas.openxmlformats.org/officeDocument/2006/relationships/hyperlink" Target="https://xronos.ch" TargetMode="External" Id="rId987" /><Relationship Type="http://schemas.openxmlformats.org/officeDocument/2006/relationships/hyperlink" Target="https://github.com/eehh-stanford/yada" TargetMode="External" Id="rId988" /><Relationship Type="http://schemas.openxmlformats.org/officeDocument/2006/relationships/hyperlink" Target="https://eehh-stanford.github.io/yada/" TargetMode="External" Id="rId989" /><Relationship Type="http://schemas.openxmlformats.org/officeDocument/2006/relationships/hyperlink" Target="https://archive.org/details/github.com-eehh-stanford-yada_-_2020-06-15_00-23-18" TargetMode="External" Id="rId990" /><Relationship Type="http://schemas.openxmlformats.org/officeDocument/2006/relationships/hyperlink" Target="https://cran.r-project.org/package=zooaRch" TargetMode="External" Id="rId991" /><Relationship Type="http://schemas.openxmlformats.org/officeDocument/2006/relationships/hyperlink" Target="https://github.com/zooaRchGUI/zooaRchGUI" TargetMode="External" Id="rId992" /><Relationship Type="http://schemas.openxmlformats.org/officeDocument/2006/relationships/hyperlink" Target="http://www.zooarchgui.org/" TargetMode="External" Id="rId993" /><Relationship Type="http://schemas.openxmlformats.org/officeDocument/2006/relationships/hyperlink" Target="https://archive.org/details/github.com-zooaRchGUI-zooaRchGUI_-_2019-05-20_20-51-27" TargetMode="External" Id="rId994" /><Relationship Type="http://schemas.openxmlformats.org/officeDocument/2006/relationships/hyperlink" Target="https://github.com/wolfhagenj/ZooarchMixMod" TargetMode="External" Id="rId995" /><Relationship Type="http://schemas.openxmlformats.org/officeDocument/2006/relationships/hyperlink" Target="https://github.com/josempozo/zoolog" TargetMode="External" Id="rId996" /><Relationship Type="http://schemas.openxmlformats.org/officeDocument/2006/relationships/hyperlink" Target="https://cran.r-project.org/package=zoolog" TargetMode="External" Id="rId997" /><Relationship Type="http://schemas.openxmlformats.org/officeDocument/2006/relationships/hyperlink" Target="https://josempozo.github.io/zoolog/" TargetMode="External" Id="rId998" /><Relationship Type="http://schemas.openxmlformats.org/officeDocument/2006/relationships/hyperlink" Target="https://archive.org/details/github.com-josempozo-zoolog_-_2021-02-25_14-11-16" TargetMode="External" Id="rId999" /></Relationships>
</file>

<file path=xl/worksheets/_rels/sheet8.xml.rels><Relationships xmlns="http://schemas.openxmlformats.org/package/2006/relationships"><Relationship Type="http://schemas.openxmlformats.org/officeDocument/2006/relationships/hyperlink" Target="http://www.mattpeeples.net/ca.html" TargetMode="External" Id="rId1" /><Relationship Type="http://schemas.openxmlformats.org/officeDocument/2006/relationships/hyperlink" Target="http://www.mattpeeples.net/modules/LISA.html" TargetMode="External" Id="rId2" /><Relationship Type="http://schemas.openxmlformats.org/officeDocument/2006/relationships/hyperlink" Target="http://www.mattpeeples.net/modules/PLC.html" TargetMode="External" Id="rId3" /><Relationship Type="http://schemas.openxmlformats.org/officeDocument/2006/relationships/hyperlink" Target="http://www.mattpeeples.net/modules/UnconstrainedClustering.html" TargetMode="External" Id="rId4" /><Relationship Type="http://schemas.openxmlformats.org/officeDocument/2006/relationships/hyperlink" Target="http://www.mattpeeples.net/modules/BasicMapping.html" TargetMode="External" Id="rId5" /><Relationship Type="http://schemas.openxmlformats.org/officeDocument/2006/relationships/hyperlink" Target="http://www.mattpeeples.net/modules/PointPattern.html" TargetMode="External" Id="rId6" /><Relationship Type="http://schemas.openxmlformats.org/officeDocument/2006/relationships/hyperlink" Target="https://abp.hypotheses.org/le-programme-bassin-parisien/les-projets/les-projets-associes-au-programme/outils-danalyse-graphique-des-donnees" TargetMode="External" Id="rId7" /><Relationship Type="http://schemas.openxmlformats.org/officeDocument/2006/relationships/hyperlink" Target="https://codeberg.org/steko/harris-matrix-legacy" TargetMode="External" Id="rId8" /><Relationship Type="http://schemas.openxmlformats.org/officeDocument/2006/relationships/hyperlink" Target="https://www.iosa.it/2008/08/27/harris-matrix-with-graphviz-a-draft-application-with-python/" TargetMode="External" Id="rId9" /><Relationship Type="http://schemas.openxmlformats.org/officeDocument/2006/relationships/hyperlink" Target="https://abp.hypotheses.org/3965" TargetMode="External" Id="rId10" /><Relationship Type="http://schemas.openxmlformats.org/officeDocument/2006/relationships/hyperlink" Target="https://abp.hypotheses.org/4284" TargetMode="External" Id="rId11" /><Relationship Type="http://schemas.openxmlformats.org/officeDocument/2006/relationships/hyperlink" Target="https://abp.hypotheses.org/le-programme-bassin-parisien/les-projets/les-projets-associes-au-programme/outils-danalyse-graphique-des-donnees" TargetMode="External" Id="rId12" /><Relationship Type="http://schemas.openxmlformats.org/officeDocument/2006/relationships/hyperlink" Target="http://oadigital.net/software/xbones.html" TargetMode="External" Id="rId13" /><Relationship Type="http://schemas.openxmlformats.org/officeDocument/2006/relationships/hyperlink" Target="https://gist.github.com/benmarwick/6260541" TargetMode="External" Id="rId14" /><Relationship Type="http://schemas.openxmlformats.org/officeDocument/2006/relationships/hyperlink" Target="https://archive.org/details/gist.github.com-6260541_-_2015-12-21_05-58-59" TargetMode="External" Id="rId15" /><Relationship Type="http://schemas.openxmlformats.org/officeDocument/2006/relationships/hyperlink" Target="http://culturalheritageimaging.org/What_We_Offer/Downloads/Process/index.html" TargetMode="External" Id="rId16" /><Relationship Type="http://schemas.openxmlformats.org/officeDocument/2006/relationships/hyperlink" Target="http://culturalheritageimaging.org/What_We_Offer/Downloads/View/index.html" TargetMode="External" Id="rId17" /><Relationship Type="http://schemas.openxmlformats.org/officeDocument/2006/relationships/hyperlink" Target="https://gist.github.com/benmarwick/7331879" TargetMode="External" Id="rId18" /><Relationship Type="http://schemas.openxmlformats.org/officeDocument/2006/relationships/hyperlink" Target="https://archive.org/details/gist.github.com-7331879_-_2015-12-27_20-29-23" TargetMode="External" Id="rId19" /><Relationship Type="http://schemas.openxmlformats.org/officeDocument/2006/relationships/hyperlink" Target="https://gist.github.com/benmarwick/5f996a0f52ba1d92f76968119f941bd8" TargetMode="External" Id="rId20" /><Relationship Type="http://schemas.openxmlformats.org/officeDocument/2006/relationships/hyperlink" Target="https://archive.org/details/gist.github.com-5f996a0f52ba1d92f76968119f941bd8_-_2016-05-10_07-53-04" TargetMode="External" Id="rId21" /><Relationship Type="http://schemas.openxmlformats.org/officeDocument/2006/relationships/hyperlink" Target="https://sites.google.com/site/pyarchinit/" TargetMode="External" Id="rId22" /><Relationship Type="http://schemas.openxmlformats.org/officeDocument/2006/relationships/hyperlink" Target="https://abp.hypotheses.org/le-programme-bassin-parisien/les-projets/les-projets-associes-au-programme/fsn" TargetMode="External" Id="rId23" /><Relationship Type="http://schemas.openxmlformats.org/officeDocument/2006/relationships/hyperlink" Target="https://abp.hypotheses.org/le-programme-bassin-parisien/les-projets/les-projets-associes-au-programme/fsn" TargetMode="External" Id="rId24" /><Relationship Type="http://schemas.openxmlformats.org/officeDocument/2006/relationships/hyperlink" Target="https://gist.github.com/benmarwick/50aa4c39b7d955d0ec40" TargetMode="External" Id="rId25" /><Relationship Type="http://schemas.openxmlformats.org/officeDocument/2006/relationships/hyperlink" Target="https://archive.org/details/gist.github.com-50aa4c39b7d955d0ec40_-_2016-09-16_22-55-57" TargetMode="External" Id="rId26" /><Relationship Type="http://schemas.openxmlformats.org/officeDocument/2006/relationships/hyperlink" Target="https://gist.github.com/benmarwick/f32cbc2fe7297ec9f276b52c118a249a" TargetMode="External" Id="rId27" /><Relationship Type="http://schemas.openxmlformats.org/officeDocument/2006/relationships/hyperlink" Target="https://archive.org/details/gist.github.com-f32cbc2fe7297ec9f276b52c118a249a_-_2019-03-16_00-28-14" TargetMode="External" Id="rId28" /><Relationship Type="http://schemas.openxmlformats.org/officeDocument/2006/relationships/hyperlink" Target="https://gist.github.com/benmarwick/0d5e6526604e755b556f" TargetMode="External" Id="rId29" /><Relationship Type="http://schemas.openxmlformats.org/officeDocument/2006/relationships/hyperlink" Target="https://archive.org/details/gist.github.com-0d5e6526604e755b556f_-_2015-09-22_16-54-45" TargetMode="External" Id="rId30" /><Relationship Type="http://schemas.openxmlformats.org/officeDocument/2006/relationships/hyperlink" Target="https://gist.github.com/benmarwick/ac394fd61f481393b0ae" TargetMode="External" Id="rId31" /><Relationship Type="http://schemas.openxmlformats.org/officeDocument/2006/relationships/hyperlink" Target="https://archive.org/details/gist.github.com-ac394fd61f481393b0ae_-_2020-06-14_18-15-41" TargetMode="External" Id="rId32" /><Relationship Type="http://schemas.openxmlformats.org/officeDocument/2006/relationships/hyperlink" Target="https://abp.hypotheses.org/le-programme-bassin-parisien/les-projets/les-projets-associes-au-programme/outils-danalyse-graphique-des-donnees" TargetMode="External" Id="rId33" /><Relationship Type="http://schemas.openxmlformats.org/officeDocument/2006/relationships/hyperlink" Target="https://www.humanos.cnrs.fr/" TargetMode="External" Id="rId34" /><Relationship Type="http://schemas.openxmlformats.org/officeDocument/2006/relationships/hyperlink" Target="https://polipapers.upv.es/index.php/var/article/view/13422" TargetMode="External" Id="rId35" /><Relationship Type="http://schemas.openxmlformats.org/officeDocument/2006/relationships/hyperlink" Target="https://www.digitalbones.eu" TargetMode="External" Id="rId36" /><Relationship Type="http://schemas.openxmlformats.org/officeDocument/2006/relationships/hyperlink" Target="https://nihk.de/en/research/current-projects/arbodat-ape" TargetMode="External" Id="rId37" /><Relationship Type="http://schemas.openxmlformats.org/officeDocument/2006/relationships/hyperlink" Target="https://chrono.ulb.be/" TargetMode="External" Id="rId38" /></Relationships>
</file>

<file path=xl/worksheets/sheet1.xml><?xml version="1.0" encoding="utf-8"?>
<worksheet xmlns="http://schemas.openxmlformats.org/spreadsheetml/2006/main">
  <sheetPr>
    <outlinePr summaryBelow="0" summaryRight="0"/>
    <pageSetUpPr/>
  </sheetPr>
  <dimension ref="A1:F60"/>
  <sheetViews>
    <sheetView workbookViewId="0">
      <selection activeCell="A1" sqref="A1"/>
    </sheetView>
  </sheetViews>
  <sheetFormatPr baseColWidth="8" defaultColWidth="12.63" defaultRowHeight="15.75" customHeight="1"/>
  <cols>
    <col width="46.38" customWidth="1" style="20" min="1" max="1"/>
    <col width="17.88" customWidth="1" style="20" min="2" max="2"/>
    <col width="466.5" customWidth="1" style="20" min="6" max="6"/>
  </cols>
  <sheetData>
    <row r="1">
      <c r="A1" s="17" t="inlineStr">
        <is>
          <t>Title</t>
        </is>
      </c>
      <c r="B1" s="17" t="inlineStr">
        <is>
          <t>Category</t>
        </is>
      </c>
      <c r="C1" s="17" t="inlineStr">
        <is>
          <t>Authors</t>
        </is>
      </c>
      <c r="D1" s="17" t="inlineStr">
        <is>
          <t>Open-Archaeo URL</t>
        </is>
      </c>
      <c r="E1" s="17" t="inlineStr">
        <is>
          <t>Tool (y/n)</t>
        </is>
      </c>
      <c r="F1" s="17" t="inlineStr">
        <is>
          <t>AI Notes</t>
        </is>
      </c>
    </row>
    <row r="2">
      <c r="A2" s="17" t="inlineStr">
        <is>
          <t>quantAAR</t>
        </is>
      </c>
      <c r="B2" s="17" t="inlineStr">
        <is>
          <t>Packages and libraries</t>
        </is>
      </c>
      <c r="C2" s="17" t="inlineStr">
        <is>
          <t>ISAAKiel</t>
        </is>
      </c>
      <c r="D2" s="2" t="inlineStr">
        <is>
          <t>https://open-archaeo.info/post/quantAAR</t>
        </is>
      </c>
      <c r="E2" s="17" t="inlineStr">
        <is>
          <t>y</t>
        </is>
      </c>
      <c r="F2" s="17" t="inlineStr">
        <is>
          <t>Classified as tool based on: R Library for Quantitative Analysis in Archaeology.</t>
        </is>
      </c>
    </row>
    <row r="3">
      <c r="A3" s="17" t="inlineStr">
        <is>
          <t>tabula</t>
        </is>
      </c>
      <c r="B3" s="17" t="inlineStr">
        <is>
          <t>Packages and libraries</t>
        </is>
      </c>
      <c r="C3" s="17" t="inlineStr">
        <is>
          <t>tesselle</t>
        </is>
      </c>
      <c r="D3" s="2" t="inlineStr">
        <is>
          <t>https://open-archaeo.info/post/tabula</t>
        </is>
      </c>
      <c r="E3" s="17" t="inlineStr">
        <is>
          <t>y</t>
        </is>
      </c>
      <c r="F3" s="17" t="inlineStr">
        <is>
          <t>Classified as tool based on: Analysis, Seriation and Visualization of Archaeological Count Data.</t>
        </is>
      </c>
    </row>
    <row r="4">
      <c r="A4" s="17" t="inlineStr">
        <is>
          <t>tosca</t>
        </is>
      </c>
      <c r="B4" s="17" t="inlineStr">
        <is>
          <t>Scripts</t>
        </is>
      </c>
      <c r="C4" s="17" t="inlineStr">
        <is>
          <t>ISAAKiel</t>
        </is>
      </c>
      <c r="D4" s="2" t="inlineStr">
        <is>
          <t>https://open-archaeo.info/post/tosca</t>
        </is>
      </c>
      <c r="E4" s="17" t="inlineStr">
        <is>
          <t>y</t>
        </is>
      </c>
      <c r="F4" s="17" t="inlineStr">
        <is>
          <t>Classified as tool based on: Tool for Online Seriation and Correspondence Analysis.</t>
        </is>
      </c>
    </row>
    <row r="5">
      <c r="A5" s="17" t="inlineStr">
        <is>
          <t>CAinterprTools</t>
        </is>
      </c>
      <c r="B5" s="17" t="inlineStr">
        <is>
          <t>Packages and libraries</t>
        </is>
      </c>
      <c r="C5" s="17" t="inlineStr">
        <is>
          <t>gianmarcoalberti</t>
        </is>
      </c>
      <c r="D5" s="2" t="inlineStr">
        <is>
          <t>https://open-archaeo.info/post/CAinterprTools</t>
        </is>
      </c>
      <c r="E5" s="17" t="inlineStr">
        <is>
          <t>y</t>
        </is>
      </c>
      <c r="F5" s="17" t="inlineStr">
        <is>
          <t>Classified as tool based on: R package to help interpreting Correspondence Analysis' results.</t>
        </is>
      </c>
    </row>
    <row r="6">
      <c r="A6" s="17" t="inlineStr">
        <is>
          <t>CAseriation</t>
        </is>
      </c>
      <c r="B6" s="17" t="inlineStr">
        <is>
          <t>Packages and libraries</t>
        </is>
      </c>
      <c r="C6" s="17" t="inlineStr">
        <is>
          <t>gianmarcoalberti</t>
        </is>
      </c>
      <c r="D6" s="2" t="inlineStr">
        <is>
          <t>https://open-archaeo.info/post/CAseriation</t>
        </is>
      </c>
      <c r="E6" s="17" t="inlineStr">
        <is>
          <t>y</t>
        </is>
      </c>
      <c r="F6" s="17" t="inlineStr">
        <is>
          <t>Classified as tool based on: R Package for contingency tables seriation via Correspondence Analysis.</t>
        </is>
      </c>
    </row>
    <row r="7">
      <c r="A7" s="17" t="inlineStr">
        <is>
          <t>Binomial-Co-occurrence-Assessment</t>
        </is>
      </c>
      <c r="B7" s="17" t="inlineStr">
        <is>
          <t>Scripts</t>
        </is>
      </c>
      <c r="C7" s="17" t="inlineStr">
        <is>
          <t>mpeeples2008</t>
        </is>
      </c>
      <c r="D7" s="2" t="inlineStr">
        <is>
          <t>https://open-archaeo.info/post/Binomial-Co-occurrence-Assessment</t>
        </is>
      </c>
      <c r="E7" s="17" t="inlineStr">
        <is>
          <t>n</t>
        </is>
      </c>
      <c r="F7" s="17" t="inlineStr">
        <is>
          <t>Not classified as tool because: R script that implements a means for statistically assessing the degree of co-occurrence between classes within a dataset.</t>
        </is>
      </c>
    </row>
    <row r="8">
      <c r="A8" s="17" t="inlineStr">
        <is>
          <t>Kmeans</t>
        </is>
      </c>
      <c r="B8" s="17" t="inlineStr">
        <is>
          <t>Scripts</t>
        </is>
      </c>
      <c r="C8" s="17" t="inlineStr">
        <is>
          <t>mpeeples2008</t>
        </is>
      </c>
      <c r="D8" s="2" t="inlineStr">
        <is>
          <t>https://open-archaeo.info/post/Kmeans</t>
        </is>
      </c>
      <c r="E8" s="17" t="inlineStr">
        <is>
          <t>y</t>
        </is>
      </c>
      <c r="F8" s="17" t="inlineStr">
        <is>
          <t>Classified as tool based on: Script for conducting K-means cluster analysis using R. This script provides output designed to help the user select an appropriate cluster solution.</t>
        </is>
      </c>
    </row>
    <row r="9">
      <c r="A9" s="17" t="inlineStr">
        <is>
          <t>Brainerd-Robinson-Similarity-Coefficient-and-Sampling-Error-Assessment</t>
        </is>
      </c>
      <c r="B9" s="17" t="inlineStr">
        <is>
          <t>Scripts</t>
        </is>
      </c>
      <c r="C9" s="17" t="inlineStr">
        <is>
          <t>mpeeples2008</t>
        </is>
      </c>
      <c r="D9" s="2" t="inlineStr">
        <is>
          <t>https://open-archaeo.info/post/Brainerd-Robinson-Similarity-Coefficient-and-Sampling-Error-Assessment</t>
        </is>
      </c>
      <c r="E9" s="17" t="inlineStr">
        <is>
          <t>y</t>
        </is>
      </c>
      <c r="F9" s="17" t="inlineStr">
        <is>
          <t>Classified as tool based on: Script for calculating Brainerd-Robinson coefficients based on tabular count or percent data. This script also estimates the probability that a given difference between two samples is the product of sampling error.</t>
        </is>
      </c>
    </row>
    <row r="10">
      <c r="A10" s="17" t="inlineStr">
        <is>
          <t>Mean-Ceramic-Date-and-Error-Estimation</t>
        </is>
      </c>
      <c r="B10" s="17" t="inlineStr">
        <is>
          <t>Scripts</t>
        </is>
      </c>
      <c r="C10" s="17" t="inlineStr">
        <is>
          <t>mpeeples2008</t>
        </is>
      </c>
      <c r="D10" s="2" t="inlineStr">
        <is>
          <t>https://open-archaeo.info/post/Mean-Ceramic-Date-and-Error-Estimation</t>
        </is>
      </c>
      <c r="E10" s="17" t="inlineStr">
        <is>
          <t>y</t>
        </is>
      </c>
      <c r="F10" s="17" t="inlineStr">
        <is>
          <t>Classified as tool based on: Script for calculating mean ceramic dates based on tabular data. This script also estimates sampling error using a bootstrapping procedure.</t>
        </is>
      </c>
    </row>
    <row r="11">
      <c r="A11" s="17" t="inlineStr">
        <is>
          <t>Bootstrap-Correspondence-Analysis</t>
        </is>
      </c>
      <c r="B11" s="17" t="inlineStr">
        <is>
          <t>Scripts</t>
        </is>
      </c>
      <c r="C11" s="17" t="inlineStr">
        <is>
          <t>mpeeples2008</t>
        </is>
      </c>
      <c r="D11" s="2" t="inlineStr">
        <is>
          <t>https://open-archaeo.info/post/Bootstrap-Correspondence-Analysis</t>
        </is>
      </c>
      <c r="E11" s="17" t="inlineStr">
        <is>
          <t>y</t>
        </is>
      </c>
      <c r="F11" s="17" t="inlineStr">
        <is>
          <t>Classified as tool based on: R-script for conducting and evaluating bootstrapped correspondence analyses.</t>
        </is>
      </c>
    </row>
    <row r="12">
      <c r="A12" s="17" t="inlineStr">
        <is>
          <t>ca</t>
        </is>
      </c>
      <c r="B12" s="17" t="inlineStr">
        <is>
          <t>Scripts</t>
        </is>
      </c>
      <c r="C12" s="17" t="inlineStr">
        <is>
          <t>mpeeples2008</t>
        </is>
      </c>
      <c r="D12" s="2" t="inlineStr">
        <is>
          <t>https://open-archaeo.info/post/ca</t>
        </is>
      </c>
      <c r="E12" s="17" t="inlineStr">
        <is>
          <t>y</t>
        </is>
      </c>
      <c r="F12" s="17" t="inlineStr">
        <is>
          <t>Classified as tool based on: R Script for Seriation Using Correspondence Analysis.</t>
        </is>
      </c>
    </row>
    <row r="13">
      <c r="A13" s="17" t="inlineStr">
        <is>
          <t>LISA</t>
        </is>
      </c>
      <c r="B13" s="17" t="inlineStr">
        <is>
          <t>Scripts</t>
        </is>
      </c>
      <c r="C13" s="17" t="inlineStr">
        <is>
          <t>mpeeples2008</t>
        </is>
      </c>
      <c r="D13" s="2" t="inlineStr">
        <is>
          <t>https://open-archaeo.info/post/LISA</t>
        </is>
      </c>
      <c r="E13" s="17" t="inlineStr">
        <is>
          <t>y</t>
        </is>
      </c>
      <c r="F13" s="17" t="inlineStr">
        <is>
          <t>Classified as tool based on: Moran's I and Getis-Ord G* Analysis.</t>
        </is>
      </c>
    </row>
    <row r="14">
      <c r="A14" s="17" t="inlineStr">
        <is>
          <t>PLC</t>
        </is>
      </c>
      <c r="B14" s="17" t="inlineStr">
        <is>
          <t>Scripts</t>
        </is>
      </c>
      <c r="C14" s="17" t="inlineStr">
        <is>
          <t>mpeeples2008</t>
        </is>
      </c>
      <c r="D14" s="2" t="inlineStr">
        <is>
          <t>https://open-archaeo.info/post/PLC</t>
        </is>
      </c>
      <c r="E14" s="17" t="inlineStr">
        <is>
          <t>y</t>
        </is>
      </c>
      <c r="F14" s="17" t="inlineStr">
        <is>
          <t>Classified as tool based on: Pure Locational Clustering.</t>
        </is>
      </c>
    </row>
    <row r="15">
      <c r="A15" s="17" t="inlineStr">
        <is>
          <t>UnconstrainedClustering</t>
        </is>
      </c>
      <c r="B15" s="17" t="inlineStr">
        <is>
          <t>Scripts</t>
        </is>
      </c>
      <c r="C15" s="17" t="inlineStr">
        <is>
          <t>mpeeples2008</t>
        </is>
      </c>
      <c r="D15" s="2" t="inlineStr">
        <is>
          <t>https://open-archaeo.info/post/UnconstrainedClustering</t>
        </is>
      </c>
      <c r="E15" s="17" t="inlineStr">
        <is>
          <t>y</t>
        </is>
      </c>
      <c r="F15" s="17" t="inlineStr">
        <is>
          <t>Classified as tool based on: Unconstrained Clustering.</t>
        </is>
      </c>
    </row>
    <row r="16">
      <c r="A16" s="17" t="inlineStr">
        <is>
          <t>BasicMapping</t>
        </is>
      </c>
      <c r="B16" s="17" t="inlineStr">
        <is>
          <t>Scripts</t>
        </is>
      </c>
      <c r="C16" s="17" t="inlineStr">
        <is>
          <t>mpeeples2008</t>
        </is>
      </c>
      <c r="D16" s="2" t="inlineStr">
        <is>
          <t>https://open-archaeo.info/post/BasicMapping</t>
        </is>
      </c>
      <c r="E16" s="17" t="inlineStr">
        <is>
          <t>y</t>
        </is>
      </c>
      <c r="F16" s="17" t="inlineStr">
        <is>
          <t>Classified as tool based on: Working with map data in R.</t>
        </is>
      </c>
    </row>
    <row r="17">
      <c r="A17" s="17" t="inlineStr">
        <is>
          <t>PointPattern</t>
        </is>
      </c>
      <c r="B17" s="17" t="inlineStr">
        <is>
          <t>Scripts</t>
        </is>
      </c>
      <c r="C17" s="17" t="inlineStr">
        <is>
          <t>mpeeples2008</t>
        </is>
      </c>
      <c r="D17" s="2" t="inlineStr">
        <is>
          <t>https://open-archaeo.info/post/PointPattern</t>
        </is>
      </c>
      <c r="E17" s="17" t="inlineStr">
        <is>
          <t>y</t>
        </is>
      </c>
      <c r="F17" s="17" t="inlineStr">
        <is>
          <t>Classified as tool based on: Point Pattern Analysis.</t>
        </is>
      </c>
    </row>
    <row r="18">
      <c r="A18" s="17" t="inlineStr">
        <is>
          <t>sindwem</t>
        </is>
      </c>
      <c r="B18" s="17" t="inlineStr">
        <is>
          <t>Packages and libraries</t>
        </is>
      </c>
      <c r="C18" s="17" t="inlineStr">
        <is>
          <t>steko</t>
        </is>
      </c>
      <c r="D18" s="2" t="inlineStr">
        <is>
          <t>https://open-archaeo.info/post/sindwem</t>
        </is>
      </c>
      <c r="E18" s="17" t="inlineStr">
        <is>
          <t>y</t>
        </is>
      </c>
      <c r="F18" s="17" t="inlineStr">
        <is>
          <t>Classified as tool based on: This R package contains exactly one function, that calculates the "sum of individual weighted means" according to a methodology that is quite common among archaeologists and was first published in 1988 by Elisabeth Fentress and Philip Perkins.</t>
        </is>
      </c>
    </row>
    <row r="19">
      <c r="A19" s="17" t="inlineStr">
        <is>
          <t>Explographe</t>
        </is>
      </c>
      <c r="B19" s="17" t="inlineStr">
        <is>
          <t>Packages and libraries</t>
        </is>
      </c>
      <c r="C19" s="17" t="inlineStr">
        <is>
          <t>Bruno Desachy</t>
        </is>
      </c>
      <c r="D19" s="2" t="inlineStr">
        <is>
          <t>https://open-archaeo.info/post/Explographe</t>
        </is>
      </c>
      <c r="E19" s="17" t="inlineStr">
        <is>
          <t>y</t>
        </is>
      </c>
      <c r="F19" s="17" t="inlineStr">
        <is>
          <t>Classified as tool based on: Application (in LibreOffice Calc) for serializing a graphic matrix from counting tables. The application makes it possible to obtain either a serograph or a graph of the PVI matrograph type (visualization of the differences in independence from the percentages of independence values) which does not favor the vision of the variables over that of the lines and more suitable for non-chronological treatments.</t>
        </is>
      </c>
    </row>
    <row r="20">
      <c r="A20" s="17" t="inlineStr">
        <is>
          <t>predictSource</t>
        </is>
      </c>
      <c r="B20" s="17" t="inlineStr">
        <is>
          <t>Packages and libraries</t>
        </is>
      </c>
      <c r="C20" s="17" t="inlineStr">
        <is>
          <t>benmarwick</t>
        </is>
      </c>
      <c r="D20" s="2" t="inlineStr">
        <is>
          <t>https://open-archaeo.info/post/predictSource</t>
        </is>
      </c>
      <c r="E20" s="17" t="inlineStr">
        <is>
          <t>y</t>
        </is>
      </c>
      <c r="F20" s="17" t="inlineStr">
        <is>
          <t>Classified as tool based on: A package to analyze data used to determine whether samples from multiple sources can be separated, to predict the sources of samples from unknown sources, and to evaluation the validity of those predictions. Sample data can include both quantitative and qualitative data. The package includes functions for creating an analysis file from multiple files and exploratory data analysis, as well as multivariate statistical methods to determine source separation, predict sources of unknown samples, and evaluate the validity of the predictions (principal components, classification trees, and random forests).</t>
        </is>
      </c>
    </row>
    <row r="21">
      <c r="A21" s="17" t="inlineStr">
        <is>
          <t>Artifact_Class_Diversity</t>
        </is>
      </c>
      <c r="B21" s="17" t="inlineStr">
        <is>
          <t>Scripts</t>
        </is>
      </c>
      <c r="C21" s="17" t="inlineStr">
        <is>
          <t>taphocoenose</t>
        </is>
      </c>
      <c r="D21" s="2" t="inlineStr">
        <is>
          <t>https://open-archaeo.info/post/Artifact_Class_Diversity</t>
        </is>
      </c>
      <c r="E21" s="17" t="inlineStr">
        <is>
          <t>y</t>
        </is>
      </c>
      <c r="F21" s="17" t="inlineStr">
        <is>
          <t>Classified as tool based on: Estimates artifact class diversity in multiple geographic regions.</t>
        </is>
      </c>
    </row>
    <row r="22">
      <c r="A22" s="17" t="inlineStr">
        <is>
          <t>ede_interpolation</t>
        </is>
      </c>
      <c r="B22" s="17" t="inlineStr">
        <is>
          <t>Packages and libraries</t>
        </is>
      </c>
      <c r="C22" s="17" t="inlineStr">
        <is>
          <t>demjanp</t>
        </is>
      </c>
      <c r="D22" s="2" t="inlineStr">
        <is>
          <t>https://open-archaeo.info/post/ede_interpolation</t>
        </is>
      </c>
      <c r="E22" s="17" t="inlineStr">
        <is>
          <t>y</t>
        </is>
      </c>
      <c r="F22" s="17" t="inlineStr">
        <is>
          <t>Classified as tool based on: A QGIS 3 plugin for spatio-temporal interpolation of archaeological settlement evidence.</t>
        </is>
      </c>
    </row>
    <row r="23">
      <c r="A23" s="17" t="inlineStr">
        <is>
          <t>FuzzyViewshed</t>
        </is>
      </c>
      <c r="B23" s="17" t="inlineStr">
        <is>
          <t>Packages and libraries</t>
        </is>
      </c>
      <c r="C23" s="17" t="inlineStr">
        <is>
          <t>gianmarcoalberti</t>
        </is>
      </c>
      <c r="D23" s="2" t="inlineStr">
        <is>
          <t>https://open-archaeo.info/post/FuzzyViewshed</t>
        </is>
      </c>
      <c r="E23" s="17" t="inlineStr">
        <is>
          <t>y</t>
        </is>
      </c>
      <c r="F23" s="17" t="inlineStr">
        <is>
          <t>Classified as tool based on: ArcGIS toolbox for fuzzy viewshed calculation.</t>
        </is>
      </c>
    </row>
    <row r="24">
      <c r="A24" s="17" t="inlineStr">
        <is>
          <t>QGIS-visibility-analysis</t>
        </is>
      </c>
      <c r="B24" s="17" t="inlineStr">
        <is>
          <t>Packages and libraries</t>
        </is>
      </c>
      <c r="C24" s="17" t="inlineStr">
        <is>
          <t>zoran-cuckovic</t>
        </is>
      </c>
      <c r="D24" s="2" t="inlineStr">
        <is>
          <t>https://open-archaeo.info/post/QGIS-visibility-analysis</t>
        </is>
      </c>
      <c r="E24" s="17" t="inlineStr">
        <is>
          <t>y</t>
        </is>
      </c>
      <c r="F24" s="17" t="inlineStr">
        <is>
          <t>Classified as tool based on: Calculates visible surface from a given observer point over a digital elevation model. The plugin is intended for more complex modelling, such as the depth below the visible horizon or generation of intervisibilty networks between groups of points. It is particularly performant for multiple viewshed calculations form a set of fixed points.</t>
        </is>
      </c>
    </row>
    <row r="25">
      <c r="A25" s="17" t="inlineStr">
        <is>
          <t>senscape</t>
        </is>
      </c>
      <c r="B25" s="17" t="inlineStr">
        <is>
          <t>Packages and libraries</t>
        </is>
      </c>
      <c r="C25" s="17" t="inlineStr">
        <is>
          <t>zoran-cuckovic</t>
        </is>
      </c>
      <c r="D25" s="2" t="inlineStr">
        <is>
          <t>https://open-archaeo.info/post/senscape</t>
        </is>
      </c>
      <c r="E25" s="17" t="inlineStr">
        <is>
          <t>y</t>
        </is>
      </c>
      <c r="F25" s="17" t="inlineStr">
        <is>
          <t>Classified as tool based on: A toolbox for modelling human perception of topography for QGIS, based on QGIS viewshed module.</t>
        </is>
      </c>
    </row>
    <row r="26">
      <c r="A26" s="17" t="inlineStr">
        <is>
          <t>ArchaeoLines</t>
        </is>
      </c>
      <c r="B26" s="17" t="inlineStr">
        <is>
          <t>Packages and libraries</t>
        </is>
      </c>
      <c r="C26" s="17" t="inlineStr">
        <is>
          <t>stellarium</t>
        </is>
      </c>
      <c r="D26" s="2" t="inlineStr">
        <is>
          <t>https://open-archaeo.info/post/ArchaeoLines</t>
        </is>
      </c>
      <c r="E26" s="17" t="inlineStr">
        <is>
          <t>y</t>
        </is>
      </c>
      <c r="F26" s="17" t="inlineStr">
        <is>
          <t>Classified as tool based on: The ArchaeoLines plugin displays any combination of declination arcs most relevant to archaeo- or ethnoastronomical studies.</t>
        </is>
      </c>
    </row>
    <row r="27">
      <c r="A27" s="17" t="inlineStr">
        <is>
          <t>pathAAR</t>
        </is>
      </c>
      <c r="B27" s="17" t="inlineStr">
        <is>
          <t>Packages and libraries</t>
        </is>
      </c>
      <c r="C27" s="17" t="inlineStr">
        <is>
          <t>ISAAKiel</t>
        </is>
      </c>
      <c r="D27" s="2" t="inlineStr">
        <is>
          <t>https://open-archaeo.info/post/pathAAR</t>
        </is>
      </c>
      <c r="E27" s="17" t="inlineStr">
        <is>
          <t>y</t>
        </is>
      </c>
      <c r="F27" s="17" t="inlineStr">
        <is>
          <t>Classified as tool based on: R Package to reconstruct paths using archaeological monuments, model parameters of infrastructure and evaluate those parameters, model parameters of infrastructure and evaluate those parameters.</t>
        </is>
      </c>
    </row>
    <row r="28">
      <c r="A28" s="17" t="inlineStr">
        <is>
          <t>TRANSIT</t>
        </is>
      </c>
      <c r="B28" s="17" t="inlineStr">
        <is>
          <t>Packages and libraries</t>
        </is>
      </c>
      <c r="C28" s="17" t="inlineStr">
        <is>
          <t>gianmarcoalberti</t>
        </is>
      </c>
      <c r="D28" s="2" t="inlineStr">
        <is>
          <t>https://open-archaeo.info/post/TRANSIT</t>
        </is>
      </c>
      <c r="E28" s="17" t="inlineStr">
        <is>
          <t>y</t>
        </is>
      </c>
      <c r="F28" s="17" t="inlineStr">
        <is>
          <t>Classified as tool based on: GIS toolbox for estimating the duration of ancient sail-powered navigation.</t>
        </is>
      </c>
    </row>
    <row r="29">
      <c r="A29" s="17" t="inlineStr">
        <is>
          <t>QGIS-topographic-networks</t>
        </is>
      </c>
      <c r="B29" s="17" t="inlineStr">
        <is>
          <t>Packages and libraries</t>
        </is>
      </c>
      <c r="C29" s="17" t="inlineStr">
        <is>
          <t>zoran-cuckovic</t>
        </is>
      </c>
      <c r="D29" s="2" t="inlineStr">
        <is>
          <t>https://open-archaeo.info/post/QGIS-topographic-networks</t>
        </is>
      </c>
      <c r="E29" s="17" t="inlineStr">
        <is>
          <t>y</t>
        </is>
      </c>
      <c r="F29" s="17" t="inlineStr">
        <is>
          <t>Classified as tool based on: Models relationships between elements in a terrain model, connecting pixels according to their height difference.</t>
        </is>
      </c>
    </row>
    <row r="30">
      <c r="A30" s="17" t="inlineStr">
        <is>
          <t>leastcostpath</t>
        </is>
      </c>
      <c r="B30" s="17" t="inlineStr">
        <is>
          <t>Packages and libraries</t>
        </is>
      </c>
      <c r="C30" s="17" t="inlineStr">
        <is>
          <t>josephlewis</t>
        </is>
      </c>
      <c r="D30" s="2" t="inlineStr">
        <is>
          <t>https://open-archaeo.info/post/leastcostpath</t>
        </is>
      </c>
      <c r="E30" s="17" t="inlineStr">
        <is>
          <t>y</t>
        </is>
      </c>
      <c r="F30" s="17" t="inlineStr">
        <is>
          <t>Classified as tool based on: Provides the functionality to calculate Least Cost Paths (LCPs) which are often, but not exclusively, used in archaeological research. This package can be used to apply multiple cost functions when approximating the difficulty of moving across a landscape, as well as taking into account traversing across slope and other costs such as landscape features. This package also provides functionality to validate the accuracy of the computed LCP relative to another path.</t>
        </is>
      </c>
    </row>
    <row r="31">
      <c r="A31" s="17" t="inlineStr">
        <is>
          <t>field-photographs</t>
        </is>
      </c>
      <c r="B31" s="17" t="inlineStr">
        <is>
          <t>Packages and libraries</t>
        </is>
      </c>
      <c r="C31" s="17" t="inlineStr">
        <is>
          <t>anatolian</t>
        </is>
      </c>
      <c r="D31" s="2" t="inlineStr">
        <is>
          <t>https://open-archaeo.info/post/field-photographs</t>
        </is>
      </c>
      <c r="E31" s="17" t="inlineStr">
        <is>
          <t>y</t>
        </is>
      </c>
      <c r="F31" s="17" t="inlineStr">
        <is>
          <t>Classified as tool based on: Android apps for archaeology that enable photography during field work.</t>
        </is>
      </c>
    </row>
    <row r="32">
      <c r="A32" s="17" t="inlineStr">
        <is>
          <t>archaeological-survey-location-collector</t>
        </is>
      </c>
      <c r="B32" s="17" t="inlineStr">
        <is>
          <t>Packages and libraries</t>
        </is>
      </c>
      <c r="C32" s="17" t="inlineStr">
        <is>
          <t>anatolian</t>
        </is>
      </c>
      <c r="D32" s="2" t="inlineStr">
        <is>
          <t>https://open-archaeo.info/post/archaeological-survey-location-collector</t>
        </is>
      </c>
      <c r="E32" s="17" t="inlineStr">
        <is>
          <t>y</t>
        </is>
      </c>
      <c r="F32" s="17" t="inlineStr">
        <is>
          <t>Classified as tool based on: An app for use in archaeological field survey to collect high-accurate point locations, photographs, and other data.</t>
        </is>
      </c>
    </row>
    <row r="33">
      <c r="A33" s="17" t="inlineStr">
        <is>
          <t>ArkGrid</t>
        </is>
      </c>
      <c r="B33" s="17" t="inlineStr">
        <is>
          <t>Packages and libraries</t>
        </is>
      </c>
      <c r="C33" s="17" t="inlineStr">
        <is>
          <t>L-P Archaeology</t>
        </is>
      </c>
      <c r="D33" s="2" t="inlineStr">
        <is>
          <t>https://open-archaeo.info/post/ArkGrid</t>
        </is>
      </c>
      <c r="E33" s="17" t="inlineStr">
        <is>
          <t>y</t>
        </is>
      </c>
      <c r="F33" s="17" t="inlineStr">
        <is>
          <t>Classified as tool based on: A QGIS plugin for local site grids.</t>
        </is>
      </c>
    </row>
    <row r="34">
      <c r="A34" s="17" t="inlineStr">
        <is>
          <t>trenchdrawer</t>
        </is>
      </c>
      <c r="B34" s="17" t="inlineStr">
        <is>
          <t>Packages and libraries</t>
        </is>
      </c>
      <c r="C34" s="17" t="inlineStr">
        <is>
          <t>MikeJJohnson</t>
        </is>
      </c>
      <c r="D34" s="2" t="inlineStr">
        <is>
          <t>https://open-archaeo.info/post/trenchdrawer</t>
        </is>
      </c>
      <c r="E34" s="17" t="inlineStr">
        <is>
          <t>y</t>
        </is>
      </c>
      <c r="F34" s="17" t="inlineStr">
        <is>
          <t>Classified as tool based on: Plugin for drawing trenches.</t>
        </is>
      </c>
    </row>
    <row r="35">
      <c r="A35" s="17" t="inlineStr">
        <is>
          <t>fieldwalkr</t>
        </is>
      </c>
      <c r="B35" s="17" t="inlineStr">
        <is>
          <t>Packages and libraries</t>
        </is>
      </c>
      <c r="C35" s="17" t="inlineStr">
        <is>
          <t>joeroe</t>
        </is>
      </c>
      <c r="D35" s="2" t="inlineStr">
        <is>
          <t>https://open-archaeo.info/post/fieldwalkr</t>
        </is>
      </c>
      <c r="E35" s="17" t="inlineStr">
        <is>
          <t>y</t>
        </is>
      </c>
      <c r="F35" s="17" t="inlineStr">
        <is>
          <t>Classified as tool based on: Spatial Sampling and Survey Simulation Tools.</t>
        </is>
      </c>
    </row>
    <row r="36">
      <c r="A36" s="17" t="inlineStr">
        <is>
          <t>ArkScan</t>
        </is>
      </c>
      <c r="B36" s="17" t="inlineStr">
        <is>
          <t>Standalone software</t>
        </is>
      </c>
      <c r="C36" s="17" t="inlineStr">
        <is>
          <t>L-P Archaeology</t>
        </is>
      </c>
      <c r="D36" s="2" t="inlineStr">
        <is>
          <t>https://open-archaeo.info/post/ArkScan</t>
        </is>
      </c>
      <c r="E36" s="17" t="inlineStr">
        <is>
          <t>y</t>
        </is>
      </c>
      <c r="F36" s="17" t="inlineStr">
        <is>
          <t>Classified as tool based on: A simple gui app to simplify scanning single context plans.</t>
        </is>
      </c>
    </row>
    <row r="37">
      <c r="A37" s="17" t="inlineStr">
        <is>
          <t>ArkSpatial</t>
        </is>
      </c>
      <c r="B37" s="17" t="inlineStr">
        <is>
          <t>Packages and libraries</t>
        </is>
      </c>
      <c r="C37" s="17" t="inlineStr">
        <is>
          <t>L-P Archaeology</t>
        </is>
      </c>
      <c r="D37" s="2" t="inlineStr">
        <is>
          <t>https://open-archaeo.info/post/ArkSpatial</t>
        </is>
      </c>
      <c r="E37" s="17" t="inlineStr">
        <is>
          <t>y</t>
        </is>
      </c>
      <c r="F37" s="17" t="inlineStr">
        <is>
          <t>Classified as tool based on: A QGIS plugin to simplfy digitization of archaeological plans drawn using the Museum of London Single Context Recording methodology.</t>
        </is>
      </c>
    </row>
    <row r="38">
      <c r="A38" s="17" t="inlineStr">
        <is>
          <t>sitedefinition</t>
        </is>
      </c>
      <c r="B38" s="17" t="inlineStr">
        <is>
          <t>Packages and libraries</t>
        </is>
      </c>
      <c r="C38" s="17" t="inlineStr">
        <is>
          <t>SCSchmidt</t>
        </is>
      </c>
      <c r="D38" s="2" t="inlineStr">
        <is>
          <t>https://open-archaeo.info/post/sitedefinition</t>
        </is>
      </c>
      <c r="E38" s="17" t="inlineStr">
        <is>
          <t>y</t>
        </is>
      </c>
      <c r="F38" s="17" t="inlineStr">
        <is>
          <t>Classified as tool based on: The goal of sitedefinition is to see how feature densities might be used for site definition.</t>
        </is>
      </c>
    </row>
    <row r="39">
      <c r="A39" s="17" t="inlineStr">
        <is>
          <t>ArkMatrix</t>
        </is>
      </c>
      <c r="B39" s="17" t="inlineStr">
        <is>
          <t>Packages and libraries</t>
        </is>
      </c>
      <c r="C39" s="17" t="inlineStr">
        <is>
          <t>arklab</t>
        </is>
      </c>
      <c r="D39" s="2" t="inlineStr">
        <is>
          <t>https://open-archaeo.info/post/ArkMatrix</t>
        </is>
      </c>
      <c r="E39" s="17" t="inlineStr">
        <is>
          <t>y</t>
        </is>
      </c>
      <c r="F39" s="17" t="inlineStr">
        <is>
          <t>Classified as tool based on: A tool for creating and manipulating Harris Matrices, part of the Archaeological Recording Kit ARK.</t>
        </is>
      </c>
    </row>
    <row r="40">
      <c r="A40" s="17" t="inlineStr">
        <is>
          <t>harris2graph</t>
        </is>
      </c>
      <c r="B40" s="17" t="inlineStr">
        <is>
          <t>Packages and libraries</t>
        </is>
      </c>
      <c r="C40" s="17" t="inlineStr">
        <is>
          <t>L-P Archaeology</t>
        </is>
      </c>
      <c r="D40" s="2" t="inlineStr">
        <is>
          <t>https://open-archaeo.info/post/harris2graph</t>
        </is>
      </c>
      <c r="E40" s="17" t="inlineStr">
        <is>
          <t>y</t>
        </is>
      </c>
      <c r="F40" s="17" t="inlineStr">
        <is>
          <t>Classified as tool based on: harris2graph is a script to help migrate data from the LST file format used by the BASP Harris, Stratify and ArchEd packages into modern graph file formats.</t>
        </is>
      </c>
    </row>
    <row r="41">
      <c r="A41" s="17" t="inlineStr">
        <is>
          <t>Harris-matrix-legacy</t>
        </is>
      </c>
      <c r="B41" s="17" t="inlineStr">
        <is>
          <t>Packages and libraries</t>
        </is>
      </c>
      <c r="C41" s="17" t="inlineStr">
        <is>
          <t>steko; iosa</t>
        </is>
      </c>
      <c r="D41" s="2" t="inlineStr">
        <is>
          <t>https://open-archaeo.info/post/Harris-matrix-legacy</t>
        </is>
      </c>
      <c r="E41" s="17" t="inlineStr">
        <is>
          <t>y</t>
        </is>
      </c>
      <c r="F41" s="17" t="inlineStr">
        <is>
          <t>Classified as tool based on: Create a Harris Matrix from archaeological stratigraphy data using Python and Graphviz.</t>
        </is>
      </c>
    </row>
    <row r="42">
      <c r="A42" s="17" t="inlineStr">
        <is>
          <t>harris-matrix</t>
        </is>
      </c>
      <c r="B42" s="17" t="inlineStr">
        <is>
          <t>Packages and libraries</t>
        </is>
      </c>
      <c r="C42" s="17" t="inlineStr">
        <is>
          <t>tsdye</t>
        </is>
      </c>
      <c r="D42" s="2" t="inlineStr">
        <is>
          <t>https://open-archaeo.info/post/harris-matrix</t>
        </is>
      </c>
      <c r="E42" s="17" t="inlineStr">
        <is>
          <t>y</t>
        </is>
      </c>
      <c r="F42" s="17" t="inlineStr">
        <is>
          <t>Classified as tool based on: Write Graphviz dot files for archaeological sequence diagrams and Bayesian chronological models.</t>
        </is>
      </c>
    </row>
    <row r="43">
      <c r="A43" s="17" t="inlineStr">
        <is>
          <t>harris-matrix</t>
        </is>
      </c>
      <c r="B43" s="17" t="inlineStr">
        <is>
          <t>Standalone software</t>
        </is>
      </c>
      <c r="C43" s="17" t="inlineStr">
        <is>
          <t>semerj</t>
        </is>
      </c>
      <c r="D43" s="2" t="inlineStr">
        <is>
          <t>https://open-archaeo.info/post/harris-matrix</t>
        </is>
      </c>
      <c r="E43" s="17" t="inlineStr">
        <is>
          <t>y</t>
        </is>
      </c>
      <c r="F43" s="17" t="inlineStr">
        <is>
          <t>Classified as tool based on: Harris Matrix Visualization for the web using D3 + KLayJS-D3.</t>
        </is>
      </c>
    </row>
    <row r="44">
      <c r="A44" s="17" t="inlineStr">
        <is>
          <t>Le Stratifiant</t>
        </is>
      </c>
      <c r="B44" s="17" t="inlineStr">
        <is>
          <t>Packages and libraries</t>
        </is>
      </c>
      <c r="C44" s="17" t="inlineStr">
        <is>
          <t>Bruno Desachy</t>
        </is>
      </c>
      <c r="D44" s="17" t="inlineStr">
        <is>
          <t>https://open-archaeo.info/post/Le Stratifiant</t>
        </is>
      </c>
      <c r="E44" s="17" t="inlineStr">
        <is>
          <t>y</t>
        </is>
      </c>
      <c r="F44" s="17" t="inlineStr">
        <is>
          <t>Classified as tool based on: Application for creating stratigraphic diagrams and checking the consistency of the chronostratigraphic recording.</t>
        </is>
      </c>
    </row>
    <row r="45">
      <c r="A45" s="17" t="inlineStr">
        <is>
          <t>chronomodel</t>
        </is>
      </c>
      <c r="B45" s="17" t="inlineStr">
        <is>
          <t>Standalone software</t>
        </is>
      </c>
      <c r="C45" s="17" t="inlineStr">
        <is>
          <t>Chronomodel</t>
        </is>
      </c>
      <c r="D45" s="2" t="inlineStr">
        <is>
          <t>https://open-archaeo.info/post/chronomodel</t>
        </is>
      </c>
      <c r="E45" s="17" t="inlineStr">
        <is>
          <t>y</t>
        </is>
      </c>
      <c r="F45" s="17" t="inlineStr">
        <is>
          <t>Classified as tool based on: Chronological Modelling of Archaeological Data using Bayesian Statistics.</t>
        </is>
      </c>
    </row>
    <row r="46">
      <c r="A46" s="17" t="inlineStr">
        <is>
          <t>aoristAAR</t>
        </is>
      </c>
      <c r="B46" s="17" t="inlineStr">
        <is>
          <t>Packages and libraries</t>
        </is>
      </c>
      <c r="C46" s="17" t="inlineStr">
        <is>
          <t>ISAAKiel</t>
        </is>
      </c>
      <c r="D46" s="2" t="inlineStr">
        <is>
          <t>https://open-archaeo.info/post/aoristAAR</t>
        </is>
      </c>
      <c r="E46" s="17" t="inlineStr">
        <is>
          <t>y</t>
        </is>
      </c>
      <c r="F46" s="17" t="inlineStr">
        <is>
          <t>Classified as tool based on: A R package for the aoristic analysis of archaeological data.</t>
        </is>
      </c>
    </row>
    <row r="47">
      <c r="A47" s="17" t="inlineStr">
        <is>
          <t>archSeries</t>
        </is>
      </c>
      <c r="B47" s="17" t="inlineStr">
        <is>
          <t>Packages and libraries</t>
        </is>
      </c>
      <c r="C47" s="17" t="inlineStr">
        <is>
          <t>davidcorton</t>
        </is>
      </c>
      <c r="D47" s="2" t="inlineStr">
        <is>
          <t>https://open-archaeo.info/post/archSeries</t>
        </is>
      </c>
      <c r="E47" s="17" t="inlineStr">
        <is>
          <t>y</t>
        </is>
      </c>
      <c r="F47" s="17" t="inlineStr">
        <is>
          <t>Classified as tool based on: Frequency time-series tools for archaeology.</t>
        </is>
      </c>
    </row>
    <row r="48">
      <c r="A48" s="17" t="inlineStr">
        <is>
          <t>stratigraphr</t>
        </is>
      </c>
      <c r="B48" s="17" t="inlineStr">
        <is>
          <t>Packages and libraries</t>
        </is>
      </c>
      <c r="C48" s="17" t="inlineStr">
        <is>
          <t>joeroe</t>
        </is>
      </c>
      <c r="D48" s="2" t="inlineStr">
        <is>
          <t>https://open-archaeo.info/post/stratigraphr</t>
        </is>
      </c>
      <c r="E48" s="17" t="inlineStr">
        <is>
          <t>y</t>
        </is>
      </c>
      <c r="F48" s="17" t="inlineStr">
        <is>
          <t>Classified as tool based on: R package for archaeological stratigraphy and chronological sequences.</t>
        </is>
      </c>
    </row>
    <row r="49">
      <c r="A49" s="17" t="inlineStr">
        <is>
          <t>ArchaeoChron</t>
        </is>
      </c>
      <c r="B49" s="17" t="inlineStr">
        <is>
          <t>Packages and libraries</t>
        </is>
      </c>
      <c r="C49" s="17" t="inlineStr">
        <is>
          <t>philippe-a; marieannevibet</t>
        </is>
      </c>
      <c r="D49" s="2" t="inlineStr">
        <is>
          <t>https://open-archaeo.info/post/ArchaeoChron</t>
        </is>
      </c>
      <c r="E49" s="17" t="inlineStr">
        <is>
          <t>y</t>
        </is>
      </c>
      <c r="F49" s="17" t="inlineStr">
        <is>
          <t>Classified as tool based on: Bayesian Modeling of Archaeological Chronologies.</t>
        </is>
      </c>
    </row>
    <row r="50">
      <c r="A50" s="17" t="inlineStr">
        <is>
          <t>ArchaeoPhases</t>
        </is>
      </c>
      <c r="B50" s="17" t="inlineStr">
        <is>
          <t>Packages and libraries</t>
        </is>
      </c>
      <c r="C50" s="17" t="inlineStr">
        <is>
          <t>philippe-a; marieannevibet; tsdye; nfrerebeau</t>
        </is>
      </c>
      <c r="D50" s="2" t="inlineStr">
        <is>
          <t>https://open-archaeo.info/post/ArchaeoPhases</t>
        </is>
      </c>
      <c r="E50" s="17" t="inlineStr">
        <is>
          <t>y</t>
        </is>
      </c>
      <c r="F50" s="17" t="inlineStr">
        <is>
          <t>Classified as tool based on: Tools for the post-processing of the Markov Chain simulated by any software used for the construction of archeological chronologies.</t>
        </is>
      </c>
    </row>
    <row r="51">
      <c r="A51" s="17" t="inlineStr">
        <is>
          <t>Chronophage</t>
        </is>
      </c>
      <c r="B51" s="17" t="inlineStr">
        <is>
          <t>Packages and libraries</t>
        </is>
      </c>
      <c r="C51" s="17" t="inlineStr">
        <is>
          <t>Bruno Desachy</t>
        </is>
      </c>
      <c r="D51" s="2" t="inlineStr">
        <is>
          <t>https://open-archaeo.info/post/Chronophage</t>
        </is>
      </c>
      <c r="E51" s="17" t="inlineStr">
        <is>
          <t>y</t>
        </is>
      </c>
      <c r="F51" s="17" t="inlineStr">
        <is>
          <t>Classified as tool based on: Applications for obtaining chronograms (quantified chronology diagrams) and time distribution curves of archaeological or historical units from quantified dating indicators treated as inaccuracy intervals.</t>
        </is>
      </c>
    </row>
    <row r="52">
      <c r="A52" s="17" t="inlineStr">
        <is>
          <t>Seriographe EPPM</t>
        </is>
      </c>
      <c r="B52" s="17" t="inlineStr">
        <is>
          <t>Packages and libraries</t>
        </is>
      </c>
      <c r="C52" s="17" t="inlineStr">
        <is>
          <t>Bruno Desachy</t>
        </is>
      </c>
      <c r="D52" s="17" t="inlineStr">
        <is>
          <t>https://open-archaeo.info/post/Seriographe EPPM</t>
        </is>
      </c>
      <c r="E52" s="17" t="inlineStr">
        <is>
          <t>y</t>
        </is>
      </c>
      <c r="F52" s="17" t="inlineStr">
        <is>
          <t>Classified as tool based on: The EPPM serograph is a graphical tool for chronological serialization of archaeological furniture counting tables.</t>
        </is>
      </c>
    </row>
    <row r="53">
      <c r="A53" s="17" t="inlineStr">
        <is>
          <t>zooaRch</t>
        </is>
      </c>
      <c r="B53" s="17" t="inlineStr">
        <is>
          <t>Packages and libraries</t>
        </is>
      </c>
      <c r="C53" s="17" t="inlineStr">
        <is>
          <t>Erik Otarola-Castillo; Jesse Wolfhagen; Max D. Price; zooaRch</t>
        </is>
      </c>
      <c r="D53" s="2" t="inlineStr">
        <is>
          <t>https://open-archaeo.info/post/zooaRch</t>
        </is>
      </c>
      <c r="E53" s="17" t="inlineStr">
        <is>
          <t>y</t>
        </is>
      </c>
      <c r="F53" s="17" t="inlineStr">
        <is>
          <t>Classified as tool based on: The zooaRch package provides analytical tools to make inferences on zooarchaeological data.</t>
        </is>
      </c>
    </row>
    <row r="54">
      <c r="A54" s="17" t="inlineStr">
        <is>
          <t>zooaRchGUI</t>
        </is>
      </c>
      <c r="B54" s="17" t="inlineStr">
        <is>
          <t>Packages and libraries</t>
        </is>
      </c>
      <c r="C54" s="17" t="inlineStr">
        <is>
          <t>zooaRchGUI</t>
        </is>
      </c>
      <c r="D54" s="2" t="inlineStr">
        <is>
          <t>https://open-archaeo.info/post/zooaRchGUI</t>
        </is>
      </c>
      <c r="E54" s="17" t="inlineStr">
        <is>
          <t>y</t>
        </is>
      </c>
      <c r="F54" s="17" t="inlineStr">
        <is>
          <t>Classified as tool based on: The zooaRchGUI package provides a Graphical User Interface (GUI) to analytical tools for zooarchaeological data in the R package.</t>
        </is>
      </c>
    </row>
    <row r="55">
      <c r="A55" s="17" t="inlineStr">
        <is>
          <t>mortAAR</t>
        </is>
      </c>
      <c r="B55" s="17" t="inlineStr">
        <is>
          <t>Packages and libraries</t>
        </is>
      </c>
      <c r="C55" s="17" t="inlineStr">
        <is>
          <t>ISAAKiel</t>
        </is>
      </c>
      <c r="D55" s="2" t="inlineStr">
        <is>
          <t>https://open-archaeo.info/post/mortAAR</t>
        </is>
      </c>
      <c r="E55" s="17" t="inlineStr">
        <is>
          <t>y</t>
        </is>
      </c>
      <c r="F55" s="17" t="inlineStr">
        <is>
          <t>Classified as tool based on: Analysis of Archaeological Mortality Data.</t>
        </is>
      </c>
    </row>
    <row r="56">
      <c r="A56" s="17" t="inlineStr">
        <is>
          <t>Crossbones</t>
        </is>
      </c>
      <c r="B56" s="17" t="inlineStr">
        <is>
          <t>Standalone software</t>
        </is>
      </c>
      <c r="C56" s="17" t="inlineStr">
        <is>
          <t>Leif Isaksen</t>
        </is>
      </c>
      <c r="D56" s="2" t="inlineStr">
        <is>
          <t>https://open-archaeo.info/post/Crossbones</t>
        </is>
      </c>
      <c r="E56" s="17" t="inlineStr">
        <is>
          <t>y</t>
        </is>
      </c>
      <c r="F56" s="17" t="inlineStr">
        <is>
          <t>Classified as tool based on: Crossbones autogenerates 3D schematic skeletons, making rapid surveying and visualisation of dense skeletal assemblages a snap.</t>
        </is>
      </c>
    </row>
    <row r="57">
      <c r="A57" s="17" t="inlineStr">
        <is>
          <t>pollen_data_processing</t>
        </is>
      </c>
      <c r="B57" s="17" t="inlineStr">
        <is>
          <t>Scripts</t>
        </is>
      </c>
      <c r="C57" s="17" t="inlineStr">
        <is>
          <t>MartinHinz</t>
        </is>
      </c>
      <c r="D57" s="2" t="inlineStr">
        <is>
          <t>https://open-archaeo.info/post/pollen_data_processing</t>
        </is>
      </c>
      <c r="E57" s="17" t="inlineStr">
        <is>
          <t>y</t>
        </is>
      </c>
      <c r="F57" s="17" t="inlineStr">
        <is>
          <t>Classified as tool based on: some tools in respect to pollen data processing.</t>
        </is>
      </c>
    </row>
    <row r="58">
      <c r="A58" s="17" t="inlineStr">
        <is>
          <t>ethnobotanyR</t>
        </is>
      </c>
      <c r="B58" s="17" t="inlineStr">
        <is>
          <t>Packages and libraries</t>
        </is>
      </c>
      <c r="C58" s="17" t="inlineStr">
        <is>
          <t>CWWhitney</t>
        </is>
      </c>
      <c r="D58" s="2" t="inlineStr">
        <is>
          <t>https://open-archaeo.info/post/ethnobotanyR</t>
        </is>
      </c>
      <c r="E58" s="17" t="inlineStr">
        <is>
          <t>y</t>
        </is>
      </c>
      <c r="F58" s="17" t="inlineStr">
        <is>
          <t>Classified as tool based on: R package for calculating quantitative ethnobotany indices.</t>
        </is>
      </c>
    </row>
    <row r="59">
      <c r="A59" s="17" t="inlineStr">
        <is>
          <t>CharTool</t>
        </is>
      </c>
      <c r="B59" s="17" t="inlineStr">
        <is>
          <t>Standalone software</t>
        </is>
      </c>
      <c r="C59" s="17" t="inlineStr">
        <is>
          <t>gsnitker</t>
        </is>
      </c>
      <c r="D59" s="2" t="inlineStr">
        <is>
          <t>https://open-archaeo.info/post/CharTool</t>
        </is>
      </c>
      <c r="E59" s="17" t="inlineStr">
        <is>
          <t>y</t>
        </is>
      </c>
      <c r="F59" s="17" t="inlineStr">
        <is>
          <t>Classified as tool based on: CharTool is a macro tool for quantifying charcoal particles for paleoecological research applications.</t>
        </is>
      </c>
    </row>
    <row r="60">
      <c r="A60" s="17" t="inlineStr">
        <is>
          <t>tipom</t>
        </is>
      </c>
      <c r="B60" s="17" t="inlineStr">
        <is>
          <t>Packages and libraries</t>
        </is>
      </c>
      <c r="C60" s="17" t="inlineStr">
        <is>
          <t>iosa</t>
        </is>
      </c>
      <c r="D60" s="2" t="inlineStr">
        <is>
          <t>https://open-archaeo.info/post/tipom</t>
        </is>
      </c>
      <c r="E60" s="17" t="inlineStr">
        <is>
          <t>y</t>
        </is>
      </c>
      <c r="F60" s="17" t="inlineStr">
        <is>
          <t xml:space="preserve">Classified as tool based on: TIPOM is based on a methodology that was developed in the </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316"/>
  <sheetViews>
    <sheetView workbookViewId="0">
      <selection activeCell="A1" sqref="A1"/>
    </sheetView>
  </sheetViews>
  <sheetFormatPr baseColWidth="8" defaultColWidth="12.63" defaultRowHeight="15.75" customHeight="1"/>
  <cols>
    <col width="55.38" customWidth="1" style="20" min="1" max="1"/>
    <col width="84" customWidth="1" style="20" min="2" max="2"/>
    <col width="76.13" customWidth="1" style="20" min="3" max="3"/>
  </cols>
  <sheetData>
    <row r="1">
      <c r="A1" s="17" t="inlineStr">
        <is>
          <t>Title</t>
        </is>
      </c>
      <c r="B1" s="17" t="inlineStr">
        <is>
          <t>Authors</t>
        </is>
      </c>
      <c r="C1" s="17" t="inlineStr">
        <is>
          <t>URL</t>
        </is>
      </c>
      <c r="D1" s="17" t="inlineStr">
        <is>
          <t>Year</t>
        </is>
      </c>
    </row>
    <row r="2">
      <c r="A2" s="17" t="inlineStr">
        <is>
          <t>14C-power-sensitivity</t>
        </is>
      </c>
      <c r="B2" s="17" t="inlineStr">
        <is>
          <t>pete-jacobsson</t>
        </is>
      </c>
      <c r="C2" s="2" t="inlineStr">
        <is>
          <t>https://open-archaeo.info/post/14c-power-sensitivity/</t>
        </is>
      </c>
    </row>
    <row r="3">
      <c r="A3" s="17" t="inlineStr">
        <is>
          <t>3D_EdgeAngle</t>
        </is>
      </c>
      <c r="B3" s="17" t="inlineStr">
        <is>
          <t>lschunk; Ivan Calandra; Konstantin Bob</t>
        </is>
      </c>
      <c r="C3" s="2" t="inlineStr">
        <is>
          <t>https://open-archaeo.info/post/3d-edgeangle/</t>
        </is>
      </c>
      <c r="D3" s="17" t="n">
        <v>2023</v>
      </c>
    </row>
    <row r="4">
      <c r="A4" s="17" t="inlineStr">
        <is>
          <t>3D-survey-collection</t>
        </is>
      </c>
      <c r="B4" s="17" t="inlineStr">
        <is>
          <t>zalmoxes-laran</t>
        </is>
      </c>
      <c r="C4" s="2" t="inlineStr">
        <is>
          <t>https://open-archaeo.info/post/3d-survey-collection/</t>
        </is>
      </c>
    </row>
    <row r="5">
      <c r="A5" s="17" t="inlineStr">
        <is>
          <t>ADMUR</t>
        </is>
      </c>
      <c r="B5" s="17" t="inlineStr">
        <is>
          <t>Adrian Timpson; Ramiro Barberena; Mark G. Thomas; César Méndez; Katie Manning</t>
        </is>
      </c>
      <c r="C5" s="2" t="inlineStr">
        <is>
          <t>https://open-archaeo.info/post/admur/</t>
        </is>
      </c>
      <c r="D5" s="17" t="n">
        <v>2020</v>
      </c>
    </row>
    <row r="6">
      <c r="A6" s="17" t="inlineStr">
        <is>
          <t>aion</t>
        </is>
      </c>
      <c r="B6" s="17" t="inlineStr">
        <is>
          <t>tesselle</t>
        </is>
      </c>
      <c r="C6" s="2" t="inlineStr">
        <is>
          <t>https://open-archaeo.info/post/aion/</t>
        </is>
      </c>
    </row>
    <row r="7">
      <c r="A7" s="17" t="inlineStr">
        <is>
          <t>Akkademia</t>
        </is>
      </c>
      <c r="B7" s="17" t="inlineStr">
        <is>
          <t>gaigutherz; arielazary; ARomach; ireman</t>
        </is>
      </c>
      <c r="C7" s="2" t="inlineStr">
        <is>
          <t>https://open-archaeo.info/post/akkademia/</t>
        </is>
      </c>
    </row>
    <row r="8">
      <c r="A8" s="17" t="inlineStr">
        <is>
          <t>alkahest</t>
        </is>
      </c>
      <c r="B8" s="17" t="inlineStr">
        <is>
          <t>tesselle</t>
        </is>
      </c>
      <c r="C8" s="2" t="inlineStr">
        <is>
          <t>https://open-archaeo.info/post/alkahest/</t>
        </is>
      </c>
    </row>
    <row r="9">
      <c r="A9" s="17" t="inlineStr">
        <is>
          <t>allen-relations</t>
        </is>
      </c>
      <c r="B9" s="17" t="inlineStr">
        <is>
          <t>tsdye</t>
        </is>
      </c>
      <c r="C9" s="2" t="inlineStr">
        <is>
          <t>https://open-archaeo.info/post/allen-relations/</t>
        </is>
      </c>
    </row>
    <row r="10">
      <c r="A10" s="17" t="inlineStr">
        <is>
          <t>allen.archaeology</t>
        </is>
      </c>
      <c r="B10" s="17" t="inlineStr">
        <is>
          <t>tsdye</t>
        </is>
      </c>
      <c r="C10" s="2" t="inlineStr">
        <is>
          <t>https://open-archaeo.info/post/allen-archaeology/</t>
        </is>
      </c>
    </row>
    <row r="11">
      <c r="A11" s="17" t="inlineStr">
        <is>
          <t>ancient-artifacts</t>
        </is>
      </c>
      <c r="B11" s="17" t="inlineStr">
        <is>
          <t>vanderbilt-data-science</t>
        </is>
      </c>
      <c r="C11" s="2" t="inlineStr">
        <is>
          <t>https://open-archaeo.info/post/ancient-artifacts/</t>
        </is>
      </c>
    </row>
    <row r="12">
      <c r="A12" s="17" t="inlineStr">
        <is>
          <t>anthropmmd</t>
        </is>
      </c>
      <c r="B12" s="17" t="inlineStr">
        <is>
          <t>frederic-santos</t>
        </is>
      </c>
      <c r="C12" s="2" t="inlineStr">
        <is>
          <t>https://open-archaeo.info/post/anthropmmd/</t>
        </is>
      </c>
    </row>
    <row r="13">
      <c r="A13" s="17" t="inlineStr">
        <is>
          <t>aoristAAR</t>
        </is>
      </c>
      <c r="B13" s="17" t="inlineStr">
        <is>
          <t>ISAAKiel</t>
        </is>
      </c>
      <c r="C13" s="2" t="inlineStr">
        <is>
          <t>https://open-archaeo.info/post/aoristaar/</t>
        </is>
      </c>
    </row>
    <row r="14">
      <c r="A14" s="17" t="inlineStr">
        <is>
          <t>aoristic</t>
        </is>
      </c>
      <c r="B14" s="17" t="inlineStr">
        <is>
          <t>jerryratcliffe</t>
        </is>
      </c>
      <c r="C14" s="2" t="inlineStr">
        <is>
          <t>https://open-archaeo.info/post/aoristic/</t>
        </is>
      </c>
    </row>
    <row r="15">
      <c r="A15" s="17" t="inlineStr">
        <is>
          <t>aoristic-analysis</t>
        </is>
      </c>
      <c r="B15" s="17" t="inlineStr">
        <is>
          <t>LimesLimits</t>
        </is>
      </c>
      <c r="C15" s="2" t="inlineStr">
        <is>
          <t>https://open-archaeo.info/post/aoristic-analysis/</t>
        </is>
      </c>
    </row>
    <row r="16">
      <c r="A16" s="17" t="inlineStr">
        <is>
          <t>archaeo-CRF</t>
        </is>
      </c>
      <c r="B16" s="17" t="inlineStr">
        <is>
          <t>alexbrandsen</t>
        </is>
      </c>
      <c r="C16" s="2" t="inlineStr">
        <is>
          <t>https://open-archaeo.info/post/archaeo-crf/</t>
        </is>
      </c>
    </row>
    <row r="17">
      <c r="A17" s="17" t="inlineStr">
        <is>
          <t>ArchaeoAstroInsight</t>
        </is>
      </c>
      <c r="B17" s="17" t="inlineStr">
        <is>
          <t>marcfrincu</t>
        </is>
      </c>
      <c r="C17" s="2" t="inlineStr">
        <is>
          <t>https://open-archaeo.info/post/archaeoastroinsight/</t>
        </is>
      </c>
    </row>
    <row r="18">
      <c r="A18" s="17" t="inlineStr">
        <is>
          <t>ArchaeoCal</t>
        </is>
      </c>
      <c r="B18" s="17" t="inlineStr">
        <is>
          <t>nfrerebeau</t>
        </is>
      </c>
      <c r="C18" s="2" t="inlineStr">
        <is>
          <t>https://open-archaeo.info/post/archaeocal/</t>
        </is>
      </c>
    </row>
    <row r="19">
      <c r="A19" s="17" t="inlineStr">
        <is>
          <t>ArchaeoChron</t>
        </is>
      </c>
      <c r="B19" s="17" t="inlineStr">
        <is>
          <t>philippe-a; marieannevibet</t>
        </is>
      </c>
      <c r="C19" s="2" t="inlineStr">
        <is>
          <t>https://open-archaeo.info/post/archaeochron/</t>
        </is>
      </c>
      <c r="D19" s="17" t="n">
        <v>2019</v>
      </c>
    </row>
    <row r="20">
      <c r="A20" s="17" t="inlineStr">
        <is>
          <t>ArchaeoLines</t>
        </is>
      </c>
      <c r="B20" s="17" t="inlineStr">
        <is>
          <t>stellarium</t>
        </is>
      </c>
      <c r="C20" s="2" t="inlineStr">
        <is>
          <t>https://open-archaeo.info/post/archaeolines/</t>
        </is>
      </c>
    </row>
    <row r="21">
      <c r="A21" s="17" t="inlineStr">
        <is>
          <t>archaeological-survey-location-collector</t>
        </is>
      </c>
      <c r="B21" s="17" t="inlineStr">
        <is>
          <t>anatolian</t>
        </is>
      </c>
      <c r="C21" s="2" t="inlineStr">
        <is>
          <t>https://open-archaeo.info/post/archaeological-survey-location-collector/</t>
        </is>
      </c>
    </row>
    <row r="22">
      <c r="A22" s="17" t="inlineStr">
        <is>
          <t>archaeology-data-service</t>
        </is>
      </c>
      <c r="B22" s="17" t="inlineStr">
        <is>
          <t>anatolian</t>
        </is>
      </c>
      <c r="C22" s="2" t="inlineStr">
        <is>
          <t>https://open-archaeo.info/post/archaeology-data-service/</t>
        </is>
      </c>
    </row>
    <row r="23">
      <c r="A23" s="17" t="inlineStr">
        <is>
          <t>archaeology-object-data-collector-app</t>
        </is>
      </c>
      <c r="B23" s="17" t="inlineStr">
        <is>
          <t>anatolian</t>
        </is>
      </c>
      <c r="C23" s="2" t="inlineStr">
        <is>
          <t>https://open-archaeo.info/post/archaeology-object-data-collector-app/</t>
        </is>
      </c>
    </row>
    <row r="24">
      <c r="A24" s="17" t="inlineStr">
        <is>
          <t>ArchaeolPhytoliths</t>
        </is>
      </c>
      <c r="B24" s="17" t="inlineStr">
        <is>
          <t>iberganzo</t>
        </is>
      </c>
      <c r="C24" s="2" t="inlineStr">
        <is>
          <t>https://open-archaeo.info/post/archaeolphytoliths/</t>
        </is>
      </c>
    </row>
    <row r="25">
      <c r="A25" s="17" t="inlineStr">
        <is>
          <t>ArchaeoPhases</t>
        </is>
      </c>
      <c r="B25" s="17" t="inlineStr">
        <is>
          <t>philippe-a; marieannevibet; tsdye; nfrerebeau</t>
        </is>
      </c>
      <c r="C25" s="2" t="inlineStr">
        <is>
          <t>https://open-archaeo.info/post/archaeophases/</t>
        </is>
      </c>
      <c r="D25" s="17" t="n">
        <v>2023</v>
      </c>
    </row>
    <row r="26">
      <c r="A26" s="17" t="inlineStr">
        <is>
          <t>archaeosrp</t>
        </is>
      </c>
      <c r="B26" s="17" t="inlineStr">
        <is>
          <t>seanbergin</t>
        </is>
      </c>
      <c r="C26" s="2" t="inlineStr">
        <is>
          <t>https://open-archaeo.info/post/archaeosrp/</t>
        </is>
      </c>
      <c r="D26" s="17" t="n">
        <v>2022</v>
      </c>
    </row>
    <row r="27">
      <c r="A27" s="17" t="inlineStr">
        <is>
          <t>archchron</t>
        </is>
      </c>
      <c r="B27" s="17" t="inlineStr">
        <is>
          <t>oliver.nakoinz</t>
        </is>
      </c>
      <c r="C27" s="2" t="inlineStr">
        <is>
          <t>https://open-archaeo.info/post/archchron/</t>
        </is>
      </c>
    </row>
    <row r="28">
      <c r="A28" s="17" t="inlineStr">
        <is>
          <t>archeofrag</t>
        </is>
      </c>
      <c r="B28" s="17" t="inlineStr">
        <is>
          <t>sebastien-plutniak</t>
        </is>
      </c>
      <c r="C28" s="2" t="inlineStr">
        <is>
          <t>https://open-archaeo.info/post/archeofrag/</t>
        </is>
      </c>
    </row>
    <row r="29">
      <c r="A29" s="17" t="inlineStr">
        <is>
          <t>archeoViz</t>
        </is>
      </c>
      <c r="B29" s="17" t="inlineStr">
        <is>
          <t>sebastien-plutniak</t>
        </is>
      </c>
      <c r="C29" s="2" t="inlineStr">
        <is>
          <t>https://open-archaeo.info/post/archeoviz/</t>
        </is>
      </c>
    </row>
    <row r="30">
      <c r="A30" s="17" t="inlineStr">
        <is>
          <t>ArchJobCAD</t>
        </is>
      </c>
      <c r="B30" s="17" t="inlineStr">
        <is>
          <t>ISAAKiel</t>
        </is>
      </c>
      <c r="C30" s="2" t="inlineStr">
        <is>
          <t>https://open-archaeo.info/post/archjobcad/</t>
        </is>
      </c>
    </row>
    <row r="31">
      <c r="A31" s="17" t="inlineStr">
        <is>
          <t>archSeries</t>
        </is>
      </c>
      <c r="B31" s="17" t="inlineStr">
        <is>
          <t>davidcorton</t>
        </is>
      </c>
      <c r="C31" s="2" t="inlineStr">
        <is>
          <t>https://open-archaeo.info/post/archseries/</t>
        </is>
      </c>
    </row>
    <row r="32">
      <c r="A32" s="17" t="inlineStr">
        <is>
          <t>ArkGrid</t>
        </is>
      </c>
      <c r="B32" s="17" t="inlineStr">
        <is>
          <t>L-P Archaeology</t>
        </is>
      </c>
      <c r="C32" s="2" t="inlineStr">
        <is>
          <t>https://open-archaeo.info/post/arkgrid/</t>
        </is>
      </c>
    </row>
    <row r="33">
      <c r="A33" s="17" t="inlineStr">
        <is>
          <t>arkhe</t>
        </is>
      </c>
      <c r="B33" s="17" t="inlineStr">
        <is>
          <t>tesselle</t>
        </is>
      </c>
      <c r="C33" s="2" t="inlineStr">
        <is>
          <t>https://open-archaeo.info/post/arkhe/</t>
        </is>
      </c>
    </row>
    <row r="34">
      <c r="A34" s="17" t="inlineStr">
        <is>
          <t>ArkMatrix</t>
        </is>
      </c>
      <c r="B34" s="17" t="inlineStr">
        <is>
          <t>arklab</t>
        </is>
      </c>
      <c r="C34" s="2" t="inlineStr">
        <is>
          <t>https://open-archaeo.info/post/arkmatrix/</t>
        </is>
      </c>
    </row>
    <row r="35">
      <c r="A35" s="17" t="inlineStr">
        <is>
          <t>ArkSpatial</t>
        </is>
      </c>
      <c r="B35" s="17" t="inlineStr">
        <is>
          <t>L-P Archaeology</t>
        </is>
      </c>
      <c r="C35" s="2" t="inlineStr">
        <is>
          <t>https://open-archaeo.info/post/arkspatial/</t>
        </is>
      </c>
    </row>
    <row r="36">
      <c r="A36" s="17" t="inlineStr">
        <is>
          <t>Arothron</t>
        </is>
      </c>
      <c r="B36" s="17" t="inlineStr">
        <is>
          <t>Arothron</t>
        </is>
      </c>
      <c r="C36" s="2" t="inlineStr">
        <is>
          <t>https://open-archaeo.info/post/arothron/</t>
        </is>
      </c>
    </row>
    <row r="37">
      <c r="A37" s="17" t="inlineStr">
        <is>
          <t>arshm-release</t>
        </is>
      </c>
      <c r="B37" s="17" t="inlineStr">
        <is>
          <t>zacharyliu</t>
        </is>
      </c>
      <c r="C37" s="2" t="inlineStr">
        <is>
          <t>https://open-archaeo.info/post/arshm-release/</t>
        </is>
      </c>
    </row>
    <row r="38">
      <c r="A38" s="17" t="inlineStr">
        <is>
          <t>Artifacts-Analyzer</t>
        </is>
      </c>
      <c r="B38" s="17" t="inlineStr">
        <is>
          <t>Eythan31</t>
        </is>
      </c>
      <c r="C38" s="2" t="inlineStr">
        <is>
          <t>https://open-archaeo.info/post/artifacts-analyzer/</t>
        </is>
      </c>
    </row>
    <row r="39">
      <c r="A39" s="17" t="inlineStr">
        <is>
          <t>baorista</t>
        </is>
      </c>
      <c r="B39" s="17" t="inlineStr">
        <is>
          <t>ercrema</t>
        </is>
      </c>
      <c r="C39" s="2" t="inlineStr">
        <is>
          <t>https://open-archaeo.info/post/baorista/</t>
        </is>
      </c>
    </row>
    <row r="40">
      <c r="A40" s="17" t="inlineStr">
        <is>
          <t>baydem</t>
        </is>
      </c>
      <c r="B40" s="17" t="inlineStr">
        <is>
          <t>MichaelHoltonPrice; bocinsky</t>
        </is>
      </c>
      <c r="C40" s="2" t="inlineStr">
        <is>
          <t>https://open-archaeo.info/post/baydem/</t>
        </is>
      </c>
    </row>
    <row r="41">
      <c r="A41" s="17" t="inlineStr">
        <is>
          <t>BayLum</t>
        </is>
      </c>
      <c r="B41" s="17" t="inlineStr">
        <is>
          <t>philippe-a; RLumSK</t>
        </is>
      </c>
      <c r="C41" s="2" t="inlineStr">
        <is>
          <t>https://open-archaeo.info/post/baylum/</t>
        </is>
      </c>
      <c r="D41" s="17" t="n">
        <v>2020</v>
      </c>
    </row>
    <row r="42">
      <c r="A42" s="17" t="inlineStr">
        <is>
          <t>Bchron</t>
        </is>
      </c>
      <c r="B42" s="17" t="inlineStr">
        <is>
          <t>andrewcparnell</t>
        </is>
      </c>
      <c r="C42" s="2" t="inlineStr">
        <is>
          <t>https://open-archaeo.info/post/bchron/</t>
        </is>
      </c>
    </row>
    <row r="43">
      <c r="A43" s="17" t="inlineStr">
        <is>
          <t>BioArch_R</t>
        </is>
      </c>
      <c r="B43" s="17" t="inlineStr">
        <is>
          <t>AlisJay</t>
        </is>
      </c>
      <c r="C43" s="2" t="inlineStr">
        <is>
          <t>https://open-archaeo.info/post/bioarch-r/</t>
        </is>
      </c>
    </row>
    <row r="44">
      <c r="A44" s="17" t="inlineStr">
        <is>
          <t>BioProfile</t>
        </is>
      </c>
      <c r="B44" s="17" t="inlineStr">
        <is>
          <t>AlisJay</t>
        </is>
      </c>
      <c r="C44" s="2" t="inlineStr">
        <is>
          <t>https://open-archaeo.info/post/bioprofile/</t>
        </is>
      </c>
    </row>
    <row r="45">
      <c r="A45" s="17" t="inlineStr">
        <is>
          <t>bleiglas</t>
        </is>
      </c>
      <c r="B45" s="17" t="inlineStr">
        <is>
          <t>nevrome; stschiff</t>
        </is>
      </c>
      <c r="C45" s="2" t="inlineStr">
        <is>
          <t>https://open-archaeo.info/post/bleiglas/</t>
        </is>
      </c>
    </row>
    <row r="46">
      <c r="A46" s="17" t="inlineStr">
        <is>
          <t>c14</t>
        </is>
      </c>
      <c r="B46" s="17" t="inlineStr">
        <is>
          <t>joeroe</t>
        </is>
      </c>
      <c r="C46" s="2" t="inlineStr">
        <is>
          <t>https://open-archaeo.info/post/c14/</t>
        </is>
      </c>
    </row>
    <row r="47">
      <c r="A47" s="17" t="inlineStr">
        <is>
          <t>c14bazAAR</t>
        </is>
      </c>
      <c r="B47" s="17" t="inlineStr">
        <is>
          <t>ISAAKiel</t>
        </is>
      </c>
      <c r="C47" s="2" t="inlineStr">
        <is>
          <t>https://open-archaeo.info/post/c14bazaar/</t>
        </is>
      </c>
    </row>
    <row r="48">
      <c r="A48" s="17" t="inlineStr">
        <is>
          <t>c14Intervals</t>
        </is>
      </c>
      <c r="B48" s="17" t="inlineStr">
        <is>
          <t>jallison7</t>
        </is>
      </c>
      <c r="C48" s="2" t="inlineStr">
        <is>
          <t>https://open-archaeo.info/post/c14intervals/</t>
        </is>
      </c>
    </row>
    <row r="49">
      <c r="A49" s="17" t="inlineStr">
        <is>
          <t>CAinterprTools</t>
        </is>
      </c>
      <c r="B49" s="17" t="inlineStr">
        <is>
          <t>gianmarcoalberti</t>
        </is>
      </c>
      <c r="C49" s="2" t="inlineStr">
        <is>
          <t>https://open-archaeo.info/post/cainterprtools/</t>
        </is>
      </c>
    </row>
    <row r="50">
      <c r="A50" s="17" t="inlineStr">
        <is>
          <t>carbon14</t>
        </is>
      </c>
      <c r="B50" s="17" t="inlineStr">
        <is>
          <t>paleolimbot</t>
        </is>
      </c>
      <c r="C50" s="2" t="inlineStr">
        <is>
          <t>https://open-archaeo.info/post/carbon14/</t>
        </is>
      </c>
    </row>
    <row r="51">
      <c r="A51" s="17" t="inlineStr">
        <is>
          <t>carbondate</t>
        </is>
      </c>
      <c r="B51" s="17" t="inlineStr">
        <is>
          <t>TJHeaton; sara-amira-alassam</t>
        </is>
      </c>
      <c r="C51" s="2" t="inlineStr">
        <is>
          <t>https://open-archaeo.info/post/carbondate/</t>
        </is>
      </c>
      <c r="D51" s="17" t="n">
        <v>2020</v>
      </c>
    </row>
    <row r="52">
      <c r="A52" s="17" t="inlineStr">
        <is>
          <t>CAseriation</t>
        </is>
      </c>
      <c r="B52" s="17" t="inlineStr">
        <is>
          <t>gianmarcoalberti</t>
        </is>
      </c>
      <c r="C52" s="2" t="inlineStr">
        <is>
          <t>https://open-archaeo.info/post/caseriation/</t>
        </is>
      </c>
    </row>
    <row r="53">
      <c r="A53" s="17" t="inlineStr">
        <is>
          <t>cawd</t>
        </is>
      </c>
      <c r="B53" s="17" t="inlineStr">
        <is>
          <t>sfsheath</t>
        </is>
      </c>
      <c r="C53" s="2" t="inlineStr">
        <is>
          <t>https://open-archaeo.info/post/cawd/</t>
        </is>
      </c>
    </row>
    <row r="54">
      <c r="A54" s="17" t="inlineStr">
        <is>
          <t>CeraMatch</t>
        </is>
      </c>
      <c r="B54" s="17" t="inlineStr">
        <is>
          <t>demjanp</t>
        </is>
      </c>
      <c r="C54" s="2" t="inlineStr">
        <is>
          <t>https://open-archaeo.info/post/ceramatch/</t>
        </is>
      </c>
    </row>
    <row r="55">
      <c r="A55" s="17" t="inlineStr">
        <is>
          <t>charcoalhearths</t>
        </is>
      </c>
      <c r="B55" s="17" t="inlineStr">
        <is>
          <t>jeffblackadar</t>
        </is>
      </c>
      <c r="C55" s="2" t="inlineStr">
        <is>
          <t>https://open-archaeo.info/post/charcoalhearths/</t>
        </is>
      </c>
    </row>
    <row r="56">
      <c r="A56" s="17" t="inlineStr">
        <is>
          <t>chrongler</t>
        </is>
      </c>
      <c r="B56" s="17" t="inlineStr">
        <is>
          <t>lsteinmann</t>
        </is>
      </c>
      <c r="C56" s="2" t="inlineStr">
        <is>
          <t>https://open-archaeo.info/post/chrongler/</t>
        </is>
      </c>
    </row>
    <row r="57">
      <c r="A57" s="17" t="inlineStr">
        <is>
          <t>chronochrt</t>
        </is>
      </c>
      <c r="B57" s="17" t="inlineStr">
        <is>
          <t>roset</t>
        </is>
      </c>
      <c r="C57" s="2" t="inlineStr">
        <is>
          <t>https://open-archaeo.info/post/chronochrt/</t>
        </is>
      </c>
    </row>
    <row r="58">
      <c r="A58" s="17" t="inlineStr">
        <is>
          <t>Chronophage</t>
        </is>
      </c>
      <c r="B58" s="17" t="inlineStr">
        <is>
          <t>Bruno Desachy</t>
        </is>
      </c>
      <c r="C58" s="2" t="inlineStr">
        <is>
          <t>https://open-archaeo.info/post/chronophage/</t>
        </is>
      </c>
      <c r="D58" s="17" t="n">
        <v>2014</v>
      </c>
    </row>
    <row r="59">
      <c r="A59" s="17" t="inlineStr">
        <is>
          <t>chronup</t>
        </is>
      </c>
      <c r="B59" s="17" t="inlineStr">
        <is>
          <t>wccarleton</t>
        </is>
      </c>
      <c r="C59" s="2" t="inlineStr">
        <is>
          <t>https://open-archaeo.info/post/chronup/</t>
        </is>
      </c>
    </row>
    <row r="60">
      <c r="A60" s="17" t="inlineStr">
        <is>
          <t>clam</t>
        </is>
      </c>
      <c r="B60" s="17" t="inlineStr">
        <is>
          <t>Maarten14C</t>
        </is>
      </c>
      <c r="C60" s="2" t="inlineStr">
        <is>
          <t>https://open-archaeo.info/post/clam/</t>
        </is>
      </c>
    </row>
    <row r="61">
      <c r="A61" s="17" t="inlineStr">
        <is>
          <t>cleanc14</t>
        </is>
      </c>
      <c r="B61" s="17" t="inlineStr">
        <is>
          <t>joeroe</t>
        </is>
      </c>
      <c r="C61" s="2" t="inlineStr">
        <is>
          <t>https://open-archaeo.info/post/cleanc14/</t>
        </is>
      </c>
    </row>
    <row r="62">
      <c r="A62" s="17" t="inlineStr">
        <is>
          <t>clustering_14C</t>
        </is>
      </c>
      <c r="B62" s="17" t="inlineStr">
        <is>
          <t>demjanp</t>
        </is>
      </c>
      <c r="C62" s="2" t="inlineStr">
        <is>
          <t>https://open-archaeo.info/post/clustering-14c/</t>
        </is>
      </c>
    </row>
    <row r="63">
      <c r="A63" s="17" t="inlineStr">
        <is>
          <t>CoccionCeramica</t>
        </is>
      </c>
      <c r="B63" s="17" t="inlineStr">
        <is>
          <t>marcelocardillo</t>
        </is>
      </c>
      <c r="C63" s="2" t="inlineStr">
        <is>
          <t>https://open-archaeo.info/post/coccionceramica/</t>
        </is>
      </c>
    </row>
    <row r="64">
      <c r="A64" s="17" t="inlineStr">
        <is>
          <t>coffee</t>
        </is>
      </c>
      <c r="B64" s="17" t="inlineStr">
        <is>
          <t>Maarten14C</t>
        </is>
      </c>
      <c r="C64" s="2" t="inlineStr">
        <is>
          <t>https://open-archaeo.info/post/coffee/</t>
        </is>
      </c>
    </row>
    <row r="65">
      <c r="A65" s="17" t="inlineStr">
        <is>
          <t>cran-JSDNE</t>
        </is>
      </c>
      <c r="B65" s="17" t="inlineStr">
        <is>
          <t>jisunjang19</t>
        </is>
      </c>
      <c r="C65" s="2" t="inlineStr">
        <is>
          <t>https://open-archaeo.info/post/cran-jsdne/</t>
        </is>
      </c>
    </row>
    <row r="66">
      <c r="A66" s="17" t="inlineStr">
        <is>
          <t>crom</t>
        </is>
      </c>
      <c r="B66" s="17" t="inlineStr">
        <is>
          <t>thegetty</t>
        </is>
      </c>
      <c r="C66" s="2" t="inlineStr">
        <is>
          <t>https://open-archaeo.info/post/crom/</t>
        </is>
      </c>
    </row>
    <row r="67">
      <c r="A67" s="17" t="inlineStr">
        <is>
          <t>CropPro</t>
        </is>
      </c>
      <c r="B67" s="17" t="inlineStr">
        <is>
          <t>CropPro-package</t>
        </is>
      </c>
      <c r="C67" s="2" t="inlineStr">
        <is>
          <t>https://open-archaeo.info/post/croppro/</t>
        </is>
      </c>
    </row>
    <row r="68">
      <c r="A68" s="17" t="inlineStr">
        <is>
          <t>cTransmission</t>
        </is>
      </c>
      <c r="B68" s="17" t="inlineStr">
        <is>
          <t>ercrema; Anne Kandler</t>
        </is>
      </c>
      <c r="C68" s="2" t="inlineStr">
        <is>
          <t>https://open-archaeo.info/post/ctransmission/</t>
        </is>
      </c>
    </row>
    <row r="69">
      <c r="A69" s="17" t="inlineStr">
        <is>
          <t>CuneiPainter</t>
        </is>
      </c>
      <c r="B69" s="17" t="inlineStr">
        <is>
          <t>situx</t>
        </is>
      </c>
      <c r="C69" s="2" t="inlineStr">
        <is>
          <t>https://open-archaeo.info/post/cuneipainter/</t>
        </is>
      </c>
    </row>
    <row r="70">
      <c r="A70" s="17" t="inlineStr">
        <is>
          <t>datplot</t>
        </is>
      </c>
      <c r="B70" s="17" t="inlineStr">
        <is>
          <t>lsteinmann; Barbora Weissova</t>
        </is>
      </c>
      <c r="C70" s="2" t="inlineStr">
        <is>
          <t>https://open-archaeo.info/post/datplot/</t>
        </is>
      </c>
    </row>
    <row r="71">
      <c r="A71" s="17" t="inlineStr">
        <is>
          <t>demjanp</t>
        </is>
      </c>
      <c r="B71" s="17" t="inlineStr">
        <is>
          <t>demjanp</t>
        </is>
      </c>
      <c r="C71" s="2" t="inlineStr">
        <is>
          <t>https://open-archaeo.info/post/demjanp/</t>
        </is>
      </c>
    </row>
    <row r="72">
      <c r="A72" s="17" t="inlineStr">
        <is>
          <t>dendroNetwork</t>
        </is>
      </c>
      <c r="B72" s="17" t="inlineStr">
        <is>
          <t>ropensci; RonaldVisser</t>
        </is>
      </c>
      <c r="C72" s="2" t="inlineStr">
        <is>
          <t>https://open-archaeo.info/post/dendronetwork/</t>
        </is>
      </c>
    </row>
    <row r="73">
      <c r="A73" s="17" t="inlineStr">
        <is>
          <t>DIGSS</t>
        </is>
      </c>
      <c r="B73" s="17" t="inlineStr">
        <is>
          <t>markhubbe</t>
        </is>
      </c>
      <c r="C73" s="2" t="inlineStr">
        <is>
          <t>https://open-archaeo.info/post/digss/</t>
        </is>
      </c>
    </row>
    <row r="74">
      <c r="A74" s="17" t="inlineStr">
        <is>
          <t>dimensio</t>
        </is>
      </c>
      <c r="B74" s="17" t="inlineStr">
        <is>
          <t>tesselle</t>
        </is>
      </c>
      <c r="C74" s="2" t="inlineStr">
        <is>
          <t>https://open-archaeo.info/post/dimensio/</t>
        </is>
      </c>
    </row>
    <row r="75">
      <c r="A75" s="17" t="inlineStr">
        <is>
          <t>dplR</t>
        </is>
      </c>
      <c r="B75" s="17" t="inlineStr">
        <is>
          <t>AndyBunn</t>
        </is>
      </c>
      <c r="C75" s="2" t="inlineStr">
        <is>
          <t>https://open-archaeo.info/post/dplr/</t>
        </is>
      </c>
    </row>
    <row r="76">
      <c r="A76" s="17" t="inlineStr">
        <is>
          <t>DroneSurveyPlanner</t>
        </is>
      </c>
      <c r="B76" s="17" t="inlineStr">
        <is>
          <t>isaacullah</t>
        </is>
      </c>
      <c r="C76" s="2" t="inlineStr">
        <is>
          <t>https://open-archaeo.info/post/dronesurveyplanner/</t>
        </is>
      </c>
    </row>
    <row r="77">
      <c r="A77" s="17" t="inlineStr">
        <is>
          <t>ede_interpolation</t>
        </is>
      </c>
      <c r="B77" s="17" t="inlineStr">
        <is>
          <t>demjanp</t>
        </is>
      </c>
      <c r="C77" s="2" t="inlineStr">
        <is>
          <t>https://open-archaeo.info/post/ede-interpolation/</t>
        </is>
      </c>
    </row>
    <row r="78">
      <c r="A78" s="17" t="inlineStr">
        <is>
          <t>EDM</t>
        </is>
      </c>
      <c r="B78" s="17" t="inlineStr">
        <is>
          <t>surf3s</t>
        </is>
      </c>
      <c r="C78" s="2" t="inlineStr">
        <is>
          <t>https://open-archaeo.info/post/edm/</t>
        </is>
      </c>
    </row>
    <row r="79">
      <c r="A79" s="17" t="inlineStr">
        <is>
          <t>EDMWIN</t>
        </is>
      </c>
      <c r="B79" s="17" t="inlineStr">
        <is>
          <t>surf3s</t>
        </is>
      </c>
      <c r="C79" s="2" t="inlineStr">
        <is>
          <t>https://open-archaeo.info/post/edmwin/</t>
        </is>
      </c>
    </row>
    <row r="80">
      <c r="A80" s="17" t="inlineStr">
        <is>
          <t>elemSource</t>
        </is>
      </c>
      <c r="B80" s="17" t="inlineStr">
        <is>
          <t>bischrob</t>
        </is>
      </c>
      <c r="C80" s="2" t="inlineStr">
        <is>
          <t>https://open-archaeo.info/post/elemsource/</t>
        </is>
      </c>
    </row>
    <row r="81">
      <c r="A81" s="17" t="inlineStr">
        <is>
          <t>EM-blender-tools</t>
        </is>
      </c>
      <c r="B81" s="17" t="inlineStr">
        <is>
          <t>zalmoxes-laran</t>
        </is>
      </c>
      <c r="C81" s="2" t="inlineStr">
        <is>
          <t>https://open-archaeo.info/post/em-blender-tools/</t>
        </is>
      </c>
    </row>
    <row r="82">
      <c r="A82" s="17" t="inlineStr">
        <is>
          <t>era</t>
        </is>
      </c>
      <c r="B82" s="17" t="inlineStr">
        <is>
          <t>joeroe</t>
        </is>
      </c>
      <c r="C82" s="2" t="inlineStr">
        <is>
          <t>https://open-archaeo.info/post/era/</t>
        </is>
      </c>
    </row>
    <row r="83">
      <c r="A83" s="17" t="inlineStr">
        <is>
          <t>eratosthenes</t>
        </is>
      </c>
      <c r="B83" s="17" t="inlineStr">
        <is>
          <t>scollinselliott</t>
        </is>
      </c>
      <c r="C83" s="2" t="inlineStr">
        <is>
          <t>https://open-archaeo.info/post/eratosthenes/</t>
        </is>
      </c>
    </row>
    <row r="84">
      <c r="A84" s="17" t="inlineStr">
        <is>
          <t>ethnobotanyR</t>
        </is>
      </c>
      <c r="B84" s="17" t="inlineStr">
        <is>
          <t>CWWhitney</t>
        </is>
      </c>
      <c r="C84" s="2" t="inlineStr">
        <is>
          <t>https://open-archaeo.info/post/ethnobotanyr/</t>
        </is>
      </c>
    </row>
    <row r="85">
      <c r="A85" s="17" t="inlineStr">
        <is>
          <t>Excavation_data_viewer</t>
        </is>
      </c>
      <c r="B85" s="17" t="inlineStr">
        <is>
          <t>samclin</t>
        </is>
      </c>
      <c r="C85" s="2" t="inlineStr">
        <is>
          <t>https://open-archaeo.info/post/excavation_data_viewer/</t>
        </is>
      </c>
    </row>
    <row r="86">
      <c r="A86" s="17" t="inlineStr">
        <is>
          <t>Explographe</t>
        </is>
      </c>
      <c r="B86" s="17" t="inlineStr">
        <is>
          <t>Bruno Desachy</t>
        </is>
      </c>
      <c r="C86" s="2" t="inlineStr">
        <is>
          <t>https://open-archaeo.info/post/explographe/</t>
        </is>
      </c>
    </row>
    <row r="87">
      <c r="A87" s="17" t="inlineStr">
        <is>
          <t>fastmaRching</t>
        </is>
      </c>
      <c r="B87" s="17" t="inlineStr">
        <is>
          <t>f-silva-archaeo</t>
        </is>
      </c>
      <c r="C87" s="2" t="inlineStr">
        <is>
          <t>https://open-archaeo.info/post/fastmarching/</t>
        </is>
      </c>
    </row>
    <row r="88">
      <c r="A88" s="17" t="inlineStr">
        <is>
          <t>fellingDateR</t>
        </is>
      </c>
      <c r="B88" s="17" t="inlineStr">
        <is>
          <t>hanecakr</t>
        </is>
      </c>
      <c r="C88" s="2" t="inlineStr">
        <is>
          <t>https://open-archaeo.info/post/fellingdater/</t>
        </is>
      </c>
    </row>
    <row r="89">
      <c r="A89" s="17" t="inlineStr">
        <is>
          <t>field-photographs</t>
        </is>
      </c>
      <c r="B89" s="17" t="inlineStr">
        <is>
          <t>anatolian</t>
        </is>
      </c>
      <c r="C89" s="2" t="inlineStr">
        <is>
          <t>https://open-archaeo.info/post/field-photographs/</t>
        </is>
      </c>
    </row>
    <row r="90">
      <c r="A90" s="17" t="inlineStr">
        <is>
          <t>fieldwalkr</t>
        </is>
      </c>
      <c r="B90" s="17" t="inlineStr">
        <is>
          <t>joeroe</t>
        </is>
      </c>
      <c r="C90" s="2" t="inlineStr">
        <is>
          <t>https://open-archaeo.info/post/fieldwalkr/</t>
        </is>
      </c>
    </row>
    <row r="91">
      <c r="A91" s="17" t="inlineStr">
        <is>
          <t>FuzzyViewshed</t>
        </is>
      </c>
      <c r="B91" s="17" t="inlineStr">
        <is>
          <t>gianmarcoalberti</t>
        </is>
      </c>
      <c r="C91" s="2" t="inlineStr">
        <is>
          <t>https://open-archaeo.info/post/fuzzyviewshed/</t>
        </is>
      </c>
    </row>
    <row r="92">
      <c r="A92" s="17" t="inlineStr">
        <is>
          <t>gamma</t>
        </is>
      </c>
      <c r="B92" s="17" t="inlineStr">
        <is>
          <t>nfrerebeau</t>
        </is>
      </c>
      <c r="C92" s="2" t="inlineStr">
        <is>
          <t>https://open-archaeo.info/post/gamma/</t>
        </is>
      </c>
    </row>
    <row r="93">
      <c r="A93" s="17" t="inlineStr">
        <is>
          <t>geoCore</t>
        </is>
      </c>
      <c r="B93" s="17" t="inlineStr">
        <is>
          <t>Gerrit Bette; Moritz Mennenga</t>
        </is>
      </c>
      <c r="C93" s="2" t="inlineStr">
        <is>
          <t>https://open-archaeo.info/post/geocore/</t>
        </is>
      </c>
    </row>
    <row r="94">
      <c r="A94" s="17" t="inlineStr">
        <is>
          <t>GmAMisc</t>
        </is>
      </c>
      <c r="B94" s="17" t="inlineStr">
        <is>
          <t>gianmarcoalberti</t>
        </is>
      </c>
      <c r="C94" s="2" t="inlineStr">
        <is>
          <t>https://open-archaeo.info/post/gmamisc/</t>
        </is>
      </c>
    </row>
    <row r="95">
      <c r="A95" s="17" t="inlineStr">
        <is>
          <t>harris-matrix (R pkg)</t>
        </is>
      </c>
      <c r="B95" s="17" t="inlineStr">
        <is>
          <t>tsdye</t>
        </is>
      </c>
      <c r="C95" s="2" t="inlineStr">
        <is>
          <t>https://open-archaeo.info/post/harris-matrix/</t>
        </is>
      </c>
    </row>
    <row r="96">
      <c r="A96" s="17" t="inlineStr">
        <is>
          <t>Harris-matrix-legacy</t>
        </is>
      </c>
      <c r="B96" s="17" t="inlineStr">
        <is>
          <t>steko; iosa</t>
        </is>
      </c>
      <c r="C96" s="2" t="inlineStr">
        <is>
          <t>https://open-archaeo.info/post/harris-matrix-legacy/</t>
        </is>
      </c>
    </row>
    <row r="97">
      <c r="A97" s="17" t="inlineStr">
        <is>
          <t>harris2graph</t>
        </is>
      </c>
      <c r="B97" s="17" t="inlineStr">
        <is>
          <t>L-P Archaeology</t>
        </is>
      </c>
      <c r="C97" s="2" t="inlineStr">
        <is>
          <t>https://open-archaeo.info/post/harris2graph/</t>
        </is>
      </c>
    </row>
    <row r="98">
      <c r="A98" s="17" t="inlineStr">
        <is>
          <t>HumanOS</t>
        </is>
      </c>
      <c r="B98" s="17" t="inlineStr">
        <is>
          <t>Rozenn Colleter; Jean-Baptiste Romain; Jean-Baptiste Barreau</t>
        </is>
      </c>
      <c r="C98" s="2" t="inlineStr">
        <is>
          <t>https://open-archaeo.info/post/humanos/</t>
        </is>
      </c>
    </row>
    <row r="99">
      <c r="A99" s="17" t="inlineStr">
        <is>
          <t>iconr</t>
        </is>
      </c>
      <c r="B99" s="17" t="inlineStr">
        <is>
          <t>zoometh; josempozo; Craig Alexander</t>
        </is>
      </c>
      <c r="C99" s="2" t="inlineStr">
        <is>
          <t>https://open-archaeo.info/post/iconr/</t>
        </is>
      </c>
    </row>
    <row r="100">
      <c r="A100" s="17" t="inlineStr">
        <is>
          <t>idaifieldR</t>
        </is>
      </c>
      <c r="B100" s="17" t="inlineStr">
        <is>
          <t>lsteinmann</t>
        </is>
      </c>
      <c r="C100" s="2" t="inlineStr">
        <is>
          <t>https://open-archaeo.info/post/idaifieldr/</t>
        </is>
      </c>
    </row>
    <row r="101">
      <c r="A101" s="17" t="inlineStr">
        <is>
          <t>IntCal</t>
        </is>
      </c>
      <c r="B101" s="17" t="inlineStr">
        <is>
          <t>Maarten14C</t>
        </is>
      </c>
      <c r="C101" s="2" t="inlineStr">
        <is>
          <t>https://open-archaeo.info/post/intcal/</t>
        </is>
      </c>
    </row>
    <row r="102">
      <c r="A102" s="17" t="inlineStr">
        <is>
          <t>Iraq_mortar</t>
        </is>
      </c>
      <c r="B102" s="17" t="inlineStr">
        <is>
          <t>apalmisano82</t>
        </is>
      </c>
      <c r="C102" s="2" t="inlineStr">
        <is>
          <t>https://open-archaeo.info/post/iraq_mortar/</t>
        </is>
      </c>
    </row>
    <row r="103">
      <c r="A103" s="17" t="inlineStr">
        <is>
          <t>isopleuros</t>
        </is>
      </c>
      <c r="B103" s="17" t="inlineStr">
        <is>
          <t>tesselle</t>
        </is>
      </c>
      <c r="C103" s="2" t="inlineStr">
        <is>
          <t>https://open-archaeo.info/post/isopleuros/</t>
        </is>
      </c>
    </row>
    <row r="104">
      <c r="A104" s="17" t="inlineStr">
        <is>
          <t>ithaca</t>
        </is>
      </c>
      <c r="B104" s="17" t="inlineStr">
        <is>
          <t>deepmind</t>
        </is>
      </c>
      <c r="C104" s="2" t="inlineStr">
        <is>
          <t>https://open-archaeo.info/post/ithaca/</t>
        </is>
      </c>
    </row>
    <row r="105">
      <c r="A105" s="17" t="inlineStr">
        <is>
          <t>joint-disease-tool</t>
        </is>
      </c>
      <c r="B105" s="17" t="inlineStr">
        <is>
          <t>alexbrandsen</t>
        </is>
      </c>
      <c r="C105" s="2" t="inlineStr">
        <is>
          <t>https://open-archaeo.info/post/joint-disease-tool/</t>
        </is>
      </c>
    </row>
    <row r="106">
      <c r="A106" s="17" t="inlineStr">
        <is>
          <t>kairos</t>
        </is>
      </c>
      <c r="B106" s="17" t="inlineStr">
        <is>
          <t>tesselle</t>
        </is>
      </c>
      <c r="C106" s="2" t="inlineStr">
        <is>
          <t>https://open-archaeo.info/post/kairos/</t>
        </is>
      </c>
    </row>
    <row r="107">
      <c r="A107" s="17" t="inlineStr">
        <is>
          <t>khroma</t>
        </is>
      </c>
      <c r="B107" s="17" t="inlineStr">
        <is>
          <t>tesselle</t>
        </is>
      </c>
      <c r="C107" s="2" t="inlineStr">
        <is>
          <t>https://open-archaeo.info/post/khroma/</t>
        </is>
      </c>
    </row>
    <row r="108">
      <c r="A108" s="17" t="inlineStr">
        <is>
          <t>kotyle</t>
        </is>
      </c>
      <c r="B108" s="17" t="inlineStr">
        <is>
          <t>iosa</t>
        </is>
      </c>
      <c r="C108" s="2" t="inlineStr">
        <is>
          <t>https://open-archaeo.info/post/kotyle/</t>
        </is>
      </c>
    </row>
    <row r="109">
      <c r="A109" s="17" t="inlineStr">
        <is>
          <t>lakhesis</t>
        </is>
      </c>
      <c r="B109" s="17" t="inlineStr">
        <is>
          <t>scollinselliott</t>
        </is>
      </c>
      <c r="C109" s="2" t="inlineStr">
        <is>
          <t>https://open-archaeo.info/post/lakhesis/</t>
        </is>
      </c>
    </row>
    <row r="110">
      <c r="A110" s="17" t="inlineStr">
        <is>
          <t>Le Stratifiant</t>
        </is>
      </c>
      <c r="B110" s="17" t="inlineStr">
        <is>
          <t>Bruno Desachy</t>
        </is>
      </c>
      <c r="C110" s="2" t="inlineStr">
        <is>
          <t>https://open-archaeo.info/post/le-stratifiant/</t>
        </is>
      </c>
    </row>
    <row r="111">
      <c r="A111" s="17" t="inlineStr">
        <is>
          <t>leastcostpath</t>
        </is>
      </c>
      <c r="B111" s="17" t="inlineStr">
        <is>
          <t>josephlewis</t>
        </is>
      </c>
      <c r="C111" s="2" t="inlineStr">
        <is>
          <t>https://open-archaeo.info/post/leastcostpath/</t>
        </is>
      </c>
    </row>
    <row r="112">
      <c r="A112" s="17" t="inlineStr">
        <is>
          <t>lecAAR</t>
        </is>
      </c>
      <c r="B112" s="17" t="inlineStr">
        <is>
          <t>yesdavid; nevrome; nmueller18; whamer; dakni</t>
        </is>
      </c>
      <c r="C112" s="2" t="inlineStr">
        <is>
          <t>https://open-archaeo.info/post/lecaar/</t>
        </is>
      </c>
    </row>
    <row r="113">
      <c r="A113" s="17" t="inlineStr">
        <is>
          <t>Lithics3D</t>
        </is>
      </c>
      <c r="B113" s="17" t="inlineStr">
        <is>
          <t>cornelmpop</t>
        </is>
      </c>
      <c r="C113" s="2" t="inlineStr">
        <is>
          <t>https://open-archaeo.info/post/lithics3d/</t>
        </is>
      </c>
    </row>
    <row r="114">
      <c r="A114" s="17" t="inlineStr">
        <is>
          <t>Luminescence</t>
        </is>
      </c>
      <c r="B114" s="17" t="inlineStr">
        <is>
          <t>R-Lum</t>
        </is>
      </c>
      <c r="C114" s="2" t="inlineStr">
        <is>
          <t>https://open-archaeo.info/post/luminescence/</t>
        </is>
      </c>
    </row>
    <row r="115">
      <c r="A115" s="17" t="inlineStr">
        <is>
          <t>LumReader</t>
        </is>
      </c>
      <c r="B115" s="17" t="inlineStr">
        <is>
          <t>dstreble</t>
        </is>
      </c>
      <c r="C115" s="2" t="inlineStr">
        <is>
          <t>https://open-archaeo.info/post/lumreader/</t>
        </is>
      </c>
    </row>
    <row r="116">
      <c r="A116" s="17" t="inlineStr">
        <is>
          <t>mafa</t>
        </is>
      </c>
      <c r="B116" s="17" t="inlineStr">
        <is>
          <t>JGravier</t>
        </is>
      </c>
      <c r="C116" s="2" t="inlineStr">
        <is>
          <t>https://open-archaeo.info/post/mafa/</t>
        </is>
      </c>
    </row>
    <row r="117">
      <c r="A117" s="17" t="inlineStr">
        <is>
          <t>magAAR</t>
        </is>
      </c>
      <c r="B117" s="17" t="inlineStr">
        <is>
          <t>ISAAKiel</t>
        </is>
      </c>
      <c r="C117" s="2" t="inlineStr">
        <is>
          <t>https://open-archaeo.info/post/magaar/</t>
        </is>
      </c>
    </row>
    <row r="118">
      <c r="A118" s="17" t="inlineStr">
        <is>
          <t>Mask_UAV</t>
        </is>
      </c>
      <c r="B118" s="17" t="inlineStr">
        <is>
          <t>maltaweel</t>
        </is>
      </c>
      <c r="C118" s="2" t="inlineStr">
        <is>
          <t>https://open-archaeo.info/post/mask-uav/</t>
        </is>
      </c>
    </row>
    <row r="119">
      <c r="A119" s="17" t="inlineStr">
        <is>
          <t>mobest</t>
        </is>
      </c>
      <c r="B119" s="17" t="inlineStr">
        <is>
          <t>nevrome</t>
        </is>
      </c>
      <c r="C119" s="2" t="inlineStr">
        <is>
          <t>https://open-archaeo.info/post/mobest/</t>
        </is>
      </c>
    </row>
    <row r="120">
      <c r="A120" s="17" t="inlineStr">
        <is>
          <t>MoDuLAAR</t>
        </is>
      </c>
      <c r="B120" s="17" t="inlineStr">
        <is>
          <t>Palaeoprot</t>
        </is>
      </c>
      <c r="C120" s="2" t="inlineStr">
        <is>
          <t>https://open-archaeo.info/post/modulaar/</t>
        </is>
      </c>
    </row>
    <row r="121">
      <c r="A121" s="17" t="inlineStr">
        <is>
          <t>morphalr</t>
        </is>
      </c>
      <c r="B121" s="17" t="inlineStr">
        <is>
          <t>JGravier</t>
        </is>
      </c>
      <c r="C121" s="2" t="inlineStr">
        <is>
          <t>https://open-archaeo.info/post/morphalr/</t>
        </is>
      </c>
    </row>
    <row r="122">
      <c r="A122" s="17" t="inlineStr">
        <is>
          <t>morphotype</t>
        </is>
      </c>
      <c r="B122" s="17" t="inlineStr">
        <is>
          <t>kafetzakid</t>
        </is>
      </c>
      <c r="C122" s="2" t="inlineStr">
        <is>
          <t>https://open-archaeo.info/post/morphotype/</t>
        </is>
      </c>
    </row>
    <row r="123">
      <c r="A123" s="17" t="inlineStr">
        <is>
          <t>morphotypeShiny</t>
        </is>
      </c>
      <c r="B123" s="17" t="inlineStr">
        <is>
          <t>kafetzakid</t>
        </is>
      </c>
      <c r="C123" s="2" t="inlineStr">
        <is>
          <t>https://open-archaeo.info/post/morphotypeshiny/</t>
        </is>
      </c>
    </row>
    <row r="124">
      <c r="A124" s="17" t="inlineStr">
        <is>
          <t>mortAAR</t>
        </is>
      </c>
      <c r="B124" s="17" t="inlineStr">
        <is>
          <t>ISAAKiel</t>
        </is>
      </c>
      <c r="C124" s="2" t="inlineStr">
        <is>
          <t>https://open-archaeo.info/post/mortaar/</t>
        </is>
      </c>
    </row>
    <row r="125">
      <c r="A125" s="17" t="inlineStr">
        <is>
          <t>MtreeRing</t>
        </is>
      </c>
      <c r="B125" s="17" t="inlineStr">
        <is>
          <t>ropensci</t>
        </is>
      </c>
      <c r="C125" s="2" t="inlineStr">
        <is>
          <t>https://open-archaeo.info/post/mtreering/</t>
        </is>
      </c>
    </row>
    <row r="126">
      <c r="A126" s="17" t="inlineStr">
        <is>
          <t>munsell</t>
        </is>
      </c>
      <c r="B126" s="17" t="inlineStr">
        <is>
          <t>cwickham</t>
        </is>
      </c>
      <c r="C126" s="2" t="inlineStr">
        <is>
          <t>https://open-archaeo.info/post/munsell/</t>
        </is>
      </c>
    </row>
    <row r="127">
      <c r="A127" s="17" t="inlineStr">
        <is>
          <t>murature</t>
        </is>
      </c>
      <c r="B127" s="17" t="inlineStr">
        <is>
          <t>steko; iosa</t>
        </is>
      </c>
      <c r="C127" s="2" t="inlineStr">
        <is>
          <t>https://open-archaeo.info/post/murature/</t>
        </is>
      </c>
    </row>
    <row r="128">
      <c r="A128" s="17" t="inlineStr">
        <is>
          <t>nearpresence</t>
        </is>
      </c>
      <c r="B128" s="17" t="inlineStr">
        <is>
          <t>eweaverdyck</t>
        </is>
      </c>
      <c r="C128" s="2" t="inlineStr">
        <is>
          <t>https://open-archaeo.info/post/nearpresence/</t>
        </is>
      </c>
    </row>
    <row r="129">
      <c r="A129" s="17" t="inlineStr">
        <is>
          <t>neonet</t>
        </is>
      </c>
      <c r="B129" s="17" t="inlineStr">
        <is>
          <t>zoometh</t>
        </is>
      </c>
      <c r="C129" s="2" t="inlineStr">
        <is>
          <t>https://open-archaeo.info/post/neonet/</t>
        </is>
      </c>
    </row>
    <row r="130">
      <c r="A130" s="17" t="inlineStr">
        <is>
          <t>neotoma</t>
        </is>
      </c>
      <c r="B130" s="17" t="inlineStr">
        <is>
          <t>ropensci</t>
        </is>
      </c>
      <c r="C130" s="2" t="inlineStr">
        <is>
          <t>https://open-archaeo.info/post/neotoma/</t>
        </is>
      </c>
    </row>
    <row r="131">
      <c r="A131" s="17" t="inlineStr">
        <is>
          <t>nexus</t>
        </is>
      </c>
      <c r="B131" s="17" t="inlineStr">
        <is>
          <t>tesselle</t>
        </is>
      </c>
      <c r="C131" s="2" t="inlineStr">
        <is>
          <t>https://open-archaeo.info/post/nexus/</t>
        </is>
      </c>
      <c r="D131" s="17" t="n">
        <v>2023</v>
      </c>
    </row>
    <row r="132">
      <c r="A132" s="17" t="inlineStr">
        <is>
          <t>nimbleCarbon</t>
        </is>
      </c>
      <c r="B132" s="17" t="inlineStr">
        <is>
          <t>ercrema</t>
        </is>
      </c>
      <c r="C132" s="2" t="inlineStr">
        <is>
          <t>https://open-archaeo.info/post/nimblecarbon/</t>
        </is>
      </c>
    </row>
    <row r="133">
      <c r="A133" s="17" t="inlineStr">
        <is>
          <t>ODK-forms-archaeology</t>
        </is>
      </c>
      <c r="B133" s="17" t="inlineStr">
        <is>
          <t>isaacullah</t>
        </is>
      </c>
      <c r="C133" s="2" t="inlineStr">
        <is>
          <t>https://open-archaeo.info/post/odk-forms-archaeology/</t>
        </is>
      </c>
    </row>
    <row r="134">
      <c r="A134" s="17" t="inlineStr">
        <is>
          <t>ODKArchForms</t>
        </is>
      </c>
      <c r="B134" s="17" t="inlineStr">
        <is>
          <t>UNMOCA</t>
        </is>
      </c>
      <c r="C134" s="2" t="inlineStr">
        <is>
          <t>https://open-archaeo.info/post/odkarchforms/</t>
        </is>
      </c>
    </row>
    <row r="135">
      <c r="A135" s="17" t="inlineStr">
        <is>
          <t>opencontext</t>
        </is>
      </c>
      <c r="B135" s="17" t="inlineStr">
        <is>
          <t>ropensci</t>
        </is>
      </c>
      <c r="C135" s="2" t="inlineStr">
        <is>
          <t>https://open-archaeo.info/post/opencontext/</t>
        </is>
      </c>
    </row>
    <row r="136">
      <c r="A136" s="17" t="inlineStr">
        <is>
          <t>OpenLidarToolbox</t>
        </is>
      </c>
      <c r="B136" s="17" t="inlineStr">
        <is>
          <t>stefaneichert</t>
        </is>
      </c>
      <c r="C136" s="2" t="inlineStr">
        <is>
          <t>https://open-archaeo.info/post/openlidartoolbox/</t>
        </is>
      </c>
    </row>
    <row r="137">
      <c r="A137" s="17" t="inlineStr">
        <is>
          <t>osteoGIS</t>
        </is>
      </c>
      <c r="B137" s="17" t="inlineStr">
        <is>
          <t>davidcorton</t>
        </is>
      </c>
      <c r="C137" s="2" t="inlineStr">
        <is>
          <t>https://open-archaeo.info/post/osteogis/</t>
        </is>
      </c>
    </row>
    <row r="138">
      <c r="A138" s="17" t="inlineStr">
        <is>
          <t>outliner</t>
        </is>
      </c>
      <c r="B138" s="17" t="inlineStr">
        <is>
          <t>benmarwick</t>
        </is>
      </c>
      <c r="C138" s="2" t="inlineStr">
        <is>
          <t>https://open-archaeo.info/post/outliner/</t>
        </is>
      </c>
    </row>
    <row r="139">
      <c r="A139" s="17" t="inlineStr">
        <is>
          <t>outlineR</t>
        </is>
      </c>
      <c r="B139" s="17" t="inlineStr">
        <is>
          <t>yesdavid</t>
        </is>
      </c>
      <c r="C139" s="2" t="inlineStr">
        <is>
          <t>https://open-archaeo.info/post/outliner/</t>
        </is>
      </c>
      <c r="D139" s="17" t="n">
        <v>2021</v>
      </c>
    </row>
    <row r="140">
      <c r="A140" s="17" t="inlineStr">
        <is>
          <t>oxcAAR</t>
        </is>
      </c>
      <c r="B140" s="17" t="inlineStr">
        <is>
          <t>MartinHinz; nevrome; dakni; ctietze91</t>
        </is>
      </c>
      <c r="C140" s="2" t="inlineStr">
        <is>
          <t>https://open-archaeo.info/post/oxcaar/</t>
        </is>
      </c>
      <c r="D140" s="17" t="n">
        <v>2017</v>
      </c>
    </row>
    <row r="141">
      <c r="A141" s="17" t="inlineStr">
        <is>
          <t>p3k14c-data-scrubbing</t>
        </is>
      </c>
      <c r="B141" s="17" t="inlineStr">
        <is>
          <t>people3k</t>
        </is>
      </c>
      <c r="C141" s="2" t="inlineStr">
        <is>
          <t>https://open-archaeo.info/post/p3k14c-data-scrubbing/</t>
        </is>
      </c>
    </row>
    <row r="142">
      <c r="A142" s="17" t="inlineStr">
        <is>
          <t>paleocar</t>
        </is>
      </c>
      <c r="B142" s="17" t="inlineStr">
        <is>
          <t>bocinsky</t>
        </is>
      </c>
      <c r="C142" s="2" t="inlineStr">
        <is>
          <t>https://open-archaeo.info/post/paleocar/</t>
        </is>
      </c>
    </row>
    <row r="143">
      <c r="A143" s="17" t="inlineStr">
        <is>
          <t>paleocoreR</t>
        </is>
      </c>
      <c r="B143" s="17" t="inlineStr">
        <is>
          <t>paleocore</t>
        </is>
      </c>
      <c r="C143" s="2" t="inlineStr">
        <is>
          <t>https://open-archaeo.info/post/paleocorer/</t>
        </is>
      </c>
    </row>
    <row r="144">
      <c r="A144" s="17" t="inlineStr">
        <is>
          <t>paleofire</t>
        </is>
      </c>
      <c r="B144" s="17" t="inlineStr">
        <is>
          <t>oblarquez</t>
        </is>
      </c>
      <c r="C144" s="2" t="inlineStr">
        <is>
          <t>https://open-archaeo.info/post/paleofire/</t>
        </is>
      </c>
    </row>
    <row r="145">
      <c r="A145" s="17" t="inlineStr">
        <is>
          <t>paleoxrf</t>
        </is>
      </c>
      <c r="B145" s="17" t="inlineStr">
        <is>
          <t>paleolimbot</t>
        </is>
      </c>
      <c r="C145" s="2" t="inlineStr">
        <is>
          <t>https://open-archaeo.info/post/paleoxrf/</t>
        </is>
      </c>
    </row>
    <row r="146">
      <c r="A146" s="17" t="inlineStr">
        <is>
          <t>pastclim</t>
        </is>
      </c>
      <c r="B146" s="17" t="inlineStr">
        <is>
          <t>EvolEcolGroup; Michela Leonardi; Emily Y. Hallet; Robert Beyer; Mario Krapp</t>
        </is>
      </c>
      <c r="C146" s="2" t="inlineStr">
        <is>
          <t>https://open-archaeo.info/post/pastclim/</t>
        </is>
      </c>
    </row>
    <row r="147">
      <c r="A147" s="17" t="inlineStr">
        <is>
          <t>pathAAR</t>
        </is>
      </c>
      <c r="B147" s="17" t="inlineStr">
        <is>
          <t>ISAAKiel</t>
        </is>
      </c>
      <c r="C147" s="2" t="inlineStr">
        <is>
          <t>https://open-archaeo.info/post/pathaar/</t>
        </is>
      </c>
    </row>
    <row r="148">
      <c r="A148" s="17" t="inlineStr">
        <is>
          <t>piwigo-3dhop</t>
        </is>
      </c>
      <c r="B148" s="17" t="inlineStr">
        <is>
          <t>joeroe</t>
        </is>
      </c>
      <c r="C148" s="2" t="inlineStr">
        <is>
          <t>https://open-archaeo.info/post/piwigo-3dhop/</t>
        </is>
      </c>
    </row>
    <row r="149">
      <c r="A149" s="17" t="inlineStr">
        <is>
          <t>PleistoDist</t>
        </is>
      </c>
      <c r="B149" s="17" t="inlineStr">
        <is>
          <t>g33k5p34k</t>
        </is>
      </c>
      <c r="C149" s="2" t="inlineStr">
        <is>
          <t>https://open-archaeo.info/post/pleistodist/</t>
        </is>
      </c>
    </row>
    <row r="150">
      <c r="A150" s="17" t="inlineStr">
        <is>
          <t>PleistoDistR</t>
        </is>
      </c>
      <c r="B150" s="17" t="inlineStr">
        <is>
          <t>g33k5p34k</t>
        </is>
      </c>
      <c r="C150" s="2" t="inlineStr">
        <is>
          <t>https://open-archaeo.info/post/pleistodistr/</t>
        </is>
      </c>
    </row>
    <row r="151">
      <c r="A151" s="17" t="inlineStr">
        <is>
          <t>pollencount</t>
        </is>
      </c>
      <c r="B151" s="17" t="inlineStr">
        <is>
          <t>Maarten14C</t>
        </is>
      </c>
      <c r="C151" s="2" t="inlineStr">
        <is>
          <t>https://open-archaeo.info/post/pollencount/</t>
        </is>
      </c>
    </row>
    <row r="152">
      <c r="A152" s="17" t="inlineStr">
        <is>
          <t>postAAR</t>
        </is>
      </c>
      <c r="B152" s="17" t="inlineStr">
        <is>
          <t>nmueller18; chrinne</t>
        </is>
      </c>
      <c r="C152" s="2" t="inlineStr">
        <is>
          <t>https://open-archaeo.info/post/postaar/</t>
        </is>
      </c>
    </row>
    <row r="153">
      <c r="A153" s="17" t="inlineStr">
        <is>
          <t>postAAR-python</t>
        </is>
      </c>
      <c r="B153" s="17" t="inlineStr">
        <is>
          <t>chrinne; WerthersEchte</t>
        </is>
      </c>
      <c r="C153" s="2" t="inlineStr">
        <is>
          <t>https://open-archaeo.info/post/postaar-python/</t>
        </is>
      </c>
    </row>
    <row r="154">
      <c r="A154" s="17" t="inlineStr">
        <is>
          <t>predictSource</t>
        </is>
      </c>
      <c r="B154" s="17" t="inlineStr">
        <is>
          <t>benmarwick</t>
        </is>
      </c>
      <c r="C154" s="2" t="inlineStr">
        <is>
          <t>https://open-archaeo.info/post/predictsource/</t>
        </is>
      </c>
      <c r="D154" s="17" t="n">
        <v>2018</v>
      </c>
    </row>
    <row r="155">
      <c r="A155" s="17" t="inlineStr">
        <is>
          <t>profileAAR</t>
        </is>
      </c>
      <c r="B155" s="17" t="inlineStr">
        <is>
          <t>ISAAKiel</t>
        </is>
      </c>
      <c r="C155" s="2" t="inlineStr">
        <is>
          <t>https://open-archaeo.info/post/profileaar/</t>
        </is>
      </c>
    </row>
    <row r="156">
      <c r="A156" s="17" t="inlineStr">
        <is>
          <t>pXRF</t>
        </is>
      </c>
      <c r="B156" s="17" t="inlineStr">
        <is>
          <t>MartinHinz</t>
        </is>
      </c>
      <c r="C156" s="2" t="inlineStr">
        <is>
          <t>https://open-archaeo.info/post/pxrf/</t>
        </is>
      </c>
    </row>
    <row r="157">
      <c r="A157" s="17" t="inlineStr">
        <is>
          <t>pyArchInit</t>
        </is>
      </c>
      <c r="B157" s="17" t="inlineStr">
        <is>
          <t>pyarchinit</t>
        </is>
      </c>
      <c r="C157" s="2" t="inlineStr">
        <is>
          <t>https://open-archaeo.info/post/pyarchinit/</t>
        </is>
      </c>
    </row>
    <row r="158">
      <c r="A158" s="17" t="inlineStr">
        <is>
          <t>pygeoroc</t>
        </is>
      </c>
      <c r="B158" s="17" t="inlineStr">
        <is>
          <t>potafu</t>
        </is>
      </c>
      <c r="C158" s="2" t="inlineStr">
        <is>
          <t>https://open-archaeo.info/post/pygeoroc/</t>
        </is>
      </c>
    </row>
    <row r="159">
      <c r="A159" s="17" t="inlineStr">
        <is>
          <t>pypofatu</t>
        </is>
      </c>
      <c r="B159" s="17" t="inlineStr">
        <is>
          <t>pofatu</t>
        </is>
      </c>
      <c r="C159" s="2" t="inlineStr">
        <is>
          <t>https://open-archaeo.info/post/pypofatu/</t>
        </is>
      </c>
    </row>
    <row r="160">
      <c r="A160" s="17" t="inlineStr">
        <is>
          <t>QGIS-scripts</t>
        </is>
      </c>
      <c r="B160" s="17" t="inlineStr">
        <is>
          <t>zoran-cuckovic</t>
        </is>
      </c>
      <c r="C160" s="2" t="inlineStr">
        <is>
          <t>https://open-archaeo.info/post/qgis-scripts/</t>
        </is>
      </c>
    </row>
    <row r="161">
      <c r="A161" s="17" t="inlineStr">
        <is>
          <t>QGIS-topographic-networks</t>
        </is>
      </c>
      <c r="B161" s="17" t="inlineStr">
        <is>
          <t>zoran-cuckovic</t>
        </is>
      </c>
      <c r="C161" s="2" t="inlineStr">
        <is>
          <t>https://open-archaeo.info/post/qgis-topographic-networks/</t>
        </is>
      </c>
    </row>
    <row r="162">
      <c r="A162" s="17" t="inlineStr">
        <is>
          <t>QGIS-visibility-analysis</t>
        </is>
      </c>
      <c r="B162" s="17" t="inlineStr">
        <is>
          <t>zoran-cuckovic</t>
        </is>
      </c>
      <c r="C162" s="2" t="inlineStr">
        <is>
          <t>https://open-archaeo.info/post/qgis-visibility-analysis/</t>
        </is>
      </c>
    </row>
    <row r="163">
      <c r="A163" s="17" t="inlineStr">
        <is>
          <t>quantAAR</t>
        </is>
      </c>
      <c r="B163" s="17" t="inlineStr">
        <is>
          <t>ISAAKiel</t>
        </is>
      </c>
      <c r="C163" s="2" t="inlineStr">
        <is>
          <t>https://open-archaeo.info/post/quantaar/</t>
        </is>
      </c>
    </row>
    <row r="164">
      <c r="A164" s="17" t="inlineStr">
        <is>
          <t>quantatools</t>
        </is>
      </c>
      <c r="B164" s="17" t="inlineStr">
        <is>
          <t>maciejkasinski</t>
        </is>
      </c>
      <c r="C164" s="2" t="inlineStr">
        <is>
          <t>https://open-archaeo.info/post/quantatools/</t>
        </is>
      </c>
      <c r="D164" s="17" t="n">
        <v>2019</v>
      </c>
    </row>
    <row r="165">
      <c r="A165" s="17" t="inlineStr">
        <is>
          <t>rbacon</t>
        </is>
      </c>
      <c r="B165" s="17" t="inlineStr">
        <is>
          <t>Maarten14C</t>
        </is>
      </c>
      <c r="C165" s="2" t="inlineStr">
        <is>
          <t>https://open-archaeo.info/post/rbacon/</t>
        </is>
      </c>
    </row>
    <row r="166">
      <c r="A166" s="17" t="inlineStr">
        <is>
          <t>Rcarb</t>
        </is>
      </c>
      <c r="B166" s="17" t="inlineStr">
        <is>
          <t>R-Lum</t>
        </is>
      </c>
      <c r="C166" s="2" t="inlineStr">
        <is>
          <t>https://open-archaeo.info/post/rcarb/</t>
        </is>
      </c>
    </row>
    <row r="167">
      <c r="A167" s="17" t="inlineStr">
        <is>
          <t>rcarbon</t>
        </is>
      </c>
      <c r="B167" s="17" t="inlineStr">
        <is>
          <t>ahb108</t>
        </is>
      </c>
      <c r="C167" s="2" t="inlineStr">
        <is>
          <t>https://open-archaeo.info/post/rcarbon/</t>
        </is>
      </c>
      <c r="D167" s="17" t="n">
        <v>2017</v>
      </c>
    </row>
    <row r="168">
      <c r="A168" s="17" t="inlineStr">
        <is>
          <t>rdss</t>
        </is>
      </c>
      <c r="B168" s="17" t="inlineStr">
        <is>
          <t>frederic-santos</t>
        </is>
      </c>
      <c r="C168" s="2" t="inlineStr">
        <is>
          <t>https://open-archaeo.info/post/rdss/</t>
        </is>
      </c>
    </row>
    <row r="169">
      <c r="A169" s="17" t="inlineStr">
        <is>
          <t>recexcavAAR</t>
        </is>
      </c>
      <c r="B169" s="17" t="inlineStr">
        <is>
          <t>ISAAKiel</t>
        </is>
      </c>
      <c r="C169" s="2" t="inlineStr">
        <is>
          <t>https://open-archaeo.info/post/recexcavaar/</t>
        </is>
      </c>
    </row>
    <row r="170">
      <c r="A170" s="17" t="inlineStr">
        <is>
          <t>recmod</t>
        </is>
      </c>
      <c r="B170" s="17" t="inlineStr">
        <is>
          <t>wccarleton</t>
        </is>
      </c>
      <c r="C170" s="2" t="inlineStr">
        <is>
          <t>https://open-archaeo.info/post/recmod/</t>
        </is>
      </c>
    </row>
    <row r="171">
      <c r="A171" s="17" t="inlineStr">
        <is>
          <t>RGPR</t>
        </is>
      </c>
      <c r="B171" s="17" t="inlineStr">
        <is>
          <t>emanuelhuber</t>
        </is>
      </c>
      <c r="C171" s="2" t="inlineStr">
        <is>
          <t>https://open-archaeo.info/post/rgpr/</t>
        </is>
      </c>
    </row>
    <row r="172">
      <c r="A172" s="17" t="inlineStr">
        <is>
          <t>rintchron</t>
        </is>
      </c>
      <c r="B172" s="17" t="inlineStr">
        <is>
          <t>joeroe</t>
        </is>
      </c>
      <c r="C172" s="2" t="inlineStr">
        <is>
          <t>https://open-archaeo.info/post/rintchron/</t>
        </is>
      </c>
    </row>
    <row r="173">
      <c r="A173" s="17" t="inlineStr">
        <is>
          <t>RJradiocarbon</t>
        </is>
      </c>
      <c r="B173" s="17" t="inlineStr">
        <is>
          <t>sara-amira-alassam</t>
        </is>
      </c>
      <c r="C173" s="2" t="inlineStr">
        <is>
          <t>https://open-archaeo.info/post/rjradiocarbon/</t>
        </is>
      </c>
    </row>
    <row r="174">
      <c r="A174" s="17" t="inlineStr">
        <is>
          <t>RLumModel</t>
        </is>
      </c>
      <c r="B174" s="17" t="inlineStr">
        <is>
          <t>R-Lum</t>
        </is>
      </c>
      <c r="C174" s="2" t="inlineStr">
        <is>
          <t>https://open-archaeo.info/post/rlummodel/</t>
        </is>
      </c>
    </row>
    <row r="175">
      <c r="A175" s="17" t="inlineStr">
        <is>
          <t>rock-art-radnet</t>
        </is>
      </c>
      <c r="B175" s="17" t="inlineStr">
        <is>
          <t>Swedish-Rock-Art-Research-Archives</t>
        </is>
      </c>
      <c r="C175" s="2" t="inlineStr">
        <is>
          <t>https://open-archaeo.info/post/rock-art-radnet/</t>
        </is>
      </c>
    </row>
    <row r="176">
      <c r="A176" s="17" t="inlineStr">
        <is>
          <t>rock-art-ratopoviz</t>
        </is>
      </c>
      <c r="B176" s="17" t="inlineStr">
        <is>
          <t>Swedish-Rock-Art-Research-Archives</t>
        </is>
      </c>
      <c r="C176" s="2" t="inlineStr">
        <is>
          <t>https://open-archaeo.info/post/rock-art-ratopoviz/</t>
        </is>
      </c>
    </row>
    <row r="177">
      <c r="A177" s="17" t="inlineStr">
        <is>
          <t>rock-art-transfer-learning</t>
        </is>
      </c>
      <c r="B177" s="17" t="inlineStr">
        <is>
          <t>keeeal</t>
        </is>
      </c>
      <c r="C177" s="2" t="inlineStr">
        <is>
          <t>https://open-archaeo.info/post/rock-art-transfer-learning/</t>
        </is>
      </c>
    </row>
    <row r="178">
      <c r="A178" s="17" t="inlineStr">
        <is>
          <t>rockart-textanalysis</t>
        </is>
      </c>
      <c r="B178" s="17" t="inlineStr">
        <is>
          <t>lakillo</t>
        </is>
      </c>
      <c r="C178" s="2" t="inlineStr">
        <is>
          <t>https://open-archaeo.info/post/rockart-textanalysis/</t>
        </is>
      </c>
    </row>
    <row r="179">
      <c r="A179" s="17" t="inlineStr">
        <is>
          <t>roev</t>
        </is>
      </c>
      <c r="B179" s="17" t="inlineStr">
        <is>
          <t>benmarwick</t>
        </is>
      </c>
      <c r="C179" s="2" t="inlineStr">
        <is>
          <t>https://open-archaeo.info/post/roev/</t>
        </is>
      </c>
      <c r="D179" s="17" t="n">
        <v>2017</v>
      </c>
    </row>
    <row r="180">
      <c r="A180" s="17" t="inlineStr">
        <is>
          <t>rpaleoclim</t>
        </is>
      </c>
      <c r="B180" s="17" t="inlineStr">
        <is>
          <t>joeroe</t>
        </is>
      </c>
      <c r="C180" s="2" t="inlineStr">
        <is>
          <t>https://open-archaeo.info/post/rpaleoclim/</t>
        </is>
      </c>
    </row>
    <row r="181">
      <c r="A181" s="17" t="inlineStr">
        <is>
          <t>rtefact</t>
        </is>
      </c>
      <c r="B181" s="17" t="inlineStr">
        <is>
          <t>ahb108</t>
        </is>
      </c>
      <c r="C181" s="2" t="inlineStr">
        <is>
          <t>https://open-archaeo.info/post/rtefact/</t>
        </is>
      </c>
    </row>
    <row r="182">
      <c r="A182" s="17" t="inlineStr">
        <is>
          <t>ruby-radiocarbon</t>
        </is>
      </c>
      <c r="B182" s="17" t="inlineStr">
        <is>
          <t>joeroe</t>
        </is>
      </c>
      <c r="C182" s="2" t="inlineStr">
        <is>
          <t>https://open-archaeo.info/post/ruby-radiocarbon/</t>
        </is>
      </c>
    </row>
    <row r="183">
      <c r="A183" s="17" t="inlineStr">
        <is>
          <t>rxylib</t>
        </is>
      </c>
      <c r="B183" s="17" t="inlineStr">
        <is>
          <t>R-Lum</t>
        </is>
      </c>
      <c r="C183" s="2" t="inlineStr">
        <is>
          <t>https://open-archaeo.info/post/rxylib/</t>
        </is>
      </c>
    </row>
    <row r="184">
      <c r="A184" s="17" t="inlineStr">
        <is>
          <t>SCEM</t>
        </is>
      </c>
      <c r="B184" s="17" t="inlineStr">
        <is>
          <t>kserkcho; Hannah Chazin; Soudeep Deb; Joshua Falk; Arun Srinivasan</t>
        </is>
      </c>
      <c r="C184" s="2" t="inlineStr">
        <is>
          <t>https://open-archaeo.info/post/scem/</t>
        </is>
      </c>
    </row>
    <row r="185">
      <c r="A185" s="17" t="inlineStr">
        <is>
          <t>sdsanalysis</t>
        </is>
      </c>
      <c r="B185" s="17" t="inlineStr">
        <is>
          <t>Johanna-Mestorf-Academy</t>
        </is>
      </c>
      <c r="C185" s="2" t="inlineStr">
        <is>
          <t>https://open-archaeo.info/post/sdsanalysis/</t>
        </is>
      </c>
    </row>
    <row r="186">
      <c r="A186" s="17" t="inlineStr">
        <is>
          <t>SEAHORS</t>
        </is>
      </c>
      <c r="B186" s="17" t="inlineStr">
        <is>
          <t>AurelienRoyer</t>
        </is>
      </c>
      <c r="C186" s="2" t="inlineStr">
        <is>
          <t>https://open-archaeo.info/post/seahors/</t>
        </is>
      </c>
    </row>
    <row r="187">
      <c r="A187" s="17" t="inlineStr">
        <is>
          <t>senscape</t>
        </is>
      </c>
      <c r="B187" s="17" t="inlineStr">
        <is>
          <t>zoran-cuckovic</t>
        </is>
      </c>
      <c r="C187" s="2" t="inlineStr">
        <is>
          <t>https://open-archaeo.info/post/senscape/</t>
        </is>
      </c>
    </row>
    <row r="188">
      <c r="A188" s="17" t="inlineStr">
        <is>
          <t>seriation</t>
        </is>
      </c>
      <c r="B188" s="17" t="inlineStr">
        <is>
          <t>mhahsler; Christian Buchta; Kurt Hornik; Fionn Murtagh; Michael Brusco; Stephanie Stahl; Hans-Friedrich Koehn</t>
        </is>
      </c>
      <c r="C188" s="2" t="inlineStr">
        <is>
          <t>https://open-archaeo.info/post/seriation/</t>
        </is>
      </c>
      <c r="D188" s="17" t="n">
        <v>2008</v>
      </c>
    </row>
    <row r="189">
      <c r="A189" s="17" t="inlineStr">
        <is>
          <t>Seriation</t>
        </is>
      </c>
      <c r="B189" s="17" t="inlineStr">
        <is>
          <t>clipo</t>
        </is>
      </c>
      <c r="C189" s="2" t="inlineStr">
        <is>
          <t>https://open-archaeo.info/post/seriation-1/</t>
        </is>
      </c>
    </row>
    <row r="190">
      <c r="A190" s="17" t="inlineStr">
        <is>
          <t>Seriographe EPPM</t>
        </is>
      </c>
      <c r="B190" s="17" t="inlineStr">
        <is>
          <t>Bruno Desachy</t>
        </is>
      </c>
      <c r="C190" s="2" t="inlineStr">
        <is>
          <t>https://open-archaeo.info/post/seriographe-eppm/</t>
        </is>
      </c>
    </row>
    <row r="191">
      <c r="A191" s="17" t="inlineStr">
        <is>
          <t>SexEst</t>
        </is>
      </c>
      <c r="B191" s="17" t="inlineStr">
        <is>
          <t>cconsta1</t>
        </is>
      </c>
      <c r="C191" s="2" t="inlineStr">
        <is>
          <t>https://open-archaeo.info/post/sexest/</t>
        </is>
      </c>
    </row>
    <row r="192">
      <c r="A192" s="17" t="inlineStr">
        <is>
          <t>shapAAR</t>
        </is>
      </c>
      <c r="B192" s="17" t="inlineStr">
        <is>
          <t>ISAAKiel</t>
        </is>
      </c>
      <c r="C192" s="2" t="inlineStr">
        <is>
          <t>https://open-archaeo.info/post/shapaar/</t>
        </is>
      </c>
    </row>
    <row r="193">
      <c r="A193" s="17" t="inlineStr">
        <is>
          <t>shkrdata</t>
        </is>
      </c>
      <c r="B193" s="17" t="inlineStr">
        <is>
          <t>ISAAKiel</t>
        </is>
      </c>
      <c r="C193" s="2" t="inlineStr">
        <is>
          <t>https://open-archaeo.info/post/shkrdata/</t>
        </is>
      </c>
    </row>
    <row r="194">
      <c r="A194" s="17" t="inlineStr">
        <is>
          <t>shoredate</t>
        </is>
      </c>
      <c r="B194" s="17" t="inlineStr">
        <is>
          <t>isakro</t>
        </is>
      </c>
      <c r="C194" s="2" t="inlineStr">
        <is>
          <t>https://open-archaeo.info/post/shoredate/</t>
        </is>
      </c>
    </row>
    <row r="195">
      <c r="A195" s="17" t="inlineStr">
        <is>
          <t>signboardr</t>
        </is>
      </c>
      <c r="B195" s="17" t="inlineStr">
        <is>
          <t>mrecos</t>
        </is>
      </c>
      <c r="C195" s="2" t="inlineStr">
        <is>
          <t>https://open-archaeo.info/post/signboardr/</t>
        </is>
      </c>
    </row>
    <row r="196">
      <c r="A196" s="17" t="inlineStr">
        <is>
          <t>sindwem</t>
        </is>
      </c>
      <c r="B196" s="17" t="inlineStr">
        <is>
          <t>steko</t>
        </is>
      </c>
      <c r="C196" s="2" t="inlineStr">
        <is>
          <t>https://open-archaeo.info/post/sindwem/</t>
        </is>
      </c>
    </row>
    <row r="197">
      <c r="A197" s="17" t="inlineStr">
        <is>
          <t>sitedefinition</t>
        </is>
      </c>
      <c r="B197" s="17" t="inlineStr">
        <is>
          <t>SCSchmidt</t>
        </is>
      </c>
      <c r="C197" s="2" t="inlineStr">
        <is>
          <t>https://open-archaeo.info/post/sitedefinition/</t>
        </is>
      </c>
    </row>
    <row r="198">
      <c r="A198" s="17" t="inlineStr">
        <is>
          <t>SiteSyncro</t>
        </is>
      </c>
      <c r="B198" s="17" t="inlineStr">
        <is>
          <t>demjanp</t>
        </is>
      </c>
      <c r="C198" s="2" t="inlineStr">
        <is>
          <t>https://open-archaeo.info/post/sitesyncro/</t>
        </is>
      </c>
      <c r="D198" s="17" t="n">
        <v>2021</v>
      </c>
    </row>
    <row r="199">
      <c r="A199" s="17" t="inlineStr">
        <is>
          <t>skyscapeR</t>
        </is>
      </c>
      <c r="B199" s="17" t="inlineStr">
        <is>
          <t>f-silva-archaeo</t>
        </is>
      </c>
      <c r="C199" s="2" t="inlineStr">
        <is>
          <t>https://open-archaeo.info/post/skyscaper/</t>
        </is>
      </c>
    </row>
    <row r="200">
      <c r="A200" s="17" t="inlineStr">
        <is>
          <t>soiltexture</t>
        </is>
      </c>
      <c r="B200" s="17" t="inlineStr">
        <is>
          <t>julienmoeys</t>
        </is>
      </c>
      <c r="C200" s="2" t="inlineStr">
        <is>
          <t>https://open-archaeo.info/post/soiltexture/</t>
        </is>
      </c>
    </row>
    <row r="201">
      <c r="A201" s="17" t="inlineStr">
        <is>
          <t>sparch</t>
        </is>
      </c>
      <c r="B201" s="17" t="inlineStr">
        <is>
          <t>ahb108</t>
        </is>
      </c>
      <c r="C201" s="2" t="inlineStr">
        <is>
          <t>https://open-archaeo.info/post/sparch/</t>
        </is>
      </c>
    </row>
    <row r="202">
      <c r="A202" s="17" t="inlineStr">
        <is>
          <t>SPARTAAS</t>
        </is>
      </c>
      <c r="B202" s="17" t="inlineStr">
        <is>
          <t>Lise Bellanger; Philippe Husi; Arthur Coulon; Bruno Desachy; Benjamin Martineau</t>
        </is>
      </c>
      <c r="C202" s="2" t="inlineStr">
        <is>
          <t>https://open-archaeo.info/post/spartaas/</t>
        </is>
      </c>
    </row>
    <row r="203">
      <c r="A203" s="17" t="inlineStr">
        <is>
          <t>spDates</t>
        </is>
      </c>
      <c r="B203" s="17" t="inlineStr">
        <is>
          <t>jgregoriods</t>
        </is>
      </c>
      <c r="C203" s="2" t="inlineStr">
        <is>
          <t>https://open-archaeo.info/post/spdates/</t>
        </is>
      </c>
    </row>
    <row r="204">
      <c r="A204" s="17" t="inlineStr">
        <is>
          <t>statuAAR</t>
        </is>
      </c>
      <c r="B204" s="17" t="inlineStr">
        <is>
          <t>chrinne; capsizingHR; AnKaLoy; FrankSiegmund</t>
        </is>
      </c>
      <c r="C204" s="2" t="inlineStr">
        <is>
          <t>https://open-archaeo.info/post/statuaar/</t>
        </is>
      </c>
    </row>
    <row r="205">
      <c r="A205" s="17" t="inlineStr">
        <is>
          <t>stratigraphr</t>
        </is>
      </c>
      <c r="B205" s="17" t="inlineStr">
        <is>
          <t>joeroe</t>
        </is>
      </c>
      <c r="C205" s="2" t="inlineStr">
        <is>
          <t>https://open-archaeo.info/post/stratigraphr/</t>
        </is>
      </c>
    </row>
    <row r="206">
      <c r="A206" s="17" t="inlineStr">
        <is>
          <t>SurveyeR</t>
        </is>
      </c>
      <c r="B206" s="17" t="inlineStr">
        <is>
          <t>acortell3</t>
        </is>
      </c>
      <c r="C206" s="2" t="inlineStr">
        <is>
          <t>https://open-archaeo.info/post/surveyer/</t>
        </is>
      </c>
    </row>
    <row r="207">
      <c r="A207" s="17" t="inlineStr">
        <is>
          <t>tabula</t>
        </is>
      </c>
      <c r="B207" s="17" t="inlineStr">
        <is>
          <t>tesselle</t>
        </is>
      </c>
      <c r="C207" s="2" t="inlineStr">
        <is>
          <t>https://open-archaeo.info/post/tabula/</t>
        </is>
      </c>
      <c r="D207" s="17" t="n">
        <v>2018</v>
      </c>
    </row>
    <row r="208">
      <c r="A208" s="17" t="inlineStr">
        <is>
          <t>Tachy2GIS_arch</t>
        </is>
      </c>
      <c r="B208" s="17" t="inlineStr">
        <is>
          <t>Landesamt-fuer-Archaeologie-Sachsen</t>
        </is>
      </c>
      <c r="C208" s="2" t="inlineStr">
        <is>
          <t>https://open-archaeo.info/post/tachy2gis-arch/</t>
        </is>
      </c>
    </row>
    <row r="209">
      <c r="A209" s="17" t="inlineStr">
        <is>
          <t>tdar</t>
        </is>
      </c>
      <c r="B209" s="17" t="inlineStr">
        <is>
          <t>bocinsky</t>
        </is>
      </c>
      <c r="C209" s="2" t="inlineStr">
        <is>
          <t>https://open-archaeo.info/post/tdar/</t>
        </is>
      </c>
    </row>
    <row r="210">
      <c r="A210" s="17" t="inlineStr">
        <is>
          <t>teethr</t>
        </is>
      </c>
      <c r="B210" s="17" t="inlineStr">
        <is>
          <t>bbartholdy</t>
        </is>
      </c>
      <c r="C210" s="2" t="inlineStr">
        <is>
          <t>https://open-archaeo.info/post/teethr/</t>
        </is>
      </c>
    </row>
    <row r="211">
      <c r="A211" s="17" t="inlineStr">
        <is>
          <t>tfqar</t>
        </is>
      </c>
      <c r="B211" s="17" t="inlineStr">
        <is>
          <t>sslarch</t>
        </is>
      </c>
      <c r="C211" s="2" t="inlineStr">
        <is>
          <t>https://open-archaeo.info/post/tfqar/</t>
        </is>
      </c>
    </row>
    <row r="212">
      <c r="A212" s="17" t="inlineStr">
        <is>
          <t>The Southwestern Taphonomic Protocol</t>
        </is>
      </c>
      <c r="B212" s="17" t="inlineStr">
        <is>
          <t>bocinsky</t>
        </is>
      </c>
      <c r="C212" s="2" t="inlineStr">
        <is>
          <t>https://open-archaeo.info/post/the-southwestern-taphonomic-protocol/</t>
        </is>
      </c>
      <c r="D212" s="17" t="n">
        <v>2020</v>
      </c>
    </row>
    <row r="213">
      <c r="A213" s="17" t="inlineStr">
        <is>
          <t>tidypaleo</t>
        </is>
      </c>
      <c r="B213" s="17" t="inlineStr">
        <is>
          <t>paleolimbot</t>
        </is>
      </c>
      <c r="C213" s="2" t="inlineStr">
        <is>
          <t>https://open-archaeo.info/post/tidypaleo/</t>
        </is>
      </c>
    </row>
    <row r="214">
      <c r="A214" s="17" t="inlineStr">
        <is>
          <t>tipom</t>
        </is>
      </c>
      <c r="B214" s="17" t="inlineStr">
        <is>
          <t>iosa</t>
        </is>
      </c>
      <c r="C214" s="2" t="inlineStr">
        <is>
          <t>https://open-archaeo.info/post/tipom/</t>
        </is>
      </c>
    </row>
    <row r="215">
      <c r="A215" s="17" t="inlineStr">
        <is>
          <t>Tldating</t>
        </is>
      </c>
      <c r="B215" s="17" t="inlineStr">
        <is>
          <t>dstreble</t>
        </is>
      </c>
      <c r="C215" s="2" t="inlineStr">
        <is>
          <t>https://open-archaeo.info/post/tldating/</t>
        </is>
      </c>
    </row>
    <row r="216">
      <c r="A216" s="17" t="inlineStr">
        <is>
          <t>totalopenstationToQgis</t>
        </is>
      </c>
      <c r="B216" s="17" t="inlineStr">
        <is>
          <t>enzococca</t>
        </is>
      </c>
      <c r="C216" s="2" t="inlineStr">
        <is>
          <t>https://open-archaeo.info/post/totalopenstationtoqgis/</t>
        </is>
      </c>
    </row>
    <row r="217">
      <c r="A217" s="17" t="inlineStr">
        <is>
          <t>totalstation-tools</t>
        </is>
      </c>
      <c r="B217" s="17" t="inlineStr">
        <is>
          <t>WiseLabCMU</t>
        </is>
      </c>
      <c r="C217" s="2" t="inlineStr">
        <is>
          <t>https://open-archaeo.info/post/totalstation-tools/</t>
        </is>
      </c>
    </row>
    <row r="218">
      <c r="A218" s="17" t="inlineStr">
        <is>
          <t>TPQ-Composer</t>
        </is>
      </c>
      <c r="B218" s="17" t="inlineStr">
        <is>
          <t>Eythan31</t>
        </is>
      </c>
      <c r="C218" s="2" t="inlineStr">
        <is>
          <t>https://open-archaeo.info/post/tpq-composer/</t>
        </is>
      </c>
    </row>
    <row r="219">
      <c r="A219" s="17" t="inlineStr">
        <is>
          <t>TRANSIT</t>
        </is>
      </c>
      <c r="B219" s="17" t="inlineStr">
        <is>
          <t>gianmarcoalberti</t>
        </is>
      </c>
      <c r="C219" s="2" t="inlineStr">
        <is>
          <t>https://open-archaeo.info/post/transit/</t>
        </is>
      </c>
    </row>
    <row r="220">
      <c r="A220" s="17" t="inlineStr">
        <is>
          <t>TransmissionBias</t>
        </is>
      </c>
      <c r="B220" s="17" t="inlineStr">
        <is>
          <t>masonyoungblood</t>
        </is>
      </c>
      <c r="C220" s="2" t="inlineStr">
        <is>
          <t>https://open-archaeo.info/post/transmissionbias/</t>
        </is>
      </c>
      <c r="D220" s="17" t="n">
        <v>2019</v>
      </c>
    </row>
    <row r="221">
      <c r="A221" s="17" t="inlineStr">
        <is>
          <t>trenchdrawer</t>
        </is>
      </c>
      <c r="B221" s="17" t="inlineStr">
        <is>
          <t>MikeJJohnson</t>
        </is>
      </c>
      <c r="C221" s="2" t="inlineStr">
        <is>
          <t>https://open-archaeo.info/post/trenchdrawer/</t>
        </is>
      </c>
    </row>
    <row r="222">
      <c r="A222" s="17" t="inlineStr">
        <is>
          <t>UniformProbabilityDensityAnalysis</t>
        </is>
      </c>
      <c r="B222" s="17" t="inlineStr">
        <is>
          <t>mpeeples2008</t>
        </is>
      </c>
      <c r="C222" s="2" t="inlineStr">
        <is>
          <t>https://open-archaeo.info/post/uniformprobabilitydensityanalysis/</t>
        </is>
      </c>
    </row>
    <row r="223">
      <c r="A223" s="17" t="inlineStr">
        <is>
          <t>unstruwwel</t>
        </is>
      </c>
      <c r="B223" s="17" t="inlineStr">
        <is>
          <t>stefanieschneider</t>
        </is>
      </c>
      <c r="C223" s="2" t="inlineStr">
        <is>
          <t>https://open-archaeo.info/post/unstruwwel/</t>
        </is>
      </c>
    </row>
    <row r="224">
      <c r="A224" s="17" t="inlineStr">
        <is>
          <t>UThwigl</t>
        </is>
      </c>
      <c r="B224" s="17" t="inlineStr">
        <is>
          <t>tonydoss</t>
        </is>
      </c>
      <c r="C224" s="2" t="inlineStr">
        <is>
          <t>https://open-archaeo.info/post/uthwigl/</t>
        </is>
      </c>
    </row>
    <row r="225">
      <c r="A225" s="17" t="inlineStr">
        <is>
          <t>web_geochemistry</t>
        </is>
      </c>
      <c r="B225" s="17" t="inlineStr">
        <is>
          <t>arf-berkeley</t>
        </is>
      </c>
      <c r="C225" s="2" t="inlineStr">
        <is>
          <t>https://open-archaeo.info/post/web_geochemistry/</t>
        </is>
      </c>
    </row>
    <row r="226">
      <c r="A226" s="17" t="inlineStr">
        <is>
          <t>WeedEco</t>
        </is>
      </c>
      <c r="B226" s="17" t="inlineStr">
        <is>
          <t>WeedEco</t>
        </is>
      </c>
      <c r="C226" s="2" t="inlineStr">
        <is>
          <t>https://open-archaeo.info/post/weedeco/</t>
        </is>
      </c>
    </row>
    <row r="227">
      <c r="A227" s="17" t="inlineStr">
        <is>
          <t>xDateR</t>
        </is>
      </c>
      <c r="B227" s="17" t="inlineStr">
        <is>
          <t>AndyBunn</t>
        </is>
      </c>
      <c r="C227" s="2" t="inlineStr">
        <is>
          <t>https://open-archaeo.info/post/xdater/</t>
        </is>
      </c>
    </row>
    <row r="228">
      <c r="A228" s="17" t="inlineStr">
        <is>
          <t>xrf</t>
        </is>
      </c>
      <c r="B228" s="17" t="inlineStr">
        <is>
          <t>paleolimbot</t>
        </is>
      </c>
      <c r="C228" s="2" t="inlineStr">
        <is>
          <t>https://open-archaeo.info/post/xrf/</t>
        </is>
      </c>
    </row>
    <row r="229">
      <c r="A229" s="17" t="inlineStr">
        <is>
          <t>xronos.R</t>
        </is>
      </c>
      <c r="B229" s="17" t="inlineStr">
        <is>
          <t>xronos-ch</t>
        </is>
      </c>
      <c r="C229" s="2" t="inlineStr">
        <is>
          <t>https://open-archaeo.info/post/xronos-r/</t>
        </is>
      </c>
      <c r="D229" s="17" t="n">
        <v>2020</v>
      </c>
    </row>
    <row r="230">
      <c r="A230" s="17" t="inlineStr">
        <is>
          <t>yada</t>
        </is>
      </c>
      <c r="B230" s="17" t="inlineStr">
        <is>
          <t>MichaelHoltonPrice</t>
        </is>
      </c>
      <c r="C230" s="2" t="inlineStr">
        <is>
          <t>https://open-archaeo.info/post/yada/</t>
        </is>
      </c>
    </row>
    <row r="231">
      <c r="A231" s="17" t="inlineStr">
        <is>
          <t>zooaRch</t>
        </is>
      </c>
      <c r="B231" s="17" t="inlineStr">
        <is>
          <t>Erik Otarola-Castillo; Jesse Wolfhagen; Max D. Price; zooaRch</t>
        </is>
      </c>
      <c r="C231" s="2" t="inlineStr">
        <is>
          <t>https://open-archaeo.info/post/zooarch/</t>
        </is>
      </c>
    </row>
    <row r="232">
      <c r="A232" s="17" t="inlineStr">
        <is>
          <t>zooaRchGUI</t>
        </is>
      </c>
      <c r="B232" s="17" t="inlineStr">
        <is>
          <t>zooaRchGUI</t>
        </is>
      </c>
      <c r="C232" s="2" t="inlineStr">
        <is>
          <t>https://open-archaeo.info/post/zooarchgui/</t>
        </is>
      </c>
    </row>
    <row r="233">
      <c r="A233" s="17" t="inlineStr">
        <is>
          <t>ZooarchMixMod</t>
        </is>
      </c>
      <c r="B233" s="17" t="inlineStr">
        <is>
          <t>wolfhagenj</t>
        </is>
      </c>
      <c r="C233" s="2" t="inlineStr">
        <is>
          <t>https://open-archaeo.info/post/zooarchmixmod/</t>
        </is>
      </c>
      <c r="D233" s="17" t="n">
        <v>2023</v>
      </c>
    </row>
    <row r="234">
      <c r="A234" s="17" t="inlineStr">
        <is>
          <t>zoolog</t>
        </is>
      </c>
      <c r="B234" s="17" t="inlineStr">
        <is>
          <t>josempozo; Silvia Valenzuela-Lamas; Angela Trentacoste; Ariadne Nieto-Espinet; Silvia Guimarães Chiarelli</t>
        </is>
      </c>
      <c r="C234" s="2" t="inlineStr">
        <is>
          <t>https://open-archaeo.info/post/zoolog/</t>
        </is>
      </c>
      <c r="D234" s="17" t="n">
        <v>2022</v>
      </c>
    </row>
    <row r="235">
      <c r="A235" s="17" t="inlineStr">
        <is>
          <t>3d_spatial_ripley_analyses</t>
        </is>
      </c>
      <c r="B235" s="17" t="inlineStr">
        <is>
          <t>marchaeologist</t>
        </is>
      </c>
      <c r="C235" s="2" t="inlineStr">
        <is>
          <t>https://open-archaeo.info/post/3d-spatial-ripley-analyses/</t>
        </is>
      </c>
    </row>
    <row r="236">
      <c r="A236" s="17" t="inlineStr">
        <is>
          <t>3D-ORGAN</t>
        </is>
      </c>
      <c r="B236" s="17" t="inlineStr">
        <is>
          <t>Renato Hermoza; Ivan Sipiran</t>
        </is>
      </c>
      <c r="C236" s="2" t="inlineStr">
        <is>
          <t>https://open-archaeo.info/post/3d-organ/</t>
        </is>
      </c>
      <c r="D236" s="17" t="n">
        <v>2018</v>
      </c>
    </row>
    <row r="237">
      <c r="A237" s="17" t="inlineStr">
        <is>
          <t>Al2O3_AnalysisApp</t>
        </is>
      </c>
      <c r="B237" s="17" t="inlineStr">
        <is>
          <t>RLumSK</t>
        </is>
      </c>
      <c r="C237" s="2" t="inlineStr">
        <is>
          <t>https://open-archaeo.info/post/al2o3-analysisapp/</t>
        </is>
      </c>
    </row>
    <row r="238">
      <c r="A238" s="17" t="inlineStr">
        <is>
          <t>anthroFun</t>
        </is>
      </c>
      <c r="B238" s="17" t="inlineStr">
        <is>
          <t>ElaineYChu</t>
        </is>
      </c>
      <c r="C238" s="2" t="inlineStr">
        <is>
          <t>https://open-archaeo.info/post/anthrofun/</t>
        </is>
      </c>
    </row>
    <row r="239">
      <c r="A239" s="17" t="inlineStr">
        <is>
          <t>Archaeological_Catalogue_from_CSV_Spreadsheet</t>
        </is>
      </c>
      <c r="B239" s="17" t="inlineStr">
        <is>
          <t>latex-ninja</t>
        </is>
      </c>
      <c r="C239" s="2" t="inlineStr">
        <is>
          <t>https://open-archaeo.info/post/archaeological-catalogue-from-csv-spreadsheet/</t>
        </is>
      </c>
    </row>
    <row r="240">
      <c r="A240" s="17" t="inlineStr">
        <is>
          <t>ARQUB</t>
        </is>
      </c>
      <c r="B240" s="17" t="inlineStr">
        <is>
          <t>jbuxeda</t>
        </is>
      </c>
      <c r="C240" s="2" t="inlineStr">
        <is>
          <t>https://open-archaeo.info/post/arqub/</t>
        </is>
      </c>
    </row>
    <row r="241">
      <c r="A241" s="17" t="inlineStr">
        <is>
          <t>artefact-morpho.R</t>
        </is>
      </c>
      <c r="B241" s="17" t="inlineStr">
        <is>
          <t>benmarwick</t>
        </is>
      </c>
      <c r="C241" s="2" t="inlineStr">
        <is>
          <t>https://open-archaeo.info/post/artefact-morpho-r/</t>
        </is>
      </c>
      <c r="D241" s="17" t="n">
        <v>2016</v>
      </c>
    </row>
    <row r="242">
      <c r="A242" s="17" t="inlineStr">
        <is>
          <t>Artifact_Class_Diversity</t>
        </is>
      </c>
      <c r="B242" s="17" t="inlineStr">
        <is>
          <t>taphocoenose</t>
        </is>
      </c>
      <c r="C242" s="2" t="inlineStr">
        <is>
          <t>https://open-archaeo.info/post/artifact-class-diversity/</t>
        </is>
      </c>
    </row>
    <row r="243">
      <c r="A243" s="17" t="inlineStr">
        <is>
          <t>BasicMapping</t>
        </is>
      </c>
      <c r="B243" s="17" t="inlineStr">
        <is>
          <t>mpeeples2008</t>
        </is>
      </c>
      <c r="C243" s="2" t="inlineStr">
        <is>
          <t>https://open-archaeo.info/post/basicmapping/</t>
        </is>
      </c>
    </row>
    <row r="244">
      <c r="A244" s="17" t="inlineStr">
        <is>
          <t>benmarwickDY-XYZ-data-on-an-irregular-grid-to-an-interpolated-raster.r</t>
        </is>
      </c>
      <c r="B244" s="17" t="inlineStr">
        <is>
          <t>benmarwick</t>
        </is>
      </c>
      <c r="C244" s="2" t="inlineStr">
        <is>
          <t>https://open-archaeo.info/post/benmarwickdy-xyz-data-on-an-irregular-grid-to-an-interpolated-raster-r/</t>
        </is>
      </c>
      <c r="D244" s="17" t="n">
        <v>2014</v>
      </c>
    </row>
    <row r="245">
      <c r="A245" s="17" t="inlineStr">
        <is>
          <t>benmarwickopencontext.r</t>
        </is>
      </c>
      <c r="B245" s="17" t="inlineStr">
        <is>
          <t>benmarwick</t>
        </is>
      </c>
      <c r="C245" s="2" t="inlineStr">
        <is>
          <t>https://open-archaeo.info/post/benmarwickopencontext-r/</t>
        </is>
      </c>
      <c r="D245" s="17" t="n">
        <v>2013</v>
      </c>
    </row>
    <row r="246">
      <c r="A246" s="17" t="inlineStr">
        <is>
          <t>Binomial-Co-occurrence-Assessment</t>
        </is>
      </c>
      <c r="B246" s="17" t="inlineStr">
        <is>
          <t>mpeeples2008</t>
        </is>
      </c>
      <c r="C246" s="2" t="inlineStr">
        <is>
          <t>https://open-archaeo.info/post/binomial-co-occurrence-assessment/</t>
        </is>
      </c>
    </row>
    <row r="247">
      <c r="A247" s="17" t="inlineStr">
        <is>
          <t>Bootstrap-Correspondence-Analysis</t>
        </is>
      </c>
      <c r="B247" s="17" t="inlineStr">
        <is>
          <t>mpeeples2008</t>
        </is>
      </c>
      <c r="C247" s="2" t="inlineStr">
        <is>
          <t>https://open-archaeo.info/post/bootstrap-correspondence-analysis/</t>
        </is>
      </c>
    </row>
    <row r="248">
      <c r="A248" s="17" t="inlineStr">
        <is>
          <t>Brainerd-Robinson-Similarity-Coefficient-and-Sampling-Error-Assessment</t>
        </is>
      </c>
      <c r="B248" s="17" t="inlineStr">
        <is>
          <t>mpeeples2008</t>
        </is>
      </c>
      <c r="C248" s="2" t="inlineStr">
        <is>
          <t>https://open-archaeo.info/post/brainerd-robinson-similarity-coefficient-and-sampling-error-assessment/</t>
        </is>
      </c>
    </row>
    <row r="249">
      <c r="A249" s="17" t="inlineStr">
        <is>
          <t>c14-date-extractor</t>
        </is>
      </c>
      <c r="B249" s="17" t="inlineStr">
        <is>
          <t>alexbrandsen</t>
        </is>
      </c>
      <c r="C249" s="2" t="inlineStr">
        <is>
          <t>https://open-archaeo.info/post/c14-date-extractor/</t>
        </is>
      </c>
    </row>
    <row r="250">
      <c r="A250" s="17" t="inlineStr">
        <is>
          <t>ca</t>
        </is>
      </c>
      <c r="B250" s="17" t="inlineStr">
        <is>
          <t>mpeeples2008</t>
        </is>
      </c>
      <c r="C250" s="2" t="inlineStr">
        <is>
          <t>https://open-archaeo.info/post/ca/</t>
        </is>
      </c>
    </row>
    <row r="251">
      <c r="A251" s="17" t="inlineStr">
        <is>
          <t>ceramic-computation</t>
        </is>
      </c>
      <c r="B251" s="17" t="inlineStr">
        <is>
          <t>anatolian</t>
        </is>
      </c>
      <c r="C251" s="2" t="inlineStr">
        <is>
          <t>https://open-archaeo.info/post/ceramic-computation/</t>
        </is>
      </c>
    </row>
    <row r="252">
      <c r="A252" s="17" t="inlineStr">
        <is>
          <t>Ceramic-Frequency-Date-Plot</t>
        </is>
      </c>
      <c r="B252" s="17" t="inlineStr">
        <is>
          <t>mpeeples2008</t>
        </is>
      </c>
      <c r="C252" s="2" t="inlineStr">
        <is>
          <t>https://open-archaeo.info/post/ceramic-frequency-date-plot/</t>
        </is>
      </c>
    </row>
    <row r="253">
      <c r="A253" s="17" t="inlineStr">
        <is>
          <t>CeramicApportioning</t>
        </is>
      </c>
      <c r="B253" s="17" t="inlineStr">
        <is>
          <t>mpeeples2008</t>
        </is>
      </c>
      <c r="C253" s="2" t="inlineStr">
        <is>
          <t>https://open-archaeo.info/post/ceramicapportioning/</t>
        </is>
      </c>
    </row>
    <row r="254">
      <c r="A254" s="17" t="inlineStr">
        <is>
          <t>CloudCal</t>
        </is>
      </c>
      <c r="B254" s="17" t="inlineStr">
        <is>
          <t>leedrake5</t>
        </is>
      </c>
      <c r="C254" s="2" t="inlineStr">
        <is>
          <t>https://open-archaeo.info/post/cloudcal/</t>
        </is>
      </c>
    </row>
    <row r="255">
      <c r="A255" s="17" t="inlineStr">
        <is>
          <t>cranial-sex-estimation-code</t>
        </is>
      </c>
      <c r="B255" s="17" t="inlineStr">
        <is>
          <t>pr0m1th3as</t>
        </is>
      </c>
      <c r="C255" s="2" t="inlineStr">
        <is>
          <t>https://open-archaeo.info/post/cranial-sex-estimation-code/</t>
        </is>
      </c>
    </row>
    <row r="256">
      <c r="A256" s="17" t="inlineStr">
        <is>
          <t>CSGR</t>
        </is>
      </c>
      <c r="B256" s="17" t="inlineStr">
        <is>
          <t>Arothron</t>
        </is>
      </c>
      <c r="C256" s="2" t="inlineStr">
        <is>
          <t>https://open-archaeo.info/post/csgr/</t>
        </is>
      </c>
    </row>
    <row r="257">
      <c r="A257" s="17" t="inlineStr">
        <is>
          <t>DACORD</t>
        </is>
      </c>
      <c r="B257" s="17" t="inlineStr">
        <is>
          <t>jwilczek-dotcom</t>
        </is>
      </c>
      <c r="C257" s="2" t="inlineStr">
        <is>
          <t>https://open-archaeo.info/post/dacord/</t>
        </is>
      </c>
    </row>
    <row r="258">
      <c r="A258" s="17" t="inlineStr">
        <is>
          <t>ElementSourcing</t>
        </is>
      </c>
      <c r="B258" s="17" t="inlineStr">
        <is>
          <t>bischrob</t>
        </is>
      </c>
      <c r="C258" s="2" t="inlineStr">
        <is>
          <t>https://open-archaeo.info/post/elementsourcing/</t>
        </is>
      </c>
    </row>
    <row r="259">
      <c r="A259" s="17" t="inlineStr">
        <is>
          <t>expotime</t>
        </is>
      </c>
      <c r="B259" s="17" t="inlineStr">
        <is>
          <t>steko</t>
        </is>
      </c>
      <c r="C259" s="2" t="inlineStr">
        <is>
          <t>https://open-archaeo.info/post/expotime/</t>
        </is>
      </c>
    </row>
    <row r="260">
      <c r="A260" s="17" t="inlineStr">
        <is>
          <t>fabryka</t>
        </is>
      </c>
      <c r="B260" s="17" t="inlineStr">
        <is>
          <t>marchaeologist</t>
        </is>
      </c>
      <c r="C260" s="2" t="inlineStr">
        <is>
          <t>https://open-archaeo.info/post/fabryka/</t>
        </is>
      </c>
    </row>
    <row r="261">
      <c r="A261" s="17" t="inlineStr">
        <is>
          <t>Fix-exif-artist</t>
        </is>
      </c>
      <c r="B261" s="17" t="inlineStr">
        <is>
          <t>steko</t>
        </is>
      </c>
      <c r="C261" s="2" t="inlineStr">
        <is>
          <t>https://open-archaeo.info/post/fix-exif-artist/</t>
        </is>
      </c>
    </row>
    <row r="262">
      <c r="A262" s="17" t="inlineStr">
        <is>
          <t>Ford-Diagram</t>
        </is>
      </c>
      <c r="B262" s="17" t="inlineStr">
        <is>
          <t>mpeeples2008</t>
        </is>
      </c>
      <c r="C262" s="2" t="inlineStr">
        <is>
          <t>https://open-archaeo.info/post/ford-diagram/</t>
        </is>
      </c>
    </row>
    <row r="263">
      <c r="A263" s="17" t="inlineStr">
        <is>
          <t>Geostat</t>
        </is>
      </c>
      <c r="B263" s="17" t="inlineStr">
        <is>
          <t>cl379</t>
        </is>
      </c>
      <c r="C263" s="2" t="inlineStr">
        <is>
          <t>https://open-archaeo.info/post/geostat/</t>
        </is>
      </c>
    </row>
    <row r="264">
      <c r="A264" s="17" t="inlineStr">
        <is>
          <t>kidstats</t>
        </is>
      </c>
      <c r="B264" s="17" t="inlineStr">
        <is>
          <t>ElaineYChu</t>
        </is>
      </c>
      <c r="C264" s="2" t="inlineStr">
        <is>
          <t>https://open-archaeo.info/post/kidstats/</t>
        </is>
      </c>
    </row>
    <row r="265">
      <c r="A265" s="17" t="inlineStr">
        <is>
          <t>Kmeans</t>
        </is>
      </c>
      <c r="B265" s="17" t="inlineStr">
        <is>
          <t>mpeeples2008</t>
        </is>
      </c>
      <c r="C265" s="2" t="inlineStr">
        <is>
          <t>https://open-archaeo.info/post/kmeans/</t>
        </is>
      </c>
    </row>
    <row r="266">
      <c r="A266" s="17" t="inlineStr">
        <is>
          <t>kriging</t>
        </is>
      </c>
      <c r="B266" s="17" t="inlineStr">
        <is>
          <t>cl379</t>
        </is>
      </c>
      <c r="C266" s="2" t="inlineStr">
        <is>
          <t>https://open-archaeo.info/post/kriging/</t>
        </is>
      </c>
    </row>
    <row r="267">
      <c r="A267" s="17" t="inlineStr">
        <is>
          <t>LA_ICP_MS-Routines_FMNH</t>
        </is>
      </c>
      <c r="B267" s="17" t="inlineStr">
        <is>
          <t>ajupton</t>
        </is>
      </c>
      <c r="C267" s="2" t="inlineStr">
        <is>
          <t>https://open-archaeo.info/post/la_icp_ms-routines_fmnh/</t>
        </is>
      </c>
    </row>
    <row r="268">
      <c r="A268" s="17" t="inlineStr">
        <is>
          <t>LISA</t>
        </is>
      </c>
      <c r="B268" s="17" t="inlineStr">
        <is>
          <t>mpeeples2008</t>
        </is>
      </c>
      <c r="C268" s="2" t="inlineStr">
        <is>
          <t>https://open-archaeo.info/post/lisa/</t>
        </is>
      </c>
    </row>
    <row r="269">
      <c r="A269" s="17" t="inlineStr">
        <is>
          <t>lithic3dslicer</t>
        </is>
      </c>
      <c r="B269" s="17" t="inlineStr">
        <is>
          <t>kotdijian</t>
        </is>
      </c>
      <c r="C269" s="2" t="inlineStr">
        <is>
          <t>https://open-archaeo.info/post/lithic3dslicer/</t>
        </is>
      </c>
    </row>
    <row r="270">
      <c r="A270" s="17" t="inlineStr">
        <is>
          <t>long-bone-diaphyseal-CSG-Toolkit</t>
        </is>
      </c>
      <c r="B270" s="17" t="inlineStr">
        <is>
          <t>pr0m1th3as</t>
        </is>
      </c>
      <c r="C270" s="2" t="inlineStr">
        <is>
          <t>https://open-archaeo.info/post/long-bone-diaphyseal-csg-toolkit/</t>
        </is>
      </c>
    </row>
    <row r="271">
      <c r="A271" s="17" t="inlineStr">
        <is>
          <t>Mean-Ceramic-Date-and-Error-Estimation</t>
        </is>
      </c>
      <c r="B271" s="17" t="inlineStr">
        <is>
          <t>mpeeples2008</t>
        </is>
      </c>
      <c r="C271" s="2" t="inlineStr">
        <is>
          <t>https://open-archaeo.info/post/mean-ceramic-date-and-error-estimation/</t>
        </is>
      </c>
    </row>
    <row r="272">
      <c r="A272" s="17" t="inlineStr">
        <is>
          <t>missing</t>
        </is>
      </c>
      <c r="B272" s="17" t="inlineStr">
        <is>
          <t>steko</t>
        </is>
      </c>
      <c r="C272" s="2" t="inlineStr">
        <is>
          <t>https://open-archaeo.info/post/missing/</t>
        </is>
      </c>
    </row>
    <row r="273">
      <c r="A273" s="17" t="inlineStr">
        <is>
          <t>munsell-plot.R</t>
        </is>
      </c>
      <c r="B273" s="17" t="inlineStr">
        <is>
          <t>benmarwick</t>
        </is>
      </c>
      <c r="C273" s="2" t="inlineStr">
        <is>
          <t>https://open-archaeo.info/post/munsell-plot-r/</t>
        </is>
      </c>
      <c r="D273" s="17" t="n">
        <v>2015</v>
      </c>
    </row>
    <row r="274">
      <c r="A274" s="17" t="inlineStr">
        <is>
          <t>NAA analytical dashboard</t>
        </is>
      </c>
      <c r="B274" s="17" t="inlineStr">
        <is>
          <t>mpeeples2008</t>
        </is>
      </c>
      <c r="C274" s="2" t="inlineStr">
        <is>
          <t>https://open-archaeo.info/post/naa-analytical-dashboard/</t>
        </is>
      </c>
    </row>
    <row r="275">
      <c r="A275" s="17" t="inlineStr">
        <is>
          <t>Near-Presence-Analysis</t>
        </is>
      </c>
      <c r="B275" s="17" t="inlineStr">
        <is>
          <t>eweaverdyck</t>
        </is>
      </c>
      <c r="C275" s="2" t="inlineStr">
        <is>
          <t>https://open-archaeo.info/post/near-presence-analysis/</t>
        </is>
      </c>
    </row>
    <row r="276">
      <c r="A276" s="17" t="inlineStr">
        <is>
          <t>neiman1995</t>
        </is>
      </c>
      <c r="B276" s="17" t="inlineStr">
        <is>
          <t>nevrome</t>
        </is>
      </c>
      <c r="C276" s="2" t="inlineStr">
        <is>
          <t>https://open-archaeo.info/post/neiman1995/</t>
        </is>
      </c>
    </row>
    <row r="277">
      <c r="A277" s="17" t="inlineStr">
        <is>
          <t>neolithicR</t>
        </is>
      </c>
      <c r="B277" s="17" t="inlineStr">
        <is>
          <t>nevrome; dirkseidensticker</t>
        </is>
      </c>
      <c r="C277" s="2" t="inlineStr">
        <is>
          <t>https://open-archaeo.info/post/neolithicr/</t>
        </is>
      </c>
    </row>
    <row r="278">
      <c r="A278" s="17" t="inlineStr">
        <is>
          <t>non-metric-trait-analysis</t>
        </is>
      </c>
      <c r="B278" s="17" t="inlineStr">
        <is>
          <t>pr0m1th3as</t>
        </is>
      </c>
      <c r="C278" s="2" t="inlineStr">
        <is>
          <t>https://open-archaeo.info/post/non-metric-trait-analysis/</t>
        </is>
      </c>
    </row>
    <row r="279">
      <c r="A279" s="17" t="inlineStr">
        <is>
          <t>osl_calibration.r</t>
        </is>
      </c>
      <c r="B279" s="17" t="inlineStr">
        <is>
          <t>benmarwick</t>
        </is>
      </c>
      <c r="C279" s="2" t="inlineStr">
        <is>
          <t>https://open-archaeo.info/post/osl_calibration-r/</t>
        </is>
      </c>
      <c r="D279" s="17" t="n">
        <v>2015</v>
      </c>
    </row>
    <row r="280">
      <c r="A280" s="17" t="inlineStr">
        <is>
          <t>osteometric-sorting</t>
        </is>
      </c>
      <c r="B280" s="17" t="inlineStr">
        <is>
          <t>pr0m1th3as</t>
        </is>
      </c>
      <c r="C280" s="2" t="inlineStr">
        <is>
          <t>https://open-archaeo.info/post/osteometric-sorting/</t>
        </is>
      </c>
    </row>
    <row r="281">
      <c r="A281" s="17" t="inlineStr">
        <is>
          <t>p2pPerm</t>
        </is>
      </c>
      <c r="B281" s="17" t="inlineStr">
        <is>
          <t>philriris</t>
        </is>
      </c>
      <c r="C281" s="2" t="inlineStr">
        <is>
          <t>https://open-archaeo.info/post/p2pperm/</t>
        </is>
      </c>
    </row>
    <row r="282">
      <c r="A282" s="17" t="inlineStr">
        <is>
          <t>pdf-to-nested-xml</t>
        </is>
      </c>
      <c r="B282" s="17" t="inlineStr">
        <is>
          <t>alexbrandsen</t>
        </is>
      </c>
      <c r="C282" s="2" t="inlineStr">
        <is>
          <t>https://open-archaeo.info/post/pdf-to-nested-xml/</t>
        </is>
      </c>
    </row>
    <row r="283">
      <c r="A283" s="17" t="inlineStr">
        <is>
          <t>PLC</t>
        </is>
      </c>
      <c r="B283" s="17" t="inlineStr">
        <is>
          <t>mpeeples2008</t>
        </is>
      </c>
      <c r="C283" s="2" t="inlineStr">
        <is>
          <t>https://open-archaeo.info/post/plc/</t>
        </is>
      </c>
    </row>
    <row r="284">
      <c r="A284" s="17" t="inlineStr">
        <is>
          <t>PointPattern</t>
        </is>
      </c>
      <c r="B284" s="17" t="inlineStr">
        <is>
          <t>mpeeples2008</t>
        </is>
      </c>
      <c r="C284" s="2" t="inlineStr">
        <is>
          <t>https://open-archaeo.info/post/pointpattern/</t>
        </is>
      </c>
    </row>
    <row r="285">
      <c r="A285" s="17" t="inlineStr">
        <is>
          <t>pollen_data_processing</t>
        </is>
      </c>
      <c r="B285" s="17" t="inlineStr">
        <is>
          <t>MartinHinz</t>
        </is>
      </c>
      <c r="C285" s="2" t="inlineStr">
        <is>
          <t>https://open-archaeo.info/post/pollen_data_processing/</t>
        </is>
      </c>
    </row>
    <row r="286">
      <c r="A286" s="17" t="inlineStr">
        <is>
          <t>qrcode-storage</t>
        </is>
      </c>
      <c r="B286" s="17" t="inlineStr">
        <is>
          <t>steko</t>
        </is>
      </c>
      <c r="C286" s="2" t="inlineStr">
        <is>
          <t>https://open-archaeo.info/post/qrcode-storage/</t>
        </is>
      </c>
    </row>
    <row r="287">
      <c r="A287" s="17" t="inlineStr">
        <is>
          <t>quantum-archeo</t>
        </is>
      </c>
      <c r="B287" s="17" t="inlineStr">
        <is>
          <t>maciejkasinski</t>
        </is>
      </c>
      <c r="C287" s="2" t="inlineStr">
        <is>
          <t>https://open-archaeo.info/post/quantum-archeo/</t>
        </is>
      </c>
    </row>
    <row r="288">
      <c r="A288" s="17" t="inlineStr">
        <is>
          <t>QuARI</t>
        </is>
      </c>
      <c r="B288" s="17" t="inlineStr">
        <is>
          <t>zackbatist; dcontre; Ciara Zogheib</t>
        </is>
      </c>
      <c r="C288" s="2" t="inlineStr">
        <is>
          <t>https://open-archaeo.info/post/quari/</t>
        </is>
      </c>
    </row>
    <row r="289">
      <c r="A289" s="17" t="inlineStr">
        <is>
          <t>RACORD</t>
        </is>
      </c>
      <c r="B289" s="17" t="inlineStr">
        <is>
          <t>jwilczek-dotcom</t>
        </is>
      </c>
      <c r="C289" s="2" t="inlineStr">
        <is>
          <t>https://open-archaeo.info/post/racord/</t>
        </is>
      </c>
    </row>
    <row r="290">
      <c r="A290" s="17" t="inlineStr">
        <is>
          <t>radiocarbon-scrapers</t>
        </is>
      </c>
      <c r="B290" s="17" t="inlineStr">
        <is>
          <t>steko</t>
        </is>
      </c>
      <c r="C290" s="2" t="inlineStr">
        <is>
          <t>https://open-archaeo.info/post/radiocarbon-scrapers/</t>
        </is>
      </c>
    </row>
    <row r="291">
      <c r="A291" s="17" t="inlineStr">
        <is>
          <t>rti</t>
        </is>
      </c>
      <c r="B291" s="17" t="inlineStr">
        <is>
          <t>kmartinez</t>
        </is>
      </c>
      <c r="C291" s="2" t="inlineStr">
        <is>
          <t>https://open-archaeo.info/post/rti/</t>
        </is>
      </c>
    </row>
    <row r="292">
      <c r="A292" s="17" t="inlineStr">
        <is>
          <t>sdsbrowser</t>
        </is>
      </c>
      <c r="B292" s="17" t="inlineStr">
        <is>
          <t>Johanna-Mestorf-Academy</t>
        </is>
      </c>
      <c r="C292" s="2" t="inlineStr">
        <is>
          <t>https://open-archaeo.info/post/sdsbrowser/</t>
        </is>
      </c>
    </row>
    <row r="293">
      <c r="A293" s="17" t="inlineStr">
        <is>
          <t>Sériation de matrice en présence/absence</t>
        </is>
      </c>
      <c r="B293" s="17" t="inlineStr">
        <is>
          <t>Bruno Desachy</t>
        </is>
      </c>
      <c r="C293" s="2" t="inlineStr">
        <is>
          <t>https://open-archaeo.info/post/seriation-de-matrice-en-presence-absence/</t>
        </is>
      </c>
    </row>
    <row r="294">
      <c r="A294" s="17" t="inlineStr">
        <is>
          <t>shiny_Tldating</t>
        </is>
      </c>
      <c r="B294" s="17" t="inlineStr">
        <is>
          <t>dstreble</t>
        </is>
      </c>
      <c r="C294" s="2" t="inlineStr">
        <is>
          <t>https://open-archaeo.info/post/shiny-tldating/</t>
        </is>
      </c>
    </row>
    <row r="295">
      <c r="A295" s="17" t="inlineStr">
        <is>
          <t>skeletal-sex-estimation</t>
        </is>
      </c>
      <c r="B295" s="17" t="inlineStr">
        <is>
          <t>pr0m1th3as</t>
        </is>
      </c>
      <c r="C295" s="2" t="inlineStr">
        <is>
          <t>https://open-archaeo.info/post/skeletal-sex-estimation/</t>
        </is>
      </c>
    </row>
    <row r="296">
      <c r="A296" s="17" t="inlineStr">
        <is>
          <t>skullanalyzer</t>
        </is>
      </c>
      <c r="B296" s="17" t="inlineStr">
        <is>
          <t>pr0m1th3as</t>
        </is>
      </c>
      <c r="C296" s="2" t="inlineStr">
        <is>
          <t>https://open-archaeo.info/post/skullanalyzer/</t>
        </is>
      </c>
    </row>
    <row r="297">
      <c r="A297" s="17" t="inlineStr">
        <is>
          <t>synthkat</t>
        </is>
      </c>
      <c r="B297" s="17" t="inlineStr">
        <is>
          <t>scollinselliott</t>
        </is>
      </c>
      <c r="C297" s="2" t="inlineStr">
        <is>
          <t>https://open-archaeo.info/post/synthkat/</t>
        </is>
      </c>
    </row>
    <row r="298">
      <c r="A298" s="17" t="inlineStr">
        <is>
          <t>timeperiod2daterange</t>
        </is>
      </c>
      <c r="B298" s="17" t="inlineStr">
        <is>
          <t>alexbrandsen</t>
        </is>
      </c>
      <c r="C298" s="2" t="inlineStr">
        <is>
          <t>https://open-archaeo.info/post/timeperiod2daterange/</t>
        </is>
      </c>
    </row>
    <row r="299">
      <c r="A299" s="17" t="inlineStr">
        <is>
          <t>tosca</t>
        </is>
      </c>
      <c r="B299" s="17" t="inlineStr">
        <is>
          <t>ISAAKiel</t>
        </is>
      </c>
      <c r="C299" s="2" t="inlineStr">
        <is>
          <t>https://open-archaeo.info/post/tosca/</t>
        </is>
      </c>
    </row>
    <row r="300">
      <c r="A300" s="17" t="inlineStr">
        <is>
          <t>tRauma</t>
        </is>
      </c>
      <c r="B300" s="17" t="inlineStr">
        <is>
          <t>ElaineYChu</t>
        </is>
      </c>
      <c r="C300" s="2" t="inlineStr">
        <is>
          <t>https://open-archaeo.info/post/trauma/</t>
        </is>
      </c>
    </row>
    <row r="301">
      <c r="A301" s="17" t="inlineStr">
        <is>
          <t>UnconstrainedClustering</t>
        </is>
      </c>
      <c r="B301" s="17" t="inlineStr">
        <is>
          <t>mpeeples2008</t>
        </is>
      </c>
      <c r="C301" s="2" t="inlineStr">
        <is>
          <t>https://open-archaeo.info/post/unconstrainedclustering/</t>
        </is>
      </c>
    </row>
    <row r="302">
      <c r="A302" s="17" t="inlineStr">
        <is>
          <t>archaeology_on_wikipedia.R</t>
        </is>
      </c>
      <c r="B302" s="17" t="inlineStr">
        <is>
          <t>benmarwick</t>
        </is>
      </c>
      <c r="C302" s="2" t="inlineStr">
        <is>
          <t>https://open-archaeo.info/post/archaeology_on_wikipedia-r/</t>
        </is>
      </c>
      <c r="D302" s="17" t="n">
        <v>2015</v>
      </c>
    </row>
    <row r="303">
      <c r="A303" s="17" t="inlineStr">
        <is>
          <t>archaeology-grand-challenges.r</t>
        </is>
      </c>
      <c r="B303" s="17" t="inlineStr">
        <is>
          <t>benmarwick</t>
        </is>
      </c>
      <c r="C303" s="2" t="inlineStr">
        <is>
          <t>https://open-archaeo.info/post/archaeology-grand-challenges-r/</t>
        </is>
      </c>
      <c r="D303" s="17" t="n">
        <v>2015</v>
      </c>
    </row>
    <row r="304">
      <c r="A304" s="17" t="inlineStr">
        <is>
          <t>ArchaeologyAdventure</t>
        </is>
      </c>
      <c r="B304" s="17" t="inlineStr">
        <is>
          <t>Camology</t>
        </is>
      </c>
      <c r="C304" s="2" t="inlineStr">
        <is>
          <t>https://open-archaeo.info/post/archaeologyadventure/</t>
        </is>
      </c>
    </row>
    <row r="305">
      <c r="A305" s="17" t="inlineStr">
        <is>
          <t>archstopmo</t>
        </is>
      </c>
      <c r="B305" s="17" t="inlineStr">
        <is>
          <t>shawngraham</t>
        </is>
      </c>
      <c r="C305" s="2" t="inlineStr">
        <is>
          <t>https://open-archaeo.info/post/archstopmo/</t>
        </is>
      </c>
    </row>
    <row r="306">
      <c r="A306" s="17" t="inlineStr">
        <is>
          <t>cca</t>
        </is>
      </c>
      <c r="B306" s="17" t="inlineStr">
        <is>
          <t>adreinhard</t>
        </is>
      </c>
      <c r="C306" s="2" t="inlineStr">
        <is>
          <t>https://open-archaeo.info/post/cca/</t>
        </is>
      </c>
    </row>
    <row r="307">
      <c r="A307" s="17" t="inlineStr">
        <is>
          <t>Ceramic_Dashboard</t>
        </is>
      </c>
      <c r="B307" s="17" t="inlineStr">
        <is>
          <t>ajupton</t>
        </is>
      </c>
      <c r="C307" s="2" t="inlineStr">
        <is>
          <t>https://open-archaeo.info/post/ceramic_dashboard/</t>
        </is>
      </c>
      <c r="D307" s="17" t="n">
        <v>2019</v>
      </c>
    </row>
    <row r="308">
      <c r="A308" s="17" t="inlineStr">
        <is>
          <t>dayofarchaeology</t>
        </is>
      </c>
      <c r="B308" s="17" t="inlineStr">
        <is>
          <t>benmarwick</t>
        </is>
      </c>
      <c r="C308" s="2" t="inlineStr">
        <is>
          <t>https://open-archaeo.info/post/dayofarchaeology/</t>
        </is>
      </c>
      <c r="D308" s="17" t="n">
        <v>2014</v>
      </c>
    </row>
    <row r="309">
      <c r="A309" s="17" t="inlineStr">
        <is>
          <t>disastermap</t>
        </is>
      </c>
      <c r="B309" s="17" t="inlineStr">
        <is>
          <t>aejolene</t>
        </is>
      </c>
      <c r="C309" s="2" t="inlineStr">
        <is>
          <t>https://open-archaeo.info/post/disastermap/</t>
        </is>
      </c>
      <c r="D309" s="17" t="n">
        <v>2017</v>
      </c>
    </row>
    <row r="310">
      <c r="A310" s="17" t="inlineStr">
        <is>
          <t>gods_on_the_barge</t>
        </is>
      </c>
      <c r="B310" s="17" t="inlineStr">
        <is>
          <t>adammertel</t>
        </is>
      </c>
      <c r="C310" s="2" t="inlineStr">
        <is>
          <t>https://open-archaeo.info/post/gods-on-the-barge/</t>
        </is>
      </c>
    </row>
    <row r="311">
      <c r="A311" s="17" t="inlineStr">
        <is>
          <t>maacgis</t>
        </is>
      </c>
      <c r="B311" s="17" t="inlineStr">
        <is>
          <t>aejolene</t>
        </is>
      </c>
      <c r="C311" s="2" t="inlineStr">
        <is>
          <t>https://open-archaeo.info/post/maacgis/</t>
        </is>
      </c>
      <c r="D311" s="17" t="n">
        <v>2018</v>
      </c>
    </row>
    <row r="312">
      <c r="A312" s="17" t="inlineStr">
        <is>
          <t>MapofComputationalArchaeology</t>
        </is>
      </c>
      <c r="B312" s="17" t="inlineStr">
        <is>
          <t>sslarch</t>
        </is>
      </c>
      <c r="C312" s="2" t="inlineStr">
        <is>
          <t>https://open-archaeo.info/post/mapofcomputationalarchaeology/</t>
        </is>
      </c>
    </row>
    <row r="313">
      <c r="A313" s="17" t="inlineStr">
        <is>
          <t>racisminarchy</t>
        </is>
      </c>
      <c r="B313" s="17" t="inlineStr">
        <is>
          <t>parkgayoung</t>
        </is>
      </c>
      <c r="C313" s="2" t="inlineStr">
        <is>
          <t>https://open-archaeo.info/post/racisminarchy/</t>
        </is>
      </c>
      <c r="D313" s="17" t="n">
        <v>2020</v>
      </c>
    </row>
    <row r="314">
      <c r="A314" s="17" t="inlineStr">
        <is>
          <t>radon</t>
        </is>
      </c>
      <c r="B314" s="17" t="inlineStr">
        <is>
          <t>ISAAKiel</t>
        </is>
      </c>
      <c r="C314" s="2" t="inlineStr">
        <is>
          <t>https://open-archaeo.info/post/radon/</t>
        </is>
      </c>
    </row>
    <row r="315">
      <c r="A315" s="17" t="inlineStr">
        <is>
          <t>sipontomedievale</t>
        </is>
      </c>
      <c r="B315" s="17" t="inlineStr">
        <is>
          <t>fradeve</t>
        </is>
      </c>
      <c r="C315" s="2" t="inlineStr">
        <is>
          <t>https://open-archaeo.info/post/sipontomedievale/</t>
        </is>
      </c>
    </row>
    <row r="316">
      <c r="A316" s="17" t="inlineStr">
        <is>
          <t>tweet-edits-to-archaeology-articles.R</t>
        </is>
      </c>
      <c r="B316" s="17" t="inlineStr">
        <is>
          <t>benmarwick</t>
        </is>
      </c>
      <c r="C316" s="2" t="inlineStr">
        <is>
          <t>https://open-archaeo.info/post/tweet-edits-to-archaeology-articles-r/</t>
        </is>
      </c>
      <c r="D316" s="17" t="n">
        <v>2023</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F376"/>
  <sheetViews>
    <sheetView workbookViewId="0">
      <selection activeCell="A1" sqref="A1"/>
    </sheetView>
  </sheetViews>
  <sheetFormatPr baseColWidth="8" defaultColWidth="12.63" defaultRowHeight="15.75" customHeight="1"/>
  <cols>
    <col width="47.25" customWidth="1" style="20" min="1" max="1"/>
    <col width="23.13" customWidth="1" style="20" min="2" max="2"/>
    <col width="43.13" customWidth="1" style="20" min="3" max="3"/>
    <col width="61.38" customWidth="1" style="20" min="4" max="4"/>
    <col width="38.13" customWidth="1" style="20" min="5" max="5"/>
    <col width="34" customWidth="1" style="20" min="6" max="6"/>
  </cols>
  <sheetData>
    <row r="1">
      <c r="A1" s="4" t="inlineStr">
        <is>
          <t>Title</t>
        </is>
      </c>
      <c r="B1" s="4" t="inlineStr">
        <is>
          <t>Category</t>
        </is>
      </c>
      <c r="C1" s="4" t="inlineStr">
        <is>
          <t>Authors</t>
        </is>
      </c>
      <c r="D1" s="4" t="inlineStr">
        <is>
          <t>Open-Archaeo URL</t>
        </is>
      </c>
      <c r="E1" s="4" t="inlineStr">
        <is>
          <t>External Link</t>
        </is>
      </c>
      <c r="F1" s="4" t="inlineStr">
        <is>
          <t>AI Notes</t>
        </is>
      </c>
    </row>
    <row r="2">
      <c r="A2" s="4" t="inlineStr">
        <is>
          <t>14C-power-sensitivity</t>
        </is>
      </c>
      <c r="B2" s="4" t="inlineStr">
        <is>
          <t>PACKAGES AND LIBRARIES</t>
        </is>
      </c>
      <c r="C2" s="4" t="inlineStr">
        <is>
          <t>pete-jacobsson</t>
        </is>
      </c>
      <c r="D2" s="4" t="inlineStr">
        <is>
          <t>https://open-archaeo.info/post/14c-power-sensitivity/</t>
        </is>
      </c>
      <c r="E2" s="4" t="inlineStr">
        <is>
          <t>https://github.com/pete-jacobsson/14C-power-sensitivity</t>
        </is>
      </c>
      <c r="F2" s="4" t="inlineStr"/>
    </row>
    <row r="3">
      <c r="A3" s="4" t="inlineStr">
        <is>
          <t>3D_EdgeAngle</t>
        </is>
      </c>
      <c r="B3" s="4" t="inlineStr">
        <is>
          <t>PACKAGES AND LIBRARIES</t>
        </is>
      </c>
      <c r="C3" s="4" t="inlineStr">
        <is>
          <t>lschunk; Ivan Calandra; Konstantin Bob</t>
        </is>
      </c>
      <c r="D3" s="4" t="inlineStr">
        <is>
          <t>https://open-archaeo.info/post/3d-edgeangle/</t>
        </is>
      </c>
      <c r="E3" s="4" t="inlineStr">
        <is>
          <t>https://github.com/lschunk/3D_EdgeAngle</t>
        </is>
      </c>
      <c r="F3" s="4" t="inlineStr"/>
    </row>
    <row r="4">
      <c r="A4" s="4" t="inlineStr">
        <is>
          <t>3D-survey-collection</t>
        </is>
      </c>
      <c r="B4" s="4" t="inlineStr">
        <is>
          <t>PACKAGES AND LIBRARIES</t>
        </is>
      </c>
      <c r="C4" s="4" t="inlineStr">
        <is>
          <t>zalmoxes-laran</t>
        </is>
      </c>
      <c r="D4" s="4" t="inlineStr">
        <is>
          <t>https://open-archaeo.info/post/3d-survey-collection/</t>
        </is>
      </c>
      <c r="E4" s="4" t="inlineStr">
        <is>
          <t>https://github.com/zalmoxes-laran/3D-survey-collection</t>
        </is>
      </c>
      <c r="F4" s="4" t="inlineStr"/>
    </row>
    <row r="5">
      <c r="A5" s="4" t="inlineStr">
        <is>
          <t>ADMUR</t>
        </is>
      </c>
      <c r="B5" s="4" t="inlineStr">
        <is>
          <t>PACKAGES AND LIBRARIES</t>
        </is>
      </c>
      <c r="C5" s="4" t="inlineStr">
        <is>
          <t>Adrian Timpson; Ramiro Barberena; Mark G. Thomas; César Méndez; Katie Manning</t>
        </is>
      </c>
      <c r="D5" s="4" t="inlineStr">
        <is>
          <t>https://open-archaeo.info/post/admur/</t>
        </is>
      </c>
      <c r="E5" s="4" t="inlineStr">
        <is>
          <t>https://github.com/adrian-timpson/ADMUR</t>
        </is>
      </c>
      <c r="F5" s="4" t="inlineStr"/>
    </row>
    <row r="6">
      <c r="A6" s="4" t="inlineStr">
        <is>
          <t>aion</t>
        </is>
      </c>
      <c r="B6" s="4" t="inlineStr">
        <is>
          <t>PACKAGES AND LIBRARIES</t>
        </is>
      </c>
      <c r="C6" s="4" t="inlineStr">
        <is>
          <t>tesselle</t>
        </is>
      </c>
      <c r="D6" s="4" t="inlineStr">
        <is>
          <t>https://open-archaeo.info/post/aion/</t>
        </is>
      </c>
      <c r="E6" s="4" t="inlineStr">
        <is>
          <t>https://github.com/tesselle/aion</t>
        </is>
      </c>
      <c r="F6" s="4" t="inlineStr"/>
    </row>
    <row r="7">
      <c r="A7" s="4" t="inlineStr">
        <is>
          <t>Akkademia</t>
        </is>
      </c>
      <c r="B7" s="4" t="inlineStr">
        <is>
          <t>PACKAGES AND LIBRARIES</t>
        </is>
      </c>
      <c r="C7" s="4" t="inlineStr">
        <is>
          <t>gaigutherz; arielazary; ARomach; ireman</t>
        </is>
      </c>
      <c r="D7" s="4" t="inlineStr">
        <is>
          <t>https://open-archaeo.info/post/akkademia/</t>
        </is>
      </c>
      <c r="E7" s="4" t="inlineStr">
        <is>
          <t>https://github.com/gaigutherz/Akkademia</t>
        </is>
      </c>
      <c r="F7" s="4" t="inlineStr"/>
    </row>
    <row r="8">
      <c r="A8" s="4" t="inlineStr">
        <is>
          <t>alkahest</t>
        </is>
      </c>
      <c r="B8" s="4" t="inlineStr">
        <is>
          <t>PACKAGES AND LIBRARIES</t>
        </is>
      </c>
      <c r="C8" s="4" t="inlineStr">
        <is>
          <t>tesselle</t>
        </is>
      </c>
      <c r="D8" s="4" t="inlineStr">
        <is>
          <t>https://open-archaeo.info/post/alkahest/</t>
        </is>
      </c>
      <c r="E8" s="4" t="inlineStr">
        <is>
          <t>https://github.com/tesselle/alkahest</t>
        </is>
      </c>
      <c r="F8" s="4" t="inlineStr"/>
    </row>
    <row r="9">
      <c r="A9" s="4" t="inlineStr">
        <is>
          <t>allen-relations</t>
        </is>
      </c>
      <c r="B9" s="4" t="inlineStr">
        <is>
          <t>PACKAGES AND LIBRARIES</t>
        </is>
      </c>
      <c r="C9" s="4" t="inlineStr">
        <is>
          <t>tsdye</t>
        </is>
      </c>
      <c r="D9" s="4" t="inlineStr">
        <is>
          <t>https://open-archaeo.info/post/allen-relations/</t>
        </is>
      </c>
      <c r="E9" s="4" t="inlineStr">
        <is>
          <t>https://github.com/tsdye/allen-relations</t>
        </is>
      </c>
      <c r="F9" s="4" t="inlineStr"/>
    </row>
    <row r="10">
      <c r="A10" s="4" t="inlineStr">
        <is>
          <t>allen.archaeology</t>
        </is>
      </c>
      <c r="B10" s="4" t="inlineStr">
        <is>
          <t>PACKAGES AND LIBRARIES</t>
        </is>
      </c>
      <c r="C10" s="4" t="inlineStr">
        <is>
          <t>tsdye</t>
        </is>
      </c>
      <c r="D10" s="4" t="inlineStr">
        <is>
          <t>https://open-archaeo.info/post/allen-archaeology/</t>
        </is>
      </c>
      <c r="E10" s="4" t="inlineStr">
        <is>
          <t>https://github.com/tsdye/allen.archaeology</t>
        </is>
      </c>
      <c r="F10" s="4" t="inlineStr"/>
    </row>
    <row r="11">
      <c r="A11" s="4" t="inlineStr">
        <is>
          <t>ancient-artifacts</t>
        </is>
      </c>
      <c r="B11" s="4" t="inlineStr">
        <is>
          <t>PACKAGES AND LIBRARIES</t>
        </is>
      </c>
      <c r="C11" s="4" t="inlineStr">
        <is>
          <t>vanderbilt-data-science</t>
        </is>
      </c>
      <c r="D11" s="4" t="inlineStr">
        <is>
          <t>https://open-archaeo.info/post/ancient-artifacts/</t>
        </is>
      </c>
      <c r="E11" s="4" t="inlineStr">
        <is>
          <t>https://github.com/vanderbilt-data-science/ancient-artifacts</t>
        </is>
      </c>
      <c r="F11" s="4" t="inlineStr"/>
    </row>
    <row r="12">
      <c r="A12" s="4" t="inlineStr">
        <is>
          <t>anthropmmd</t>
        </is>
      </c>
      <c r="B12" s="4" t="inlineStr">
        <is>
          <t>PACKAGES AND LIBRARIES</t>
        </is>
      </c>
      <c r="C12" s="4" t="inlineStr">
        <is>
          <t>frederic-santos</t>
        </is>
      </c>
      <c r="D12" s="4" t="inlineStr">
        <is>
          <t>https://open-archaeo.info/post/anthropmmd/</t>
        </is>
      </c>
      <c r="E12" s="4" t="inlineStr">
        <is>
          <t>https://github.com/frederic-santos/anthropmmd</t>
        </is>
      </c>
      <c r="F12" s="4" t="inlineStr"/>
    </row>
    <row r="13">
      <c r="A13" s="4" t="inlineStr">
        <is>
          <t>aoristAAR</t>
        </is>
      </c>
      <c r="B13" s="4" t="inlineStr">
        <is>
          <t>PACKAGES AND LIBRARIES</t>
        </is>
      </c>
      <c r="C13" s="4" t="inlineStr">
        <is>
          <t>ISAAKiel</t>
        </is>
      </c>
      <c r="D13" s="4" t="inlineStr">
        <is>
          <t>https://open-archaeo.info/post/aoristaar/</t>
        </is>
      </c>
      <c r="E13" s="4" t="inlineStr">
        <is>
          <t>https://github.com/ISAAKiel/aoristAAR</t>
        </is>
      </c>
      <c r="F13" s="4" t="inlineStr"/>
    </row>
    <row r="14">
      <c r="A14" s="4" t="inlineStr">
        <is>
          <t>aoristic</t>
        </is>
      </c>
      <c r="B14" s="4" t="inlineStr">
        <is>
          <t>PACKAGES AND LIBRARIES</t>
        </is>
      </c>
      <c r="C14" s="4" t="inlineStr">
        <is>
          <t>jerryratcliffe</t>
        </is>
      </c>
      <c r="D14" s="4" t="inlineStr">
        <is>
          <t>https://open-archaeo.info/post/aoristic/</t>
        </is>
      </c>
      <c r="E14" s="4" t="inlineStr">
        <is>
          <t>https://github.com/jerryratcliffe/aoristic</t>
        </is>
      </c>
      <c r="F14" s="4" t="inlineStr"/>
    </row>
    <row r="15">
      <c r="A15" s="4" t="inlineStr">
        <is>
          <t>aoristic-analysis</t>
        </is>
      </c>
      <c r="B15" s="4" t="inlineStr">
        <is>
          <t>PACKAGES AND LIBRARIES</t>
        </is>
      </c>
      <c r="C15" s="4" t="inlineStr">
        <is>
          <t>LimesLimits</t>
        </is>
      </c>
      <c r="D15" s="4" t="inlineStr">
        <is>
          <t>https://open-archaeo.info/post/aoristic-analysis/</t>
        </is>
      </c>
      <c r="E15" s="4" t="inlineStr">
        <is>
          <t>https://github.com/LimesLimits/aoristic-analysis</t>
        </is>
      </c>
      <c r="F15" s="4" t="inlineStr"/>
    </row>
    <row r="16">
      <c r="A16" s="4" t="inlineStr">
        <is>
          <t>archaeo-CRF</t>
        </is>
      </c>
      <c r="B16" s="4" t="inlineStr">
        <is>
          <t>PACKAGES AND LIBRARIES</t>
        </is>
      </c>
      <c r="C16" s="4" t="inlineStr">
        <is>
          <t>alexbrandsen</t>
        </is>
      </c>
      <c r="D16" s="4" t="inlineStr">
        <is>
          <t>https://open-archaeo.info/post/archaeo-crf/</t>
        </is>
      </c>
      <c r="E16" s="4" t="inlineStr">
        <is>
          <t>https://github.com/alexbrandsen/archaeo-CRF</t>
        </is>
      </c>
      <c r="F16" s="4" t="inlineStr"/>
    </row>
    <row r="17">
      <c r="A17" s="4" t="inlineStr">
        <is>
          <t>ArchaeoAstroInsight</t>
        </is>
      </c>
      <c r="B17" s="4" t="inlineStr">
        <is>
          <t>PACKAGES AND LIBRARIES</t>
        </is>
      </c>
      <c r="C17" s="4" t="inlineStr">
        <is>
          <t>marcfrincu</t>
        </is>
      </c>
      <c r="D17" s="4" t="inlineStr">
        <is>
          <t>https://open-archaeo.info/post/archaeoastroinsight/</t>
        </is>
      </c>
      <c r="E17" s="4" t="inlineStr">
        <is>
          <t>https://github.com/marcfrincu/ArchaeoAstroInsight</t>
        </is>
      </c>
      <c r="F17" s="4" t="inlineStr"/>
    </row>
    <row r="18">
      <c r="A18" s="4" t="inlineStr">
        <is>
          <t>ArchaeoCal</t>
        </is>
      </c>
      <c r="B18" s="4" t="inlineStr">
        <is>
          <t>PACKAGES AND LIBRARIES</t>
        </is>
      </c>
      <c r="C18" s="4" t="inlineStr">
        <is>
          <t>nfrerebeau</t>
        </is>
      </c>
      <c r="D18" s="4" t="inlineStr">
        <is>
          <t>https://open-archaeo.info/post/archaeocal/</t>
        </is>
      </c>
      <c r="E18" s="4" t="inlineStr">
        <is>
          <t>https://github.com/nfrerebeau/ArchaeoCal</t>
        </is>
      </c>
      <c r="F18" s="4" t="inlineStr"/>
    </row>
    <row r="19">
      <c r="A19" s="4" t="inlineStr">
        <is>
          <t>ArchaeoChron</t>
        </is>
      </c>
      <c r="B19" s="4" t="inlineStr">
        <is>
          <t>PACKAGES AND LIBRARIES</t>
        </is>
      </c>
      <c r="C19" s="4" t="inlineStr">
        <is>
          <t>philippe-a; marieannevibet</t>
        </is>
      </c>
      <c r="D19" s="4" t="inlineStr">
        <is>
          <t>https://open-archaeo.info/post/archaeochron/</t>
        </is>
      </c>
      <c r="E19" s="4" t="inlineStr">
        <is>
          <t>https://github.com/philippe-a/ArchaeoChron</t>
        </is>
      </c>
      <c r="F19" s="4" t="inlineStr"/>
    </row>
    <row r="20">
      <c r="A20" s="4" t="inlineStr">
        <is>
          <t>ArchaeoData</t>
        </is>
      </c>
      <c r="B20" s="4" t="inlineStr">
        <is>
          <t>PACKAGES AND LIBRARIES</t>
        </is>
      </c>
      <c r="C20" s="4" t="inlineStr">
        <is>
          <t>nfrerebeau</t>
        </is>
      </c>
      <c r="D20" s="4" t="inlineStr">
        <is>
          <t>https://open-archaeo.info/post/archaeodata/</t>
        </is>
      </c>
      <c r="E20" s="4" t="inlineStr">
        <is>
          <t>https://github.com/nfrerebeau/ArchaeoData</t>
        </is>
      </c>
      <c r="F20" s="4" t="inlineStr"/>
    </row>
    <row r="21">
      <c r="A21" s="4" t="inlineStr">
        <is>
          <t>ArchaeoLines</t>
        </is>
      </c>
      <c r="B21" s="4" t="inlineStr">
        <is>
          <t>PACKAGES AND LIBRARIES</t>
        </is>
      </c>
      <c r="C21" s="4" t="inlineStr">
        <is>
          <t>stellarium</t>
        </is>
      </c>
      <c r="D21" s="4" t="inlineStr">
        <is>
          <t>https://open-archaeo.info/post/archaeolines/</t>
        </is>
      </c>
      <c r="E21" s="4" t="inlineStr">
        <is>
          <t>https://github.com/Stellarium/stellarium/tree/master/plugins/ArchaeoLines</t>
        </is>
      </c>
      <c r="F21" s="4" t="inlineStr"/>
    </row>
    <row r="22">
      <c r="A22" s="4" t="inlineStr">
        <is>
          <t>archaeological-survey-location-collector</t>
        </is>
      </c>
      <c r="B22" s="4" t="inlineStr">
        <is>
          <t>PACKAGES AND LIBRARIES</t>
        </is>
      </c>
      <c r="C22" s="4" t="inlineStr">
        <is>
          <t>anatolian</t>
        </is>
      </c>
      <c r="D22" s="4" t="inlineStr">
        <is>
          <t>https://open-archaeo.info/post/archaeological-survey-location-collector/</t>
        </is>
      </c>
      <c r="E22" s="4" t="inlineStr">
        <is>
          <t>https://github.com/anatolian/archaeological-object-sharing/tree/master/SurveyCollector</t>
        </is>
      </c>
      <c r="F22" s="4" t="inlineStr"/>
    </row>
    <row r="23">
      <c r="A23" s="4" t="inlineStr">
        <is>
          <t>archaeology-data-service</t>
        </is>
      </c>
      <c r="B23" s="4" t="inlineStr">
        <is>
          <t>PACKAGES AND LIBRARIES</t>
        </is>
      </c>
      <c r="C23" s="4" t="inlineStr">
        <is>
          <t>anatolian</t>
        </is>
      </c>
      <c r="D23" s="4" t="inlineStr">
        <is>
          <t>https://open-archaeo.info/post/archaeology-data-service/</t>
        </is>
      </c>
      <c r="E23" s="4" t="inlineStr">
        <is>
          <t>https://github.com/anatolian/archaeology-data-service</t>
        </is>
      </c>
      <c r="F23" s="4" t="inlineStr"/>
    </row>
    <row r="24">
      <c r="A24" s="4" t="inlineStr">
        <is>
          <t>archaeology-object-data-collector-app</t>
        </is>
      </c>
      <c r="B24" s="4" t="inlineStr">
        <is>
          <t>PACKAGES AND LIBRARIES</t>
        </is>
      </c>
      <c r="C24" s="4" t="inlineStr">
        <is>
          <t>anatolian</t>
        </is>
      </c>
      <c r="D24" s="4" t="inlineStr">
        <is>
          <t>https://open-archaeo.info/post/archaeology-object-data-collector-app/</t>
        </is>
      </c>
      <c r="E24" s="4" t="inlineStr">
        <is>
          <t>https://github.com/anatolian/archaeology-object-data-collector-app</t>
        </is>
      </c>
      <c r="F24" s="4" t="inlineStr"/>
    </row>
    <row r="25">
      <c r="A25" s="4" t="inlineStr">
        <is>
          <t>ArchaeolPhytoliths</t>
        </is>
      </c>
      <c r="B25" s="4" t="inlineStr">
        <is>
          <t>PACKAGES AND LIBRARIES</t>
        </is>
      </c>
      <c r="C25" s="4" t="inlineStr">
        <is>
          <t>iberganzo</t>
        </is>
      </c>
      <c r="D25" s="4" t="inlineStr">
        <is>
          <t>https://open-archaeo.info/post/archaeolphytoliths/</t>
        </is>
      </c>
      <c r="E25" s="4" t="inlineStr">
        <is>
          <t>https://github.com/iberganzo/ArchaeolPhytoliths</t>
        </is>
      </c>
      <c r="F25" s="4" t="inlineStr"/>
    </row>
    <row r="26">
      <c r="A26" s="4" t="inlineStr">
        <is>
          <t>ArchaeoPhases</t>
        </is>
      </c>
      <c r="B26" s="4" t="inlineStr">
        <is>
          <t>PACKAGES AND LIBRARIES</t>
        </is>
      </c>
      <c r="C26" s="4" t="inlineStr">
        <is>
          <t>philippe-a; marieannevibet; tsdye; nfrerebeau</t>
        </is>
      </c>
      <c r="D26" s="4" t="inlineStr">
        <is>
          <t>https://open-archaeo.info/post/archaeophases/</t>
        </is>
      </c>
      <c r="E26" s="4" t="inlineStr">
        <is>
          <t>https://github.com/philippe-a/ArchaeoPhases</t>
        </is>
      </c>
      <c r="F26" s="4" t="inlineStr"/>
    </row>
    <row r="27">
      <c r="A27" s="4" t="inlineStr">
        <is>
          <t>archaeosrp</t>
        </is>
      </c>
      <c r="B27" s="4" t="inlineStr">
        <is>
          <t>PACKAGES AND LIBRARIES</t>
        </is>
      </c>
      <c r="C27" s="4" t="inlineStr">
        <is>
          <t>seanbergin</t>
        </is>
      </c>
      <c r="D27" s="4" t="inlineStr">
        <is>
          <t>https://open-archaeo.info/post/archaeosrp/</t>
        </is>
      </c>
      <c r="E27" s="4" t="inlineStr">
        <is>
          <t>https://github.com/seanbergin/archaeosrp</t>
        </is>
      </c>
      <c r="F27" s="4" t="inlineStr"/>
    </row>
    <row r="28">
      <c r="A28" s="4" t="inlineStr">
        <is>
          <t>archchron</t>
        </is>
      </c>
      <c r="B28" s="4" t="inlineStr">
        <is>
          <t>PACKAGES AND LIBRARIES</t>
        </is>
      </c>
      <c r="C28" s="4" t="inlineStr">
        <is>
          <t>oliver.nakoinz</t>
        </is>
      </c>
      <c r="D28" s="4" t="inlineStr">
        <is>
          <t>https://open-archaeo.info/post/archchron/</t>
        </is>
      </c>
      <c r="E28" s="4" t="inlineStr">
        <is>
          <t>https://gitlab.com/oliver-n/archchron</t>
        </is>
      </c>
      <c r="F28" s="4" t="inlineStr"/>
    </row>
    <row r="29">
      <c r="A29" s="4" t="inlineStr">
        <is>
          <t>archeofrag</t>
        </is>
      </c>
      <c r="B29" s="4" t="inlineStr">
        <is>
          <t>PACKAGES AND LIBRARIES</t>
        </is>
      </c>
      <c r="C29" s="4" t="inlineStr">
        <is>
          <t>sebastien-plutniak</t>
        </is>
      </c>
      <c r="D29" s="4" t="inlineStr">
        <is>
          <t>https://open-archaeo.info/post/archeofrag/</t>
        </is>
      </c>
      <c r="E29" s="4" t="inlineStr">
        <is>
          <t>https://github.com/sebastien-plutniak/archeofrag</t>
        </is>
      </c>
      <c r="F29" s="4" t="inlineStr"/>
    </row>
    <row r="30">
      <c r="A30" s="4" t="inlineStr">
        <is>
          <t>archeoViz</t>
        </is>
      </c>
      <c r="B30" s="4" t="inlineStr">
        <is>
          <t>PACKAGES AND LIBRARIES</t>
        </is>
      </c>
      <c r="C30" s="4" t="inlineStr">
        <is>
          <t>sebastien-plutniak</t>
        </is>
      </c>
      <c r="D30" s="4" t="inlineStr">
        <is>
          <t>https://open-archaeo.info/post/archeoviz/</t>
        </is>
      </c>
      <c r="E30" s="4" t="inlineStr">
        <is>
          <t>https://github.com/sebastien-plutniak/archeoViz</t>
        </is>
      </c>
      <c r="F30" s="4" t="inlineStr"/>
    </row>
    <row r="31">
      <c r="A31" s="4" t="inlineStr">
        <is>
          <t>ArchJobCAD</t>
        </is>
      </c>
      <c r="B31" s="4" t="inlineStr">
        <is>
          <t>PACKAGES AND LIBRARIES</t>
        </is>
      </c>
      <c r="C31" s="4" t="inlineStr">
        <is>
          <t>ISAAKiel</t>
        </is>
      </c>
      <c r="D31" s="4" t="inlineStr">
        <is>
          <t>https://open-archaeo.info/post/archjobcad/</t>
        </is>
      </c>
      <c r="E31" s="4" t="inlineStr">
        <is>
          <t>https://github.com/ISAAKiel/ArchJobCAD</t>
        </is>
      </c>
      <c r="F31" s="4" t="inlineStr"/>
    </row>
    <row r="32">
      <c r="A32" s="4" t="inlineStr">
        <is>
          <t>archSeries</t>
        </is>
      </c>
      <c r="B32" s="4" t="inlineStr">
        <is>
          <t>PACKAGES AND LIBRARIES</t>
        </is>
      </c>
      <c r="C32" s="4" t="inlineStr">
        <is>
          <t>davidcorton</t>
        </is>
      </c>
      <c r="D32" s="4" t="inlineStr">
        <is>
          <t>https://open-archaeo.info/post/archseries/</t>
        </is>
      </c>
      <c r="E32" s="4" t="inlineStr">
        <is>
          <t>https://github.com/davidcorton/archSeries</t>
        </is>
      </c>
      <c r="F32" s="4" t="inlineStr"/>
    </row>
    <row r="33">
      <c r="A33" s="4" t="inlineStr">
        <is>
          <t>ArkGrid</t>
        </is>
      </c>
      <c r="B33" s="4" t="inlineStr">
        <is>
          <t>PACKAGES AND LIBRARIES</t>
        </is>
      </c>
      <c r="C33" s="4" t="inlineStr">
        <is>
          <t>L-P Archaeology</t>
        </is>
      </c>
      <c r="D33" s="4" t="inlineStr">
        <is>
          <t>https://open-archaeo.info/post/arkgrid/</t>
        </is>
      </c>
      <c r="E33" s="4" t="inlineStr">
        <is>
          <t>https://github.com/lparchaeology/ArkGrid</t>
        </is>
      </c>
      <c r="F33" s="4" t="inlineStr"/>
    </row>
    <row r="34">
      <c r="A34" s="4" t="inlineStr">
        <is>
          <t>arkhe</t>
        </is>
      </c>
      <c r="B34" s="4" t="inlineStr">
        <is>
          <t>PACKAGES AND LIBRARIES</t>
        </is>
      </c>
      <c r="C34" s="4" t="inlineStr">
        <is>
          <t>tesselle</t>
        </is>
      </c>
      <c r="D34" s="4" t="inlineStr">
        <is>
          <t>https://open-archaeo.info/post/arkhe/</t>
        </is>
      </c>
      <c r="E34" s="4" t="inlineStr">
        <is>
          <t>https://github.com/tesselle/arkhe</t>
        </is>
      </c>
      <c r="F34" s="4" t="inlineStr"/>
    </row>
    <row r="35">
      <c r="A35" s="4" t="inlineStr">
        <is>
          <t>ArkMatrix</t>
        </is>
      </c>
      <c r="B35" s="4" t="inlineStr">
        <is>
          <t>PACKAGES AND LIBRARIES</t>
        </is>
      </c>
      <c r="C35" s="4" t="inlineStr">
        <is>
          <t>arklab</t>
        </is>
      </c>
      <c r="D35" s="4" t="inlineStr">
        <is>
          <t>https://open-archaeo.info/post/arkmatrix/</t>
        </is>
      </c>
      <c r="E35" s="4" t="inlineStr">
        <is>
          <t>https://gitlab.com/arklab/ArkMatrix</t>
        </is>
      </c>
      <c r="F35" s="4" t="inlineStr"/>
    </row>
    <row r="36">
      <c r="A36" s="4" t="inlineStr">
        <is>
          <t>ArkSpatial</t>
        </is>
      </c>
      <c r="B36" s="4" t="inlineStr">
        <is>
          <t>PACKAGES AND LIBRARIES</t>
        </is>
      </c>
      <c r="C36" s="4" t="inlineStr">
        <is>
          <t>L-P Archaeology</t>
        </is>
      </c>
      <c r="D36" s="4" t="inlineStr">
        <is>
          <t>https://open-archaeo.info/post/arkspatial/</t>
        </is>
      </c>
      <c r="E36" s="4" t="inlineStr">
        <is>
          <t>https://github.com/lparchaeology/ark-spatial</t>
        </is>
      </c>
      <c r="F36" s="4" t="inlineStr"/>
    </row>
    <row r="37">
      <c r="A37" s="4" t="inlineStr">
        <is>
          <t>Arothron</t>
        </is>
      </c>
      <c r="B37" s="4" t="inlineStr">
        <is>
          <t>PACKAGES AND LIBRARIES</t>
        </is>
      </c>
      <c r="C37" s="4" t="inlineStr">
        <is>
          <t>Arothron</t>
        </is>
      </c>
      <c r="D37" s="4" t="inlineStr">
        <is>
          <t>https://open-archaeo.info/post/arothron/</t>
        </is>
      </c>
      <c r="E37" s="4" t="inlineStr">
        <is>
          <t>https://github.com/Arothron/Arothron</t>
        </is>
      </c>
      <c r="F37" s="4" t="inlineStr"/>
    </row>
    <row r="38">
      <c r="A38" s="4" t="inlineStr">
        <is>
          <t>arshm-release</t>
        </is>
      </c>
      <c r="B38" s="4" t="inlineStr">
        <is>
          <t>PACKAGES AND LIBRARIES</t>
        </is>
      </c>
      <c r="C38" s="4" t="inlineStr">
        <is>
          <t>zacharyliu</t>
        </is>
      </c>
      <c r="D38" s="4" t="inlineStr">
        <is>
          <t>https://open-archaeo.info/post/arshm-release/</t>
        </is>
      </c>
      <c r="E38" s="4" t="inlineStr">
        <is>
          <t>https://github.com/zacharyliu/ARSHM</t>
        </is>
      </c>
      <c r="F38" s="4" t="inlineStr"/>
    </row>
    <row r="39">
      <c r="A39" s="4" t="inlineStr">
        <is>
          <t>Artifacts-Analyzer</t>
        </is>
      </c>
      <c r="B39" s="4" t="inlineStr">
        <is>
          <t>PACKAGES AND LIBRARIES</t>
        </is>
      </c>
      <c r="C39" s="4" t="inlineStr">
        <is>
          <t>Eythan31</t>
        </is>
      </c>
      <c r="D39" s="4" t="inlineStr">
        <is>
          <t>https://open-archaeo.info/post/artifacts-analyzer/</t>
        </is>
      </c>
      <c r="E39" s="4" t="inlineStr">
        <is>
          <t>https://github.com/Eythan31/Artifacts-Analyzer</t>
        </is>
      </c>
      <c r="F39" s="4" t="inlineStr"/>
    </row>
    <row r="40">
      <c r="A40" s="4" t="inlineStr">
        <is>
          <t>baorista</t>
        </is>
      </c>
      <c r="B40" s="4" t="inlineStr">
        <is>
          <t>PACKAGES AND LIBRARIES</t>
        </is>
      </c>
      <c r="C40" s="4" t="inlineStr">
        <is>
          <t>ercrema</t>
        </is>
      </c>
      <c r="D40" s="4" t="inlineStr">
        <is>
          <t>https://open-archaeo.info/post/baorista/</t>
        </is>
      </c>
      <c r="E40" s="4" t="inlineStr">
        <is>
          <t>https://github.com/ercrema/baorista</t>
        </is>
      </c>
      <c r="F40" s="4" t="inlineStr"/>
    </row>
    <row r="41">
      <c r="A41" s="4" t="inlineStr">
        <is>
          <t>baydem</t>
        </is>
      </c>
      <c r="B41" s="4" t="inlineStr">
        <is>
          <t>PACKAGES AND LIBRARIES</t>
        </is>
      </c>
      <c r="C41" s="4" t="inlineStr">
        <is>
          <t>MichaelHoltonPrice; bocinsky</t>
        </is>
      </c>
      <c r="D41" s="4" t="inlineStr">
        <is>
          <t>https://open-archaeo.info/post/baydem/</t>
        </is>
      </c>
      <c r="E41" s="4" t="inlineStr">
        <is>
          <t>https://github.com/MichaelHoltonPrice/baydem</t>
        </is>
      </c>
      <c r="F41" s="4" t="inlineStr"/>
    </row>
    <row r="42">
      <c r="A42" s="4" t="inlineStr">
        <is>
          <t>BayLum</t>
        </is>
      </c>
      <c r="B42" s="4" t="inlineStr">
        <is>
          <t>PACKAGES AND LIBRARIES</t>
        </is>
      </c>
      <c r="C42" s="4" t="inlineStr">
        <is>
          <t>philippe-a; RLumSK</t>
        </is>
      </c>
      <c r="D42" s="4" t="inlineStr">
        <is>
          <t>https://open-archaeo.info/post/baylum/</t>
        </is>
      </c>
      <c r="E42" s="4" t="inlineStr">
        <is>
          <t>https://github.com/philippe-a/BayLum</t>
        </is>
      </c>
      <c r="F42" s="4" t="inlineStr"/>
    </row>
    <row r="43">
      <c r="A43" s="4" t="inlineStr">
        <is>
          <t>Bchron</t>
        </is>
      </c>
      <c r="B43" s="4" t="inlineStr">
        <is>
          <t>PACKAGES AND LIBRARIES</t>
        </is>
      </c>
      <c r="C43" s="4" t="inlineStr">
        <is>
          <t>andrewcparnell</t>
        </is>
      </c>
      <c r="D43" s="4" t="inlineStr">
        <is>
          <t>https://open-archaeo.info/post/bchron/</t>
        </is>
      </c>
      <c r="E43" s="4" t="inlineStr">
        <is>
          <t>https://github.com/andrewcparnell/Bchron</t>
        </is>
      </c>
      <c r="F43" s="4" t="inlineStr"/>
    </row>
    <row r="44">
      <c r="A44" s="4" t="inlineStr">
        <is>
          <t>bioanth</t>
        </is>
      </c>
      <c r="B44" s="4" t="inlineStr">
        <is>
          <t>PACKAGES AND LIBRARIES</t>
        </is>
      </c>
      <c r="C44" s="4" t="inlineStr">
        <is>
          <t>geanes</t>
        </is>
      </c>
      <c r="D44" s="4" t="inlineStr">
        <is>
          <t>https://open-archaeo.info/post/bioanth/</t>
        </is>
      </c>
      <c r="E44" s="4" t="inlineStr">
        <is>
          <t>https://github.com/geanes/bioanth</t>
        </is>
      </c>
      <c r="F44" s="4" t="inlineStr"/>
    </row>
    <row r="45">
      <c r="A45" s="4" t="inlineStr">
        <is>
          <t>BioArch_R</t>
        </is>
      </c>
      <c r="B45" s="4" t="inlineStr">
        <is>
          <t>PACKAGES AND LIBRARIES</t>
        </is>
      </c>
      <c r="C45" s="4" t="inlineStr">
        <is>
          <t>AlisJay</t>
        </is>
      </c>
      <c r="D45" s="4" t="inlineStr">
        <is>
          <t>https://open-archaeo.info/post/bioarch_r/</t>
        </is>
      </c>
      <c r="E45" s="4" t="inlineStr">
        <is>
          <t>https://github.com/AlisJay/BioArch_R</t>
        </is>
      </c>
      <c r="F45" s="4" t="inlineStr"/>
    </row>
    <row r="46">
      <c r="A46" s="4" t="inlineStr">
        <is>
          <t>BioProfile</t>
        </is>
      </c>
      <c r="B46" s="4" t="inlineStr">
        <is>
          <t>PACKAGES AND LIBRARIES</t>
        </is>
      </c>
      <c r="C46" s="4" t="inlineStr">
        <is>
          <t>AlisJay</t>
        </is>
      </c>
      <c r="D46" s="4" t="inlineStr">
        <is>
          <t>https://open-archaeo.info/post/bioprofile/</t>
        </is>
      </c>
      <c r="E46" s="4" t="inlineStr">
        <is>
          <t>https://github.com/AlisJay/BioProfile</t>
        </is>
      </c>
      <c r="F46" s="4" t="inlineStr"/>
    </row>
    <row r="47">
      <c r="A47" s="4" t="inlineStr">
        <is>
          <t>bleiglas</t>
        </is>
      </c>
      <c r="B47" s="4" t="inlineStr">
        <is>
          <t>PACKAGES AND LIBRARIES</t>
        </is>
      </c>
      <c r="C47" s="4" t="inlineStr">
        <is>
          <t>nevrome; stschiff</t>
        </is>
      </c>
      <c r="D47" s="4" t="inlineStr">
        <is>
          <t>https://open-archaeo.info/post/bleiglas/</t>
        </is>
      </c>
      <c r="E47" s="4" t="inlineStr">
        <is>
          <t>https://github.com/nevrome/bleiglas</t>
        </is>
      </c>
      <c r="F47" s="4" t="inlineStr"/>
    </row>
    <row r="48">
      <c r="A48" s="4" t="inlineStr">
        <is>
          <t>c14</t>
        </is>
      </c>
      <c r="B48" s="4" t="inlineStr">
        <is>
          <t>PACKAGES AND LIBRARIES</t>
        </is>
      </c>
      <c r="C48" s="4" t="inlineStr">
        <is>
          <t>joeroe</t>
        </is>
      </c>
      <c r="D48" s="4" t="inlineStr">
        <is>
          <t>https://open-archaeo.info/post/c14/</t>
        </is>
      </c>
      <c r="E48" s="4" t="inlineStr">
        <is>
          <t>https://github.com/joeroe/c14</t>
        </is>
      </c>
      <c r="F48" s="4" t="inlineStr"/>
    </row>
    <row r="49">
      <c r="A49" s="4" t="inlineStr">
        <is>
          <t>c14bazAAR</t>
        </is>
      </c>
      <c r="B49" s="4" t="inlineStr">
        <is>
          <t>PACKAGES AND LIBRARIES</t>
        </is>
      </c>
      <c r="C49" s="4" t="inlineStr">
        <is>
          <t>ISAAKiel</t>
        </is>
      </c>
      <c r="D49" s="4" t="inlineStr">
        <is>
          <t>https://open-archaeo.info/post/c14bazaar/</t>
        </is>
      </c>
      <c r="E49" s="4" t="inlineStr">
        <is>
          <t>https://github.com/ISAAKiel/c14bazAAR</t>
        </is>
      </c>
      <c r="F49" s="4" t="inlineStr"/>
    </row>
    <row r="50">
      <c r="A50" s="4" t="inlineStr">
        <is>
          <t>c14Intervals</t>
        </is>
      </c>
      <c r="B50" s="4" t="inlineStr">
        <is>
          <t>PACKAGES AND LIBRARIES</t>
        </is>
      </c>
      <c r="C50" s="4" t="inlineStr">
        <is>
          <t>jallison7</t>
        </is>
      </c>
      <c r="D50" s="4" t="inlineStr">
        <is>
          <t>https://open-archaeo.info/post/c14intervals/</t>
        </is>
      </c>
      <c r="E50" s="4" t="inlineStr">
        <is>
          <t>https://github.com/jallison7/c14Intervals</t>
        </is>
      </c>
      <c r="F50" s="4" t="inlineStr"/>
    </row>
    <row r="51">
      <c r="A51" s="4" t="inlineStr">
        <is>
          <t>CAinterprTools</t>
        </is>
      </c>
      <c r="B51" s="4" t="inlineStr">
        <is>
          <t>PACKAGES AND LIBRARIES</t>
        </is>
      </c>
      <c r="C51" s="4" t="inlineStr">
        <is>
          <t>gianmarcoalberti</t>
        </is>
      </c>
      <c r="D51" s="4" t="inlineStr">
        <is>
          <t>https://open-archaeo.info/post/cainterprtools/</t>
        </is>
      </c>
      <c r="E51" s="4" t="inlineStr">
        <is>
          <t>https://github.com/gianmarcoalberti/CAinterprTools</t>
        </is>
      </c>
      <c r="F51" s="4" t="inlineStr"/>
    </row>
    <row r="52">
      <c r="A52" s="4" t="inlineStr">
        <is>
          <t>carbon14</t>
        </is>
      </c>
      <c r="B52" s="4" t="inlineStr">
        <is>
          <t>PACKAGES AND LIBRARIES</t>
        </is>
      </c>
      <c r="C52" s="4" t="inlineStr">
        <is>
          <t>paleolimbot</t>
        </is>
      </c>
      <c r="D52" s="4" t="inlineStr">
        <is>
          <t>https://open-archaeo.info/post/carbon14/</t>
        </is>
      </c>
      <c r="E52" s="4" t="inlineStr">
        <is>
          <t>https://github.com/paleolimbot/carbon14</t>
        </is>
      </c>
      <c r="F52" s="4" t="inlineStr"/>
    </row>
    <row r="53">
      <c r="A53" s="4" t="inlineStr">
        <is>
          <t>carbondate</t>
        </is>
      </c>
      <c r="B53" s="4" t="inlineStr">
        <is>
          <t>PACKAGES AND LIBRARIES</t>
        </is>
      </c>
      <c r="C53" s="4" t="inlineStr">
        <is>
          <t>TJHeaton; sara-amira-alassam</t>
        </is>
      </c>
      <c r="D53" s="4" t="inlineStr">
        <is>
          <t>https://open-archaeo.info/post/carbondate/</t>
        </is>
      </c>
      <c r="E53" s="4" t="inlineStr">
        <is>
          <t>https://github.com/TJHeaton/carbondate</t>
        </is>
      </c>
      <c r="F53" s="4" t="inlineStr"/>
    </row>
    <row r="54">
      <c r="A54" s="4" t="inlineStr">
        <is>
          <t>CAseriation</t>
        </is>
      </c>
      <c r="B54" s="4" t="inlineStr">
        <is>
          <t>PACKAGES AND LIBRARIES</t>
        </is>
      </c>
      <c r="C54" s="4" t="inlineStr">
        <is>
          <t>gianmarcoalberti</t>
        </is>
      </c>
      <c r="D54" s="4" t="inlineStr">
        <is>
          <t>https://open-archaeo.info/post/caseriation/</t>
        </is>
      </c>
      <c r="E54" s="4" t="inlineStr">
        <is>
          <t>https://github.com/gianmarcoalberti/CAseriation</t>
        </is>
      </c>
      <c r="F54" s="4" t="inlineStr"/>
    </row>
    <row r="55">
      <c r="A55" s="4" t="inlineStr">
        <is>
          <t>cawd</t>
        </is>
      </c>
      <c r="B55" s="4" t="inlineStr">
        <is>
          <t>PACKAGES AND LIBRARIES</t>
        </is>
      </c>
      <c r="C55" s="4" t="inlineStr">
        <is>
          <t>sfsheath</t>
        </is>
      </c>
      <c r="D55" s="4" t="inlineStr">
        <is>
          <t>https://open-archaeo.info/post/cawd/</t>
        </is>
      </c>
      <c r="E55" s="4" t="inlineStr">
        <is>
          <t>https://github.com/sfsheath/cawd</t>
        </is>
      </c>
      <c r="F55" s="4" t="inlineStr"/>
    </row>
    <row r="56">
      <c r="A56" s="4" t="inlineStr">
        <is>
          <t>CeraMatch</t>
        </is>
      </c>
      <c r="B56" s="4" t="inlineStr">
        <is>
          <t>PACKAGES AND LIBRARIES</t>
        </is>
      </c>
      <c r="C56" s="4" t="inlineStr">
        <is>
          <t>demjanp</t>
        </is>
      </c>
      <c r="D56" s="4" t="inlineStr">
        <is>
          <t>https://open-archaeo.info/post/ceramatch/</t>
        </is>
      </c>
      <c r="E56" s="4" t="inlineStr">
        <is>
          <t>https://github.com/demjanp/CeraMatch</t>
        </is>
      </c>
      <c r="F56" s="4" t="inlineStr"/>
    </row>
    <row r="57">
      <c r="A57" s="4" t="inlineStr">
        <is>
          <t>charcoalhearths</t>
        </is>
      </c>
      <c r="B57" s="4" t="inlineStr">
        <is>
          <t>PACKAGES AND LIBRARIES</t>
        </is>
      </c>
      <c r="C57" s="4" t="inlineStr">
        <is>
          <t>jeffblackadar</t>
        </is>
      </c>
      <c r="D57" s="4" t="inlineStr">
        <is>
          <t>https://open-archaeo.info/post/charcoalhearths/</t>
        </is>
      </c>
      <c r="E57" s="4" t="inlineStr">
        <is>
          <t>https://github.com/jeffblackadar/charcoalhearths</t>
        </is>
      </c>
      <c r="F57" s="4" t="inlineStr"/>
    </row>
    <row r="58">
      <c r="A58" s="4" t="inlineStr">
        <is>
          <t>chrongler</t>
        </is>
      </c>
      <c r="B58" s="4" t="inlineStr">
        <is>
          <t>PACKAGES AND LIBRARIES</t>
        </is>
      </c>
      <c r="C58" s="4" t="inlineStr">
        <is>
          <t>lsteinmann</t>
        </is>
      </c>
      <c r="D58" s="4" t="inlineStr">
        <is>
          <t>https://open-archaeo.info/post/chrongler/</t>
        </is>
      </c>
      <c r="E58" s="4" t="inlineStr">
        <is>
          <t>https://github.com/lsteinmann/chrongler</t>
        </is>
      </c>
      <c r="F58" s="4" t="inlineStr"/>
    </row>
    <row r="59">
      <c r="A59" s="4" t="inlineStr">
        <is>
          <t>chronochrt</t>
        </is>
      </c>
      <c r="B59" s="4" t="inlineStr">
        <is>
          <t>PACKAGES AND LIBRARIES</t>
        </is>
      </c>
      <c r="C59" s="4" t="inlineStr">
        <is>
          <t>roset</t>
        </is>
      </c>
      <c r="D59" s="4" t="inlineStr">
        <is>
          <t>https://open-archaeo.info/post/chronochrt/</t>
        </is>
      </c>
      <c r="E59" s="4" t="inlineStr">
        <is>
          <t>https://gitlab.com/roset/chronochrt</t>
        </is>
      </c>
      <c r="F59" s="4" t="inlineStr"/>
    </row>
    <row r="60">
      <c r="A60" s="4" t="inlineStr">
        <is>
          <t>Chronophage</t>
        </is>
      </c>
      <c r="B60" s="4" t="inlineStr">
        <is>
          <t>PACKAGES AND LIBRARIES</t>
        </is>
      </c>
      <c r="C60" s="4" t="inlineStr">
        <is>
          <t>Bruno Desachy</t>
        </is>
      </c>
      <c r="D60" s="4" t="inlineStr">
        <is>
          <t>https://open-archaeo.info/post/chronophage/</t>
        </is>
      </c>
      <c r="E60" s="4" t="inlineStr">
        <is>
          <t>https://abp.hypotheses.org/chronophage</t>
        </is>
      </c>
      <c r="F60" s="4" t="inlineStr"/>
    </row>
    <row r="61">
      <c r="A61" s="4" t="inlineStr">
        <is>
          <t>chronup</t>
        </is>
      </c>
      <c r="B61" s="4" t="inlineStr">
        <is>
          <t>PACKAGES AND LIBRARIES</t>
        </is>
      </c>
      <c r="C61" s="4" t="inlineStr">
        <is>
          <t>wccarleton</t>
        </is>
      </c>
      <c r="D61" s="4" t="inlineStr">
        <is>
          <t>https://open-archaeo.info/post/chronup/</t>
        </is>
      </c>
      <c r="E61" s="4" t="inlineStr">
        <is>
          <t>https://github.com/wccarleton/chronup</t>
        </is>
      </c>
      <c r="F61" s="4" t="inlineStr"/>
    </row>
    <row r="62">
      <c r="A62" s="4" t="inlineStr">
        <is>
          <t>clam</t>
        </is>
      </c>
      <c r="B62" s="4" t="inlineStr">
        <is>
          <t>PACKAGES AND LIBRARIES</t>
        </is>
      </c>
      <c r="C62" s="4" t="inlineStr">
        <is>
          <t>Maarten14C</t>
        </is>
      </c>
      <c r="D62" s="4" t="inlineStr">
        <is>
          <t>https://open-archaeo.info/post/clam/</t>
        </is>
      </c>
      <c r="E62" s="4" t="inlineStr">
        <is>
          <t>https://github.com/Maarten14C/clam</t>
        </is>
      </c>
      <c r="F62" s="4" t="inlineStr"/>
    </row>
    <row r="63">
      <c r="A63" s="4" t="inlineStr">
        <is>
          <t>cleanc14</t>
        </is>
      </c>
      <c r="B63" s="4" t="inlineStr">
        <is>
          <t>PACKAGES AND LIBRARIES</t>
        </is>
      </c>
      <c r="C63" s="4" t="inlineStr">
        <is>
          <t>joeroe</t>
        </is>
      </c>
      <c r="D63" s="4" t="inlineStr">
        <is>
          <t>https://open-archaeo.info/post/cleanc14/</t>
        </is>
      </c>
      <c r="E63" s="4" t="inlineStr">
        <is>
          <t>https://github.com/joeroe/cleanc14</t>
        </is>
      </c>
      <c r="F63" s="4" t="inlineStr"/>
    </row>
    <row r="64">
      <c r="A64" s="4" t="inlineStr">
        <is>
          <t>clustering_14C</t>
        </is>
      </c>
      <c r="B64" s="4" t="inlineStr">
        <is>
          <t>PACKAGES AND LIBRARIES</t>
        </is>
      </c>
      <c r="C64" s="4" t="inlineStr">
        <is>
          <t>demjanp</t>
        </is>
      </c>
      <c r="D64" s="4" t="inlineStr">
        <is>
          <t>https://open-archaeo.info/post/clustering_14c/</t>
        </is>
      </c>
      <c r="E64" s="4" t="inlineStr">
        <is>
          <t>https://github.com/demjanp/clustering_14C</t>
        </is>
      </c>
      <c r="F64" s="4" t="inlineStr"/>
    </row>
    <row r="65">
      <c r="A65" s="4" t="inlineStr">
        <is>
          <t>CoccionCeramica</t>
        </is>
      </c>
      <c r="B65" s="4" t="inlineStr">
        <is>
          <t>PACKAGES AND LIBRARIES</t>
        </is>
      </c>
      <c r="C65" s="4" t="inlineStr">
        <is>
          <t>marcelocardillo</t>
        </is>
      </c>
      <c r="D65" s="4" t="inlineStr">
        <is>
          <t>https://open-archaeo.info/post/coccionceramica/</t>
        </is>
      </c>
      <c r="E65" s="4" t="inlineStr">
        <is>
          <t>https://github.com/marcelocardillo/CoccionCeramica</t>
        </is>
      </c>
      <c r="F65" s="4" t="inlineStr"/>
    </row>
    <row r="66">
      <c r="A66" s="4" t="inlineStr">
        <is>
          <t>coffee</t>
        </is>
      </c>
      <c r="B66" s="4" t="inlineStr">
        <is>
          <t>PACKAGES AND LIBRARIES</t>
        </is>
      </c>
      <c r="C66" s="4" t="inlineStr">
        <is>
          <t>Maarten14C</t>
        </is>
      </c>
      <c r="D66" s="4" t="inlineStr">
        <is>
          <t>https://open-archaeo.info/post/coffee/</t>
        </is>
      </c>
      <c r="E66" s="4" t="inlineStr">
        <is>
          <t>https://github.com/Maarten14C/coffee</t>
        </is>
      </c>
      <c r="F66" s="4" t="inlineStr"/>
    </row>
    <row r="67">
      <c r="A67" s="4" t="inlineStr">
        <is>
          <t>cran-JSDNE</t>
        </is>
      </c>
      <c r="B67" s="4" t="inlineStr">
        <is>
          <t>PACKAGES AND LIBRARIES</t>
        </is>
      </c>
      <c r="C67" s="4" t="inlineStr">
        <is>
          <t>jisunjang19</t>
        </is>
      </c>
      <c r="D67" s="4" t="inlineStr">
        <is>
          <t>https://open-archaeo.info/post/cran-jsdne/</t>
        </is>
      </c>
      <c r="E67" s="4" t="inlineStr">
        <is>
          <t>https://github.com/jisunjang19/JSDNE</t>
        </is>
      </c>
      <c r="F67" s="4" t="inlineStr"/>
    </row>
    <row r="68">
      <c r="A68" s="4" t="inlineStr">
        <is>
          <t>crom</t>
        </is>
      </c>
      <c r="B68" s="4" t="inlineStr">
        <is>
          <t>PACKAGES AND LIBRARIES</t>
        </is>
      </c>
      <c r="C68" s="4" t="inlineStr">
        <is>
          <t>thegetty</t>
        </is>
      </c>
      <c r="D68" s="4" t="inlineStr">
        <is>
          <t>https://open-archaeo.info/post/crom/</t>
        </is>
      </c>
      <c r="E68" s="4" t="inlineStr">
        <is>
          <t>https://github.com/thegetty/crom</t>
        </is>
      </c>
      <c r="F68" s="4" t="inlineStr"/>
    </row>
    <row r="69">
      <c r="A69" s="4" t="inlineStr">
        <is>
          <t>CropPro</t>
        </is>
      </c>
      <c r="B69" s="4" t="inlineStr">
        <is>
          <t>PACKAGES AND LIBRARIES</t>
        </is>
      </c>
      <c r="C69" s="4" t="inlineStr">
        <is>
          <t>CropPro-package</t>
        </is>
      </c>
      <c r="D69" s="4" t="inlineStr">
        <is>
          <t>https://open-archaeo.info/post/croppro/</t>
        </is>
      </c>
      <c r="E69" s="4" t="inlineStr">
        <is>
          <t>https://github.com/CropPro-package/CropPro</t>
        </is>
      </c>
      <c r="F69" s="4" t="inlineStr"/>
    </row>
    <row r="70">
      <c r="A70" s="4" t="inlineStr">
        <is>
          <t>cTransmission</t>
        </is>
      </c>
      <c r="B70" s="4" t="inlineStr">
        <is>
          <t>PACKAGES AND LIBRARIES</t>
        </is>
      </c>
      <c r="C70" s="4" t="inlineStr">
        <is>
          <t>ercrema; Anne Kandler</t>
        </is>
      </c>
      <c r="D70" s="4" t="inlineStr">
        <is>
          <t>https://open-archaeo.info/post/ctransmission/</t>
        </is>
      </c>
      <c r="E70" s="4" t="inlineStr">
        <is>
          <t>https://github.com/ercrema/cTransmission</t>
        </is>
      </c>
      <c r="F70" s="4" t="inlineStr"/>
    </row>
    <row r="71">
      <c r="A71" s="4" t="inlineStr">
        <is>
          <t>CuneiPainter</t>
        </is>
      </c>
      <c r="B71" s="4" t="inlineStr">
        <is>
          <t>PACKAGES AND LIBRARIES</t>
        </is>
      </c>
      <c r="C71" s="4" t="inlineStr">
        <is>
          <t>situx</t>
        </is>
      </c>
      <c r="D71" s="4" t="inlineStr">
        <is>
          <t>https://open-archaeo.info/post/cuneipainter/</t>
        </is>
      </c>
      <c r="E71" s="4" t="inlineStr">
        <is>
          <t>https://github.com/situx/CuneiPainter</t>
        </is>
      </c>
      <c r="F71" s="4" t="inlineStr"/>
    </row>
    <row r="72">
      <c r="A72" s="4" t="inlineStr">
        <is>
          <t>datplot</t>
        </is>
      </c>
      <c r="B72" s="4" t="inlineStr">
        <is>
          <t>PACKAGES AND LIBRARIES</t>
        </is>
      </c>
      <c r="C72" s="4" t="inlineStr">
        <is>
          <t>lsteinmann; Barbora Weissova</t>
        </is>
      </c>
      <c r="D72" s="4" t="inlineStr">
        <is>
          <t>https://open-archaeo.info/post/datplot/</t>
        </is>
      </c>
      <c r="E72" s="4" t="inlineStr">
        <is>
          <t>https://github.com/lsteinmann/datplot</t>
        </is>
      </c>
      <c r="F72" s="4" t="inlineStr"/>
    </row>
    <row r="73">
      <c r="A73" s="4" t="inlineStr">
        <is>
          <t>demjanp</t>
        </is>
      </c>
      <c r="B73" s="4" t="inlineStr">
        <is>
          <t>PACKAGES AND LIBRARIES</t>
        </is>
      </c>
      <c r="C73" s="4" t="inlineStr">
        <is>
          <t>demjanp</t>
        </is>
      </c>
      <c r="D73" s="4" t="inlineStr">
        <is>
          <t>https://open-archaeo.info/post/demjanp/</t>
        </is>
      </c>
      <c r="E73" s="4" t="inlineStr">
        <is>
          <t>https://github.com/demjanp/demjanp</t>
        </is>
      </c>
      <c r="F73" s="4" t="inlineStr"/>
    </row>
    <row r="74">
      <c r="A74" s="4" t="inlineStr">
        <is>
          <t>dendroNetwork</t>
        </is>
      </c>
      <c r="B74" s="4" t="inlineStr">
        <is>
          <t>PACKAGES AND LIBRARIES</t>
        </is>
      </c>
      <c r="C74" s="4" t="inlineStr">
        <is>
          <t>ropensci; RonaldVisser</t>
        </is>
      </c>
      <c r="D74" s="4" t="inlineStr">
        <is>
          <t>https://open-archaeo.info/post/dendronetwork/</t>
        </is>
      </c>
      <c r="E74" s="4" t="inlineStr">
        <is>
          <t>https://github.com/ropensci/dendroNetwork</t>
        </is>
      </c>
      <c r="F74" s="4" t="inlineStr"/>
    </row>
    <row r="75">
      <c r="A75" s="4" t="inlineStr">
        <is>
          <t>DIGSS</t>
        </is>
      </c>
      <c r="B75" s="4" t="inlineStr">
        <is>
          <t>PACKAGES AND LIBRARIES</t>
        </is>
      </c>
      <c r="C75" s="4" t="inlineStr">
        <is>
          <t>markhubbe</t>
        </is>
      </c>
      <c r="D75" s="4" t="inlineStr">
        <is>
          <t>https://open-archaeo.info/post/digss/</t>
        </is>
      </c>
      <c r="E75" s="4" t="inlineStr">
        <is>
          <t>https://github.com/markhubbe/DIGSS</t>
        </is>
      </c>
      <c r="F75" s="4" t="inlineStr"/>
    </row>
    <row r="76">
      <c r="A76" s="4" t="inlineStr">
        <is>
          <t>dimensio</t>
        </is>
      </c>
      <c r="B76" s="4" t="inlineStr">
        <is>
          <t>PACKAGES AND LIBRARIES</t>
        </is>
      </c>
      <c r="C76" s="4" t="inlineStr">
        <is>
          <t>tesselle</t>
        </is>
      </c>
      <c r="D76" s="4" t="inlineStr">
        <is>
          <t>https://open-archaeo.info/post/dimensio/</t>
        </is>
      </c>
      <c r="E76" s="4" t="inlineStr">
        <is>
          <t>https://github.com/tesselle/dimensio</t>
        </is>
      </c>
      <c r="F76" s="4" t="inlineStr"/>
    </row>
    <row r="77">
      <c r="A77" s="4" t="inlineStr">
        <is>
          <t>dplR</t>
        </is>
      </c>
      <c r="B77" s="4" t="inlineStr">
        <is>
          <t>PACKAGES AND LIBRARIES</t>
        </is>
      </c>
      <c r="C77" s="4" t="inlineStr">
        <is>
          <t>AndyBunn</t>
        </is>
      </c>
      <c r="D77" s="4" t="inlineStr">
        <is>
          <t>https://open-archaeo.info/post/dplr/</t>
        </is>
      </c>
      <c r="E77" s="4" t="inlineStr">
        <is>
          <t>https://github.com/AndyBunn/dplR</t>
        </is>
      </c>
      <c r="F77" s="4" t="inlineStr"/>
    </row>
    <row r="78">
      <c r="A78" s="4" t="inlineStr">
        <is>
          <t>DroneSurveyPlanner</t>
        </is>
      </c>
      <c r="B78" s="4" t="inlineStr">
        <is>
          <t>PACKAGES AND LIBRARIES</t>
        </is>
      </c>
      <c r="C78" s="4" t="inlineStr">
        <is>
          <t>isaacullah</t>
        </is>
      </c>
      <c r="D78" s="4" t="inlineStr">
        <is>
          <t>https://open-archaeo.info/post/dronesurveyplanner/</t>
        </is>
      </c>
      <c r="E78" s="4" t="inlineStr">
        <is>
          <t>https://github.com/isaacullah/DroneSurveyPlanner</t>
        </is>
      </c>
      <c r="F78" s="4" t="inlineStr"/>
    </row>
    <row r="79">
      <c r="A79" s="4" t="inlineStr">
        <is>
          <t>ede_interpolation</t>
        </is>
      </c>
      <c r="B79" s="4" t="inlineStr">
        <is>
          <t>PACKAGES AND LIBRARIES</t>
        </is>
      </c>
      <c r="C79" s="4" t="inlineStr">
        <is>
          <t>demjanp</t>
        </is>
      </c>
      <c r="D79" s="4" t="inlineStr">
        <is>
          <t>https://open-archaeo.info/post/ede_interpolation/</t>
        </is>
      </c>
      <c r="E79" s="4" t="inlineStr">
        <is>
          <t>https://github.com/demjanp/ede_interpolation</t>
        </is>
      </c>
      <c r="F79" s="4" t="inlineStr"/>
    </row>
    <row r="80">
      <c r="A80" s="4" t="inlineStr">
        <is>
          <t>EDM</t>
        </is>
      </c>
      <c r="B80" s="4" t="inlineStr">
        <is>
          <t>PACKAGES AND LIBRARIES</t>
        </is>
      </c>
      <c r="C80" s="4" t="inlineStr">
        <is>
          <t>surf3s</t>
        </is>
      </c>
      <c r="D80" s="4" t="inlineStr">
        <is>
          <t>https://open-archaeo.info/post/edm/</t>
        </is>
      </c>
      <c r="E80" s="4" t="inlineStr">
        <is>
          <t>https://github.com/surf3s/EDM</t>
        </is>
      </c>
      <c r="F80" s="4" t="inlineStr"/>
    </row>
    <row r="81">
      <c r="A81" s="4" t="inlineStr">
        <is>
          <t>EDMWIN</t>
        </is>
      </c>
      <c r="B81" s="4" t="inlineStr">
        <is>
          <t>PACKAGES AND LIBRARIES</t>
        </is>
      </c>
      <c r="C81" s="4" t="inlineStr">
        <is>
          <t>surf3s</t>
        </is>
      </c>
      <c r="D81" s="4" t="inlineStr">
        <is>
          <t>https://open-archaeo.info/post/edmwin/</t>
        </is>
      </c>
      <c r="E81" s="4" t="inlineStr">
        <is>
          <t>https://github.com/surf3s/EDMWIN</t>
        </is>
      </c>
      <c r="F81" s="4" t="inlineStr"/>
    </row>
    <row r="82">
      <c r="A82" s="4" t="inlineStr">
        <is>
          <t>elemSource</t>
        </is>
      </c>
      <c r="B82" s="4" t="inlineStr">
        <is>
          <t>PACKAGES AND LIBRARIES</t>
        </is>
      </c>
      <c r="C82" s="4" t="inlineStr">
        <is>
          <t>bischrob</t>
        </is>
      </c>
      <c r="D82" s="4" t="inlineStr">
        <is>
          <t>https://open-archaeo.info/post/elemsource/</t>
        </is>
      </c>
      <c r="E82" s="4" t="inlineStr">
        <is>
          <t>https://github.com/bischrob/elemSource</t>
        </is>
      </c>
      <c r="F82" s="4" t="inlineStr"/>
    </row>
    <row r="83">
      <c r="A83" s="4" t="inlineStr">
        <is>
          <t>EM-blender-tools</t>
        </is>
      </c>
      <c r="B83" s="4" t="inlineStr">
        <is>
          <t>PACKAGES AND LIBRARIES</t>
        </is>
      </c>
      <c r="C83" s="4" t="inlineStr">
        <is>
          <t>zalmoxes-laran</t>
        </is>
      </c>
      <c r="D83" s="4" t="inlineStr">
        <is>
          <t>https://open-archaeo.info/post/em-blender-tools/</t>
        </is>
      </c>
      <c r="E83" s="4" t="inlineStr">
        <is>
          <t>https://github.com/zalmoxes-laran/EM-blender-tools</t>
        </is>
      </c>
      <c r="F83" s="4" t="inlineStr"/>
    </row>
    <row r="84">
      <c r="A84" s="4" t="inlineStr">
        <is>
          <t>era</t>
        </is>
      </c>
      <c r="B84" s="4" t="inlineStr">
        <is>
          <t>PACKAGES AND LIBRARIES</t>
        </is>
      </c>
      <c r="C84" s="4" t="inlineStr">
        <is>
          <t>joeroe</t>
        </is>
      </c>
      <c r="D84" s="4" t="inlineStr">
        <is>
          <t>https://open-archaeo.info/post/era/</t>
        </is>
      </c>
      <c r="E84" s="4" t="inlineStr">
        <is>
          <t>https://github.com/joeroe/era</t>
        </is>
      </c>
      <c r="F84" s="4" t="inlineStr"/>
    </row>
    <row r="85">
      <c r="A85" s="4" t="inlineStr">
        <is>
          <t>eratosthenes</t>
        </is>
      </c>
      <c r="B85" s="4" t="inlineStr">
        <is>
          <t>PACKAGES AND LIBRARIES</t>
        </is>
      </c>
      <c r="C85" s="4" t="inlineStr">
        <is>
          <t>scollinselliott</t>
        </is>
      </c>
      <c r="D85" s="4" t="inlineStr">
        <is>
          <t>https://open-archaeo.info/post/eratosthenes/</t>
        </is>
      </c>
      <c r="E85" s="4" t="inlineStr">
        <is>
          <t>https://github.com/scollinselliott/eratosthenes</t>
        </is>
      </c>
      <c r="F85" s="4" t="inlineStr"/>
    </row>
    <row r="86">
      <c r="A86" s="4" t="inlineStr">
        <is>
          <t>ethnobotanyR</t>
        </is>
      </c>
      <c r="B86" s="4" t="inlineStr">
        <is>
          <t>PACKAGES AND LIBRARIES</t>
        </is>
      </c>
      <c r="C86" s="4" t="inlineStr">
        <is>
          <t>CWWhitney</t>
        </is>
      </c>
      <c r="D86" s="4" t="inlineStr">
        <is>
          <t>https://open-archaeo.info/post/ethnobotanyr/</t>
        </is>
      </c>
      <c r="E86" s="4" t="inlineStr">
        <is>
          <t>https://github.com/CWWhitney/ethnobotanyR</t>
        </is>
      </c>
      <c r="F86" s="4" t="inlineStr"/>
    </row>
    <row r="87">
      <c r="A87" s="4" t="inlineStr">
        <is>
          <t>Excavation_data_viewer</t>
        </is>
      </c>
      <c r="B87" s="4" t="inlineStr">
        <is>
          <t>PACKAGES AND LIBRARIES</t>
        </is>
      </c>
      <c r="C87" s="4" t="inlineStr">
        <is>
          <t>samclin</t>
        </is>
      </c>
      <c r="D87" s="4" t="inlineStr">
        <is>
          <t>https://open-archaeo.info/post/excavation_data_viewer/</t>
        </is>
      </c>
      <c r="E87" s="4" t="inlineStr">
        <is>
          <t>https://github.com/samclin/Excavation_data_viewer</t>
        </is>
      </c>
      <c r="F87" s="4" t="inlineStr"/>
    </row>
    <row r="88">
      <c r="A88" s="4" t="inlineStr">
        <is>
          <t>Explographe</t>
        </is>
      </c>
      <c r="B88" s="4" t="inlineStr">
        <is>
          <t>PACKAGES AND LIBRARIES</t>
        </is>
      </c>
      <c r="C88" s="4" t="inlineStr">
        <is>
          <t>Bruno Desachy</t>
        </is>
      </c>
      <c r="D88" s="4" t="inlineStr">
        <is>
          <t>https://open-archaeo.info/post/explographe/</t>
        </is>
      </c>
      <c r="E88" s="4" t="inlineStr">
        <is>
          <t>https://abp.hypotheses.org/explographe</t>
        </is>
      </c>
      <c r="F88" s="4" t="inlineStr"/>
    </row>
    <row r="89">
      <c r="A89" s="4" t="inlineStr">
        <is>
          <t>fastmaRching</t>
        </is>
      </c>
      <c r="B89" s="4" t="inlineStr">
        <is>
          <t>PACKAGES AND LIBRARIES</t>
        </is>
      </c>
      <c r="C89" s="4" t="inlineStr">
        <is>
          <t>f-silva-archaeo</t>
        </is>
      </c>
      <c r="D89" s="4" t="inlineStr">
        <is>
          <t>https://open-archaeo.info/post/fastmarching/</t>
        </is>
      </c>
      <c r="E89" s="4" t="inlineStr">
        <is>
          <t>https://github.com/f-silva-archaeo/fastmaRching</t>
        </is>
      </c>
      <c r="F89" s="4" t="inlineStr"/>
    </row>
    <row r="90">
      <c r="A90" s="4" t="inlineStr">
        <is>
          <t>fellingDateR</t>
        </is>
      </c>
      <c r="B90" s="4" t="inlineStr">
        <is>
          <t>PACKAGES AND LIBRARIES</t>
        </is>
      </c>
      <c r="C90" s="4" t="inlineStr">
        <is>
          <t>hanecakr</t>
        </is>
      </c>
      <c r="D90" s="4" t="inlineStr">
        <is>
          <t>https://open-archaeo.info/post/fellingdater/</t>
        </is>
      </c>
      <c r="E90" s="4" t="inlineStr">
        <is>
          <t>https://github.com/hanecakr/fellingDateR</t>
        </is>
      </c>
      <c r="F90" s="4" t="inlineStr"/>
    </row>
    <row r="91">
      <c r="A91" s="4" t="inlineStr">
        <is>
          <t>field-photographs</t>
        </is>
      </c>
      <c r="B91" s="4" t="inlineStr">
        <is>
          <t>PACKAGES AND LIBRARIES</t>
        </is>
      </c>
      <c r="C91" s="4" t="inlineStr">
        <is>
          <t>anatolian</t>
        </is>
      </c>
      <c r="D91" s="4" t="inlineStr">
        <is>
          <t>https://open-archaeo.info/post/field-photographs/</t>
        </is>
      </c>
      <c r="E91" s="4" t="inlineStr">
        <is>
          <t>https://github.com/anatolian/field-photographs</t>
        </is>
      </c>
      <c r="F91" s="4" t="inlineStr"/>
    </row>
    <row r="92">
      <c r="A92" s="4" t="inlineStr">
        <is>
          <t>fieldwalkr</t>
        </is>
      </c>
      <c r="B92" s="4" t="inlineStr">
        <is>
          <t>PACKAGES AND LIBRARIES</t>
        </is>
      </c>
      <c r="C92" s="4" t="inlineStr">
        <is>
          <t>joeroe</t>
        </is>
      </c>
      <c r="D92" s="4" t="inlineStr">
        <is>
          <t>https://open-archaeo.info/post/fieldwalkr/</t>
        </is>
      </c>
      <c r="E92" s="4" t="inlineStr">
        <is>
          <t>https://github.com/joeroe/fieldwalkr</t>
        </is>
      </c>
      <c r="F92" s="4" t="inlineStr"/>
    </row>
    <row r="93">
      <c r="A93" s="4" t="inlineStr">
        <is>
          <t>FuzzyViewshed</t>
        </is>
      </c>
      <c r="B93" s="4" t="inlineStr">
        <is>
          <t>PACKAGES AND LIBRARIES</t>
        </is>
      </c>
      <c r="C93" s="4" t="inlineStr">
        <is>
          <t>gianmarcoalberti</t>
        </is>
      </c>
      <c r="D93" s="4" t="inlineStr">
        <is>
          <t>https://open-archaeo.info/post/fuzzyviewshed/</t>
        </is>
      </c>
      <c r="E93" s="4" t="inlineStr">
        <is>
          <t>https://github.com/gianmarcoalberti/FuzzyViewshed</t>
        </is>
      </c>
      <c r="F93" s="4" t="inlineStr"/>
    </row>
    <row r="94">
      <c r="A94" s="4" t="inlineStr">
        <is>
          <t>gamma</t>
        </is>
      </c>
      <c r="B94" s="4" t="inlineStr">
        <is>
          <t>PACKAGES AND LIBRARIES</t>
        </is>
      </c>
      <c r="C94" s="4" t="inlineStr">
        <is>
          <t>nfrerebeau</t>
        </is>
      </c>
      <c r="D94" s="4" t="inlineStr">
        <is>
          <t>https://open-archaeo.info/post/gamma/</t>
        </is>
      </c>
      <c r="E94" s="4" t="inlineStr">
        <is>
          <t>https://github.com/nfrerebeau/gamma</t>
        </is>
      </c>
      <c r="F94" s="4" t="inlineStr"/>
    </row>
    <row r="95">
      <c r="A95" s="4" t="inlineStr">
        <is>
          <t>geoCore</t>
        </is>
      </c>
      <c r="B95" s="4" t="inlineStr">
        <is>
          <t>PACKAGES AND LIBRARIES</t>
        </is>
      </c>
      <c r="C95" s="4" t="inlineStr">
        <is>
          <t>Gerrit Bette; Moritz Mennenga</t>
        </is>
      </c>
      <c r="D95" s="4" t="inlineStr">
        <is>
          <t>https://open-archaeo.info/post/geocore/</t>
        </is>
      </c>
      <c r="E95" s="4" t="inlineStr">
        <is>
          <t>https://github.com/ISAAKiel/geoCore</t>
        </is>
      </c>
      <c r="F95" s="4" t="inlineStr"/>
    </row>
    <row r="96">
      <c r="A96" s="4" t="inlineStr">
        <is>
          <t>GmAMisc</t>
        </is>
      </c>
      <c r="B96" s="4" t="inlineStr">
        <is>
          <t>PACKAGES AND LIBRARIES</t>
        </is>
      </c>
      <c r="C96" s="4" t="inlineStr">
        <is>
          <t>gianmarcoalberti</t>
        </is>
      </c>
      <c r="D96" s="4" t="inlineStr">
        <is>
          <t>https://open-archaeo.info/post/gmamisc/</t>
        </is>
      </c>
      <c r="E96" s="4" t="inlineStr">
        <is>
          <t>https://github.com/gianmarcoalberti/GmAMisc</t>
        </is>
      </c>
      <c r="F96" s="4" t="inlineStr"/>
    </row>
    <row r="97">
      <c r="A97" s="4" t="inlineStr">
        <is>
          <t>harris-matrix (package)</t>
        </is>
      </c>
      <c r="B97" s="4" t="inlineStr">
        <is>
          <t>PACKAGES AND LIBRARIES</t>
        </is>
      </c>
      <c r="C97" s="4" t="inlineStr">
        <is>
          <t>tsdye</t>
        </is>
      </c>
      <c r="D97" s="4" t="inlineStr">
        <is>
          <t>https://open-archaeo.info/post/harris-matrix-package/</t>
        </is>
      </c>
      <c r="E97" s="4" t="inlineStr">
        <is>
          <t>https://github.com/tsdye/harris-matrix</t>
        </is>
      </c>
      <c r="F97" s="4" t="inlineStr"/>
    </row>
    <row r="98">
      <c r="A98" s="4" t="inlineStr">
        <is>
          <t>Harris-matrix-legacy</t>
        </is>
      </c>
      <c r="B98" s="4" t="inlineStr">
        <is>
          <t>PACKAGES AND LIBRARIES</t>
        </is>
      </c>
      <c r="C98" s="4" t="inlineStr">
        <is>
          <t>steko; iosa</t>
        </is>
      </c>
      <c r="D98" s="4" t="inlineStr">
        <is>
          <t>https://open-archaeo.info/post/harris-matrix-legacy/</t>
        </is>
      </c>
      <c r="E98" s="4" t="inlineStr">
        <is>
          <t>https://codeberg.org/steko/harris-matrix-legacy</t>
        </is>
      </c>
      <c r="F98" s="4" t="inlineStr"/>
    </row>
    <row r="99">
      <c r="A99" s="4" t="inlineStr">
        <is>
          <t>harris2graph</t>
        </is>
      </c>
      <c r="B99" s="4" t="inlineStr">
        <is>
          <t>PACKAGES AND LIBRARIES</t>
        </is>
      </c>
      <c r="C99" s="4" t="inlineStr">
        <is>
          <t>L-P Archaeology</t>
        </is>
      </c>
      <c r="D99" s="4" t="inlineStr">
        <is>
          <t>https://open-archaeo.info/post/harris2graph/</t>
        </is>
      </c>
      <c r="E99" s="4" t="inlineStr">
        <is>
          <t>https://github.com/lparchaeology/harris2graph</t>
        </is>
      </c>
      <c r="F99" s="4" t="inlineStr"/>
    </row>
    <row r="100">
      <c r="A100" s="4" t="inlineStr">
        <is>
          <t>HumanOS</t>
        </is>
      </c>
      <c r="B100" s="4" t="inlineStr">
        <is>
          <t>PACKAGES AND LIBRARIES</t>
        </is>
      </c>
      <c r="C100" s="4" t="inlineStr">
        <is>
          <t>Rozenn Colleter; Jean-Baptiste Romain; Jean-Baptiste Barreau</t>
        </is>
      </c>
      <c r="D100" s="4" t="inlineStr">
        <is>
          <t>https://open-archaeo.info/post/humanos/</t>
        </is>
      </c>
      <c r="E100" s="4" t="inlineStr">
        <is>
          <t>https://www.humanos.cnrs.fr/</t>
        </is>
      </c>
      <c r="F100" s="4" t="inlineStr"/>
    </row>
    <row r="101">
      <c r="A101" s="4" t="inlineStr">
        <is>
          <t>iconr</t>
        </is>
      </c>
      <c r="B101" s="4" t="inlineStr">
        <is>
          <t>PACKAGES AND LIBRARIES</t>
        </is>
      </c>
      <c r="C101" s="4" t="inlineStr">
        <is>
          <t>zoometh; josempozo; Craig Alexander</t>
        </is>
      </c>
      <c r="D101" s="4" t="inlineStr">
        <is>
          <t>https://open-archaeo.info/post/iconr/</t>
        </is>
      </c>
      <c r="E101" s="4" t="inlineStr">
        <is>
          <t>https://github.com/zoometh/iconr</t>
        </is>
      </c>
      <c r="F101" s="4" t="inlineStr"/>
    </row>
    <row r="102">
      <c r="A102" s="4" t="inlineStr">
        <is>
          <t>idaifieldR</t>
        </is>
      </c>
      <c r="B102" s="4" t="inlineStr">
        <is>
          <t>PACKAGES AND LIBRARIES</t>
        </is>
      </c>
      <c r="C102" s="4" t="inlineStr">
        <is>
          <t>lsteinmann</t>
        </is>
      </c>
      <c r="D102" s="4" t="inlineStr">
        <is>
          <t>https://open-archaeo.info/post/idaifieldr/</t>
        </is>
      </c>
      <c r="E102" s="4" t="inlineStr">
        <is>
          <t>https://github.com/lsteinmann/idaifieldR</t>
        </is>
      </c>
      <c r="F102" s="4" t="inlineStr"/>
    </row>
    <row r="103">
      <c r="A103" s="4" t="inlineStr">
        <is>
          <t>Iraq_mortar</t>
        </is>
      </c>
      <c r="B103" s="4" t="inlineStr">
        <is>
          <t>PACKAGES AND LIBRARIES</t>
        </is>
      </c>
      <c r="C103" s="4" t="inlineStr">
        <is>
          <t>apalmisano82</t>
        </is>
      </c>
      <c r="D103" s="4" t="inlineStr">
        <is>
          <t>https://open-archaeo.info/post/iraq_mortar/</t>
        </is>
      </c>
      <c r="E103" s="4" t="inlineStr">
        <is>
          <t>https://github.com/apalmisano82/Iraq_mortar</t>
        </is>
      </c>
      <c r="F103" s="4" t="inlineStr"/>
    </row>
    <row r="104">
      <c r="A104" s="4" t="inlineStr">
        <is>
          <t>isopleuros</t>
        </is>
      </c>
      <c r="B104" s="4" t="inlineStr">
        <is>
          <t>PACKAGES AND LIBRARIES</t>
        </is>
      </c>
      <c r="C104" s="4" t="inlineStr">
        <is>
          <t>tesselle</t>
        </is>
      </c>
      <c r="D104" s="4" t="inlineStr">
        <is>
          <t>https://open-archaeo.info/post/isopleuros/</t>
        </is>
      </c>
      <c r="E104" s="4" t="inlineStr">
        <is>
          <t>https://github.com/tesselle/isopleuros</t>
        </is>
      </c>
      <c r="F104" s="4" t="inlineStr"/>
    </row>
    <row r="105">
      <c r="A105" s="4" t="inlineStr">
        <is>
          <t>ithaca</t>
        </is>
      </c>
      <c r="B105" s="4" t="inlineStr">
        <is>
          <t>PACKAGES AND LIBRARIES</t>
        </is>
      </c>
      <c r="C105" s="4" t="inlineStr">
        <is>
          <t>deepmind</t>
        </is>
      </c>
      <c r="D105" s="4" t="inlineStr">
        <is>
          <t>https://open-archaeo.info/post/ithaca/</t>
        </is>
      </c>
      <c r="E105" s="4" t="inlineStr">
        <is>
          <t>https://github.com/deepmind/ithaca</t>
        </is>
      </c>
      <c r="F105" s="4" t="inlineStr"/>
    </row>
    <row r="106">
      <c r="A106" s="4" t="inlineStr">
        <is>
          <t>joint-disease-tool</t>
        </is>
      </c>
      <c r="B106" s="4" t="inlineStr">
        <is>
          <t>PACKAGES AND LIBRARIES</t>
        </is>
      </c>
      <c r="C106" s="4" t="inlineStr">
        <is>
          <t>alexbrandsen</t>
        </is>
      </c>
      <c r="D106" s="4" t="inlineStr">
        <is>
          <t>https://open-archaeo.info/post/joint-disease-tool/</t>
        </is>
      </c>
      <c r="E106" s="4" t="inlineStr">
        <is>
          <t>https://github.com/alexbrandsen/joint-disease-tool</t>
        </is>
      </c>
      <c r="F106" s="4" t="inlineStr"/>
    </row>
    <row r="107">
      <c r="A107" s="4" t="inlineStr">
        <is>
          <t>kairos</t>
        </is>
      </c>
      <c r="B107" s="4" t="inlineStr">
        <is>
          <t>PACKAGES AND LIBRARIES</t>
        </is>
      </c>
      <c r="C107" s="4" t="inlineStr">
        <is>
          <t>tesselle</t>
        </is>
      </c>
      <c r="D107" s="4" t="inlineStr">
        <is>
          <t>https://open-archaeo.info/post/kairos/</t>
        </is>
      </c>
      <c r="E107" s="4" t="inlineStr">
        <is>
          <t>https://github.com/tesselle/kairos</t>
        </is>
      </c>
      <c r="F107" s="4" t="inlineStr"/>
    </row>
    <row r="108">
      <c r="A108" s="4" t="inlineStr">
        <is>
          <t>khroma</t>
        </is>
      </c>
      <c r="B108" s="4" t="inlineStr">
        <is>
          <t>PACKAGES AND LIBRARIES</t>
        </is>
      </c>
      <c r="C108" s="4" t="inlineStr">
        <is>
          <t>tesselle</t>
        </is>
      </c>
      <c r="D108" s="4" t="inlineStr">
        <is>
          <t>https://open-archaeo.info/post/khroma/</t>
        </is>
      </c>
      <c r="E108" s="4" t="inlineStr">
        <is>
          <t>https://github.com/tesselle/khroma</t>
        </is>
      </c>
      <c r="F108" s="4" t="inlineStr"/>
    </row>
    <row r="109">
      <c r="A109" s="4" t="inlineStr">
        <is>
          <t>kotyle</t>
        </is>
      </c>
      <c r="B109" s="4" t="inlineStr">
        <is>
          <t>PACKAGES AND LIBRARIES</t>
        </is>
      </c>
      <c r="C109" s="4" t="inlineStr">
        <is>
          <t>iosa</t>
        </is>
      </c>
      <c r="D109" s="4" t="inlineStr">
        <is>
          <t>https://open-archaeo.info/post/kotyle/</t>
        </is>
      </c>
      <c r="E109" s="4" t="inlineStr">
        <is>
          <t>https://codeberg.org/iosa/kotyle</t>
        </is>
      </c>
      <c r="F109" s="4" t="inlineStr"/>
    </row>
    <row r="110">
      <c r="A110" s="4" t="inlineStr">
        <is>
          <t>lakhesis</t>
        </is>
      </c>
      <c r="B110" s="4" t="inlineStr">
        <is>
          <t>PACKAGES AND LIBRARIES</t>
        </is>
      </c>
      <c r="C110" s="4" t="inlineStr">
        <is>
          <t>scollinselliott</t>
        </is>
      </c>
      <c r="D110" s="4" t="inlineStr">
        <is>
          <t>https://open-archaeo.info/post/lakhesis/</t>
        </is>
      </c>
      <c r="E110" s="4" t="inlineStr">
        <is>
          <t>https://github.com/scollinselliott/lakhesis</t>
        </is>
      </c>
      <c r="F110" s="4" t="inlineStr"/>
    </row>
    <row r="111">
      <c r="A111" s="4" t="inlineStr">
        <is>
          <t>Le Stratifiant</t>
        </is>
      </c>
      <c r="B111" s="4" t="inlineStr">
        <is>
          <t>PACKAGES AND LIBRARIES</t>
        </is>
      </c>
      <c r="C111" s="4" t="inlineStr">
        <is>
          <t>Bruno Desachy</t>
        </is>
      </c>
      <c r="D111" s="4" t="inlineStr">
        <is>
          <t>https://open-archaeo.info/post/le-stratifiant/</t>
        </is>
      </c>
      <c r="E111" s="4" t="inlineStr">
        <is>
          <t>https://abp.hypotheses.org/lestratifiant</t>
        </is>
      </c>
      <c r="F111" s="4" t="inlineStr"/>
    </row>
    <row r="112">
      <c r="A112" s="4" t="inlineStr">
        <is>
          <t>leastcostpath</t>
        </is>
      </c>
      <c r="B112" s="4" t="inlineStr">
        <is>
          <t>PACKAGES AND LIBRARIES</t>
        </is>
      </c>
      <c r="C112" s="4" t="inlineStr">
        <is>
          <t>josephlewis</t>
        </is>
      </c>
      <c r="D112" s="4" t="inlineStr">
        <is>
          <t>https://open-archaeo.info/post/leastcostpath/</t>
        </is>
      </c>
      <c r="E112" s="4" t="inlineStr">
        <is>
          <t>https://github.com/josephlewis/leastcostpath</t>
        </is>
      </c>
      <c r="F112" s="4" t="inlineStr"/>
    </row>
    <row r="113">
      <c r="A113" s="4" t="inlineStr">
        <is>
          <t>lecAAR</t>
        </is>
      </c>
      <c r="B113" s="4" t="inlineStr">
        <is>
          <t>PACKAGES AND LIBRARIES</t>
        </is>
      </c>
      <c r="C113" s="4" t="inlineStr">
        <is>
          <t>yesdavid; nevrome; nmueller18; whamer; dakni</t>
        </is>
      </c>
      <c r="D113" s="4" t="inlineStr">
        <is>
          <t>https://open-archaeo.info/post/lecaar/</t>
        </is>
      </c>
      <c r="E113" s="4" t="inlineStr">
        <is>
          <t>https://github.com/ISAAKiel/lecAAR</t>
        </is>
      </c>
      <c r="F113" s="4" t="inlineStr"/>
    </row>
    <row r="114">
      <c r="A114" s="4" t="inlineStr">
        <is>
          <t>Lithics3D</t>
        </is>
      </c>
      <c r="B114" s="4" t="inlineStr">
        <is>
          <t>PACKAGES AND LIBRARIES</t>
        </is>
      </c>
      <c r="C114" s="4" t="inlineStr">
        <is>
          <t>cornelmpop</t>
        </is>
      </c>
      <c r="D114" s="4" t="inlineStr">
        <is>
          <t>https://open-archaeo.info/post/lithics3d/</t>
        </is>
      </c>
      <c r="E114" s="4" t="inlineStr">
        <is>
          <t>https://github.com/cornelmpop/Lithics3D</t>
        </is>
      </c>
      <c r="F114" s="4" t="inlineStr"/>
    </row>
    <row r="115">
      <c r="A115" s="4" t="inlineStr">
        <is>
          <t>Luminescence</t>
        </is>
      </c>
      <c r="B115" s="4" t="inlineStr">
        <is>
          <t>PACKAGES AND LIBRARIES</t>
        </is>
      </c>
      <c r="C115" s="4" t="inlineStr">
        <is>
          <t>R-Lum</t>
        </is>
      </c>
      <c r="D115" s="4" t="inlineStr">
        <is>
          <t>https://open-archaeo.info/post/luminescence/</t>
        </is>
      </c>
      <c r="E115" s="4" t="inlineStr">
        <is>
          <t>https://github.com/R-Lum/Luminescence</t>
        </is>
      </c>
      <c r="F115" s="4" t="inlineStr"/>
    </row>
    <row r="116">
      <c r="A116" s="4" t="inlineStr">
        <is>
          <t>LumReader</t>
        </is>
      </c>
      <c r="B116" s="4" t="inlineStr">
        <is>
          <t>PACKAGES AND LIBRARIES</t>
        </is>
      </c>
      <c r="C116" s="4" t="inlineStr">
        <is>
          <t>dstreble</t>
        </is>
      </c>
      <c r="D116" s="4" t="inlineStr">
        <is>
          <t>https://open-archaeo.info/post/lumreader/</t>
        </is>
      </c>
      <c r="E116" s="4" t="inlineStr">
        <is>
          <t>https://github.com/dstreble/LumReader</t>
        </is>
      </c>
      <c r="F116" s="4" t="inlineStr"/>
    </row>
    <row r="117">
      <c r="A117" s="4" t="inlineStr">
        <is>
          <t>mafa</t>
        </is>
      </c>
      <c r="B117" s="4" t="inlineStr">
        <is>
          <t>PACKAGES AND LIBRARIES</t>
        </is>
      </c>
      <c r="C117" s="4" t="inlineStr">
        <is>
          <t>JGravier</t>
        </is>
      </c>
      <c r="D117" s="4" t="inlineStr">
        <is>
          <t>https://open-archaeo.info/post/mafa/</t>
        </is>
      </c>
      <c r="E117" s="4" t="inlineStr">
        <is>
          <t>https://github.com/JGravier/mafa</t>
        </is>
      </c>
      <c r="F117" s="4" t="inlineStr"/>
    </row>
    <row r="118">
      <c r="A118" s="4" t="inlineStr">
        <is>
          <t>magAAR</t>
        </is>
      </c>
      <c r="B118" s="4" t="inlineStr">
        <is>
          <t>PACKAGES AND LIBRARIES</t>
        </is>
      </c>
      <c r="C118" s="4" t="inlineStr">
        <is>
          <t>ISAAKiel</t>
        </is>
      </c>
      <c r="D118" s="4" t="inlineStr">
        <is>
          <t>https://open-archaeo.info/post/magaar/</t>
        </is>
      </c>
      <c r="E118" s="4" t="inlineStr">
        <is>
          <t>https://github.com/ISAAKiel/magAAR</t>
        </is>
      </c>
      <c r="F118" s="4" t="inlineStr"/>
    </row>
    <row r="119">
      <c r="A119" s="4" t="inlineStr">
        <is>
          <t>Mask_UAV</t>
        </is>
      </c>
      <c r="B119" s="4" t="inlineStr">
        <is>
          <t>PACKAGES AND LIBRARIES</t>
        </is>
      </c>
      <c r="C119" s="4" t="inlineStr">
        <is>
          <t>maltaweel</t>
        </is>
      </c>
      <c r="D119" s="4" t="inlineStr">
        <is>
          <t>https://open-archaeo.info/post/mask_uav/</t>
        </is>
      </c>
      <c r="E119" s="4" t="inlineStr">
        <is>
          <t>https://github.com/maltaweel/Mask_UAV</t>
        </is>
      </c>
      <c r="F119" s="4" t="inlineStr"/>
    </row>
    <row r="120">
      <c r="A120" s="4" t="inlineStr">
        <is>
          <t>mobest</t>
        </is>
      </c>
      <c r="B120" s="4" t="inlineStr">
        <is>
          <t>PACKAGES AND LIBRARIES</t>
        </is>
      </c>
      <c r="C120" s="4" t="inlineStr">
        <is>
          <t>nevrome</t>
        </is>
      </c>
      <c r="D120" s="4" t="inlineStr">
        <is>
          <t>https://open-archaeo.info/post/mobest/</t>
        </is>
      </c>
      <c r="E120" s="4" t="inlineStr">
        <is>
          <t>https://github.com/nevrome/mobest</t>
        </is>
      </c>
      <c r="F120" s="4" t="inlineStr"/>
    </row>
    <row r="121">
      <c r="A121" s="4" t="inlineStr">
        <is>
          <t>MoDuLAAR</t>
        </is>
      </c>
      <c r="B121" s="4" t="inlineStr">
        <is>
          <t>PACKAGES AND LIBRARIES</t>
        </is>
      </c>
      <c r="C121" s="4" t="inlineStr">
        <is>
          <t>Palaeoprot</t>
        </is>
      </c>
      <c r="D121" s="4" t="inlineStr">
        <is>
          <t>https://open-archaeo.info/post/modulaar/</t>
        </is>
      </c>
      <c r="E121" s="4" t="inlineStr">
        <is>
          <t>https://github.com/Palaeoprot/MoDuLAAR</t>
        </is>
      </c>
      <c r="F121" s="4" t="inlineStr"/>
    </row>
    <row r="122">
      <c r="A122" s="4" t="inlineStr">
        <is>
          <t>morphalr</t>
        </is>
      </c>
      <c r="B122" s="4" t="inlineStr">
        <is>
          <t>PACKAGES AND LIBRARIES</t>
        </is>
      </c>
      <c r="C122" s="4" t="inlineStr">
        <is>
          <t>JGravier</t>
        </is>
      </c>
      <c r="D122" s="4" t="inlineStr">
        <is>
          <t>https://open-archaeo.info/post/morphalr/</t>
        </is>
      </c>
      <c r="E122" s="4" t="inlineStr">
        <is>
          <t>https://github.com/JGravier/morphalr</t>
        </is>
      </c>
      <c r="F122" s="4" t="inlineStr"/>
    </row>
    <row r="123">
      <c r="A123" s="4" t="inlineStr">
        <is>
          <t>morphotype</t>
        </is>
      </c>
      <c r="B123" s="4" t="inlineStr">
        <is>
          <t>PACKAGES AND LIBRARIES</t>
        </is>
      </c>
      <c r="C123" s="4" t="inlineStr">
        <is>
          <t>kafetzakid</t>
        </is>
      </c>
      <c r="D123" s="4" t="inlineStr">
        <is>
          <t>https://open-archaeo.info/post/morphotype/</t>
        </is>
      </c>
      <c r="E123" s="4" t="inlineStr">
        <is>
          <t>https://github.com/kafetzakid/morphotype</t>
        </is>
      </c>
      <c r="F123" s="4" t="inlineStr"/>
    </row>
    <row r="124">
      <c r="A124" s="4" t="inlineStr">
        <is>
          <t>morphotypeShiny</t>
        </is>
      </c>
      <c r="B124" s="4" t="inlineStr">
        <is>
          <t>PACKAGES AND LIBRARIES</t>
        </is>
      </c>
      <c r="C124" s="4" t="inlineStr">
        <is>
          <t>kafetzakid</t>
        </is>
      </c>
      <c r="D124" s="4" t="inlineStr">
        <is>
          <t>https://open-archaeo.info/post/morphotypeshiny/</t>
        </is>
      </c>
      <c r="E124" s="4" t="inlineStr">
        <is>
          <t>https://github.com/kafetzakid/morphotypeShiny</t>
        </is>
      </c>
      <c r="F124" s="4" t="inlineStr"/>
    </row>
    <row r="125">
      <c r="A125" s="4" t="inlineStr">
        <is>
          <t>mortAAR</t>
        </is>
      </c>
      <c r="B125" s="4" t="inlineStr">
        <is>
          <t>PACKAGES AND LIBRARIES</t>
        </is>
      </c>
      <c r="C125" s="4" t="inlineStr">
        <is>
          <t>ISAAKiel</t>
        </is>
      </c>
      <c r="D125" s="4" t="inlineStr">
        <is>
          <t>https://open-archaeo.info/post/mortaar/</t>
        </is>
      </c>
      <c r="E125" s="4" t="inlineStr">
        <is>
          <t>https://github.com/ISAAKiel/mortAAR</t>
        </is>
      </c>
      <c r="F125" s="4" t="inlineStr"/>
    </row>
    <row r="126">
      <c r="A126" s="4" t="inlineStr">
        <is>
          <t>MtreeRing</t>
        </is>
      </c>
      <c r="B126" s="4" t="inlineStr">
        <is>
          <t>PACKAGES AND LIBRARIES</t>
        </is>
      </c>
      <c r="C126" s="4" t="inlineStr">
        <is>
          <t>ropensci</t>
        </is>
      </c>
      <c r="D126" s="4" t="inlineStr">
        <is>
          <t>https://open-archaeo.info/post/mtreering/</t>
        </is>
      </c>
      <c r="E126" s="4" t="inlineStr">
        <is>
          <t>https://github.com/ropensci/MTTreeRing</t>
        </is>
      </c>
      <c r="F126" s="4" t="inlineStr"/>
    </row>
    <row r="127">
      <c r="A127" s="4" t="inlineStr">
        <is>
          <t>munsell</t>
        </is>
      </c>
      <c r="B127" s="4" t="inlineStr">
        <is>
          <t>PACKAGES AND LIBRARIES</t>
        </is>
      </c>
      <c r="C127" s="4" t="inlineStr">
        <is>
          <t>cwickham</t>
        </is>
      </c>
      <c r="D127" s="4" t="inlineStr">
        <is>
          <t>https://open-archaeo.info/post/munsell/</t>
        </is>
      </c>
      <c r="E127" s="4" t="inlineStr">
        <is>
          <t>https://github.com/cran/munsell</t>
        </is>
      </c>
      <c r="F127" s="4" t="inlineStr"/>
    </row>
    <row r="128">
      <c r="A128" s="4" t="inlineStr">
        <is>
          <t>murature</t>
        </is>
      </c>
      <c r="B128" s="4" t="inlineStr">
        <is>
          <t>PACKAGES AND LIBRARIES</t>
        </is>
      </c>
      <c r="C128" s="4" t="inlineStr">
        <is>
          <t>steko; iosa</t>
        </is>
      </c>
      <c r="D128" s="4" t="inlineStr">
        <is>
          <t>https://open-archaeo.info/post/murature/</t>
        </is>
      </c>
      <c r="E128" s="4" t="inlineStr">
        <is>
          <t>https://codeberg.org/iosa/murature</t>
        </is>
      </c>
      <c r="F128" s="4" t="inlineStr"/>
    </row>
    <row r="129">
      <c r="A129" s="4" t="inlineStr">
        <is>
          <t>nearpresence</t>
        </is>
      </c>
      <c r="B129" s="4" t="inlineStr">
        <is>
          <t>PACKAGES AND LIBRARIES</t>
        </is>
      </c>
      <c r="C129" s="4" t="inlineStr">
        <is>
          <t>eweaverdyck</t>
        </is>
      </c>
      <c r="D129" s="4" t="inlineStr">
        <is>
          <t>https://open-archaeo.info/post/nearpresence/</t>
        </is>
      </c>
      <c r="E129" s="4" t="inlineStr">
        <is>
          <t>https://github.com/eweaverdyck/nearpresence</t>
        </is>
      </c>
      <c r="F129" s="4" t="inlineStr"/>
    </row>
    <row r="130">
      <c r="A130" s="4" t="inlineStr">
        <is>
          <t>neonet</t>
        </is>
      </c>
      <c r="B130" s="4" t="inlineStr">
        <is>
          <t>PACKAGES AND LIBRARIES</t>
        </is>
      </c>
      <c r="C130" s="4" t="inlineStr">
        <is>
          <t>zoometh</t>
        </is>
      </c>
      <c r="D130" s="4" t="inlineStr">
        <is>
          <t>https://open-archaeo.info/post/neonet/</t>
        </is>
      </c>
      <c r="E130" s="4" t="inlineStr">
        <is>
          <t>https://github.com/zoometh/NeoNet</t>
        </is>
      </c>
      <c r="F130" s="4" t="inlineStr"/>
    </row>
    <row r="131">
      <c r="A131" s="4" t="inlineStr">
        <is>
          <t>neotoma</t>
        </is>
      </c>
      <c r="B131" s="4" t="inlineStr">
        <is>
          <t>PACKAGES AND LIBRARIES</t>
        </is>
      </c>
      <c r="C131" s="4" t="inlineStr">
        <is>
          <t>ropensci</t>
        </is>
      </c>
      <c r="D131" s="4" t="inlineStr">
        <is>
          <t>https://open-archaeo.info/post/neotoma/</t>
        </is>
      </c>
      <c r="E131" s="4" t="inlineStr">
        <is>
          <t>https://github.com/ropensci/neotoma</t>
        </is>
      </c>
      <c r="F131" s="4" t="inlineStr"/>
    </row>
    <row r="132">
      <c r="A132" s="4" t="inlineStr">
        <is>
          <t>nexus</t>
        </is>
      </c>
      <c r="B132" s="4" t="inlineStr">
        <is>
          <t>PACKAGES AND LIBRARIES</t>
        </is>
      </c>
      <c r="C132" s="4" t="inlineStr">
        <is>
          <t>tesselle</t>
        </is>
      </c>
      <c r="D132" s="4" t="inlineStr">
        <is>
          <t>https://open-archaeo.info/post/nexus/</t>
        </is>
      </c>
      <c r="E132" s="4" t="inlineStr">
        <is>
          <t>https://github.com/tesselle/nexus</t>
        </is>
      </c>
      <c r="F132" s="4" t="inlineStr"/>
    </row>
    <row r="133">
      <c r="A133" s="4" t="inlineStr">
        <is>
          <t>nimbleCarbon</t>
        </is>
      </c>
      <c r="B133" s="4" t="inlineStr">
        <is>
          <t>PACKAGES AND LIBRARIES</t>
        </is>
      </c>
      <c r="C133" s="4" t="inlineStr">
        <is>
          <t>ercrema</t>
        </is>
      </c>
      <c r="D133" s="4" t="inlineStr">
        <is>
          <t>https://open-archaeo.info/post/nimblecarbon/</t>
        </is>
      </c>
      <c r="E133" s="4" t="inlineStr">
        <is>
          <t>https://github.com/ercrema/nimbleCarbon</t>
        </is>
      </c>
      <c r="F133" s="4" t="inlineStr"/>
    </row>
    <row r="134">
      <c r="A134" s="4" t="inlineStr">
        <is>
          <t>ODK-forms-archaeology</t>
        </is>
      </c>
      <c r="B134" s="4" t="inlineStr">
        <is>
          <t>PACKAGES AND LIBRARIES</t>
        </is>
      </c>
      <c r="C134" s="4" t="inlineStr">
        <is>
          <t>isaacullah</t>
        </is>
      </c>
      <c r="D134" s="4" t="inlineStr">
        <is>
          <t>https://open-archaeo.info/post/odk-forms-archaeology/</t>
        </is>
      </c>
      <c r="E134" s="4" t="inlineStr">
        <is>
          <t>https://github.com/isaacullah/ODK-forms-archaeology</t>
        </is>
      </c>
      <c r="F134" s="4" t="inlineStr"/>
    </row>
    <row r="135">
      <c r="A135" s="4" t="inlineStr">
        <is>
          <t>ODKArchForms</t>
        </is>
      </c>
      <c r="B135" s="4" t="inlineStr">
        <is>
          <t>PACKAGES AND LIBRARIES</t>
        </is>
      </c>
      <c r="C135" s="4" t="inlineStr">
        <is>
          <t>UNMOCA</t>
        </is>
      </c>
      <c r="D135" s="4" t="inlineStr">
        <is>
          <t>https://open-archaeo.info/post/odkarchforms/</t>
        </is>
      </c>
      <c r="E135" s="4" t="inlineStr">
        <is>
          <t>https://github.com/UNMOCA/ODKArchForms</t>
        </is>
      </c>
      <c r="F135" s="4" t="inlineStr"/>
    </row>
    <row r="136">
      <c r="A136" s="4" t="inlineStr">
        <is>
          <t>opencontext</t>
        </is>
      </c>
      <c r="B136" s="4" t="inlineStr">
        <is>
          <t>PACKAGES AND LIBRARIES</t>
        </is>
      </c>
      <c r="C136" s="4" t="inlineStr">
        <is>
          <t>ropensci</t>
        </is>
      </c>
      <c r="D136" s="4" t="inlineStr">
        <is>
          <t>https://open-archaeo.info/post/opencontext/</t>
        </is>
      </c>
      <c r="E136" s="4" t="inlineStr">
        <is>
          <t>https://github.com/ropensci/opencontext</t>
        </is>
      </c>
      <c r="F136" s="4" t="inlineStr"/>
    </row>
    <row r="137">
      <c r="A137" s="4" t="inlineStr">
        <is>
          <t>OpenLidarToolbox</t>
        </is>
      </c>
      <c r="B137" s="4" t="inlineStr">
        <is>
          <t>PACKAGES AND LIBRARIES</t>
        </is>
      </c>
      <c r="C137" s="4" t="inlineStr">
        <is>
          <t>stefaneichert</t>
        </is>
      </c>
      <c r="D137" s="4" t="inlineStr">
        <is>
          <t>https://open-archaeo.info/post/openlidartoolbox/</t>
        </is>
      </c>
      <c r="E137" s="4" t="inlineStr">
        <is>
          <t>https://github.com/stefaneichert/OpenLidarToolbox</t>
        </is>
      </c>
      <c r="F137" s="4" t="inlineStr"/>
    </row>
    <row r="138">
      <c r="A138" s="4" t="inlineStr">
        <is>
          <t>osteoGIS</t>
        </is>
      </c>
      <c r="B138" s="4" t="inlineStr">
        <is>
          <t>PACKAGES AND LIBRARIES</t>
        </is>
      </c>
      <c r="C138" s="4" t="inlineStr">
        <is>
          <t>davidcorton</t>
        </is>
      </c>
      <c r="D138" s="4" t="inlineStr">
        <is>
          <t>https://open-archaeo.info/post/osteogis/</t>
        </is>
      </c>
      <c r="E138" s="4" t="inlineStr">
        <is>
          <t>https://github.com/davidcorton/osteoGIS</t>
        </is>
      </c>
      <c r="F138" s="4" t="inlineStr"/>
    </row>
    <row r="139">
      <c r="A139" s="4" t="inlineStr">
        <is>
          <t>outliner</t>
        </is>
      </c>
      <c r="B139" s="4" t="inlineStr">
        <is>
          <t>PACKAGES AND LIBRARIES</t>
        </is>
      </c>
      <c r="C139" s="4" t="inlineStr">
        <is>
          <t>benmarwick</t>
        </is>
      </c>
      <c r="D139" s="4" t="inlineStr">
        <is>
          <t>https://open-archaeo.info/post/outliner/</t>
        </is>
      </c>
      <c r="E139" s="4" t="inlineStr">
        <is>
          <t>https://github.com/benmarwick/outliner</t>
        </is>
      </c>
      <c r="F139" s="4" t="inlineStr"/>
    </row>
    <row r="140">
      <c r="A140" s="4" t="inlineStr">
        <is>
          <t>outlineR</t>
        </is>
      </c>
      <c r="B140" s="4" t="inlineStr">
        <is>
          <t>PACKAGES AND LIBRARIES</t>
        </is>
      </c>
      <c r="C140" s="4" t="inlineStr">
        <is>
          <t>yesdavid</t>
        </is>
      </c>
      <c r="D140" s="4" t="inlineStr">
        <is>
          <t>https://open-archaeo.info/post/outliner/</t>
        </is>
      </c>
      <c r="E140" s="4" t="inlineStr">
        <is>
          <t>https://github.com/yesdavid/outlineR</t>
        </is>
      </c>
      <c r="F140" s="4" t="inlineStr"/>
    </row>
    <row r="141">
      <c r="A141" s="4" t="inlineStr">
        <is>
          <t>oxcAAR</t>
        </is>
      </c>
      <c r="B141" s="4" t="inlineStr">
        <is>
          <t>PACKAGES AND LIBRARIES</t>
        </is>
      </c>
      <c r="C141" s="4" t="inlineStr">
        <is>
          <t>MartinHinz; nevrome; dakni; ctietze91</t>
        </is>
      </c>
      <c r="D141" s="4" t="inlineStr">
        <is>
          <t>https://open-archaeo.info/post/oxcaar/</t>
        </is>
      </c>
      <c r="E141" s="4" t="inlineStr">
        <is>
          <t>https://github.com/ISAAKiel/oxcAAR</t>
        </is>
      </c>
      <c r="F141" s="4" t="inlineStr"/>
    </row>
    <row r="142">
      <c r="A142" s="4" t="inlineStr">
        <is>
          <t>p3k14c-data-scrubbing</t>
        </is>
      </c>
      <c r="B142" s="4" t="inlineStr">
        <is>
          <t>PACKAGES AND LIBRARIES</t>
        </is>
      </c>
      <c r="C142" s="4" t="inlineStr">
        <is>
          <t>people3k</t>
        </is>
      </c>
      <c r="D142" s="4" t="inlineStr">
        <is>
          <t>https://open-archaeo.info/post/p3k14c-data-scrubbing/</t>
        </is>
      </c>
      <c r="E142" s="4" t="inlineStr">
        <is>
          <t>https://github.com/people3k/p3k14c-data-scrubbing</t>
        </is>
      </c>
      <c r="F142" s="4" t="inlineStr"/>
    </row>
    <row r="143">
      <c r="A143" s="4" t="inlineStr">
        <is>
          <t>paleocar</t>
        </is>
      </c>
      <c r="B143" s="4" t="inlineStr">
        <is>
          <t>PACKAGES AND LIBRARIES</t>
        </is>
      </c>
      <c r="C143" s="4" t="inlineStr">
        <is>
          <t>bocinsky</t>
        </is>
      </c>
      <c r="D143" s="4" t="inlineStr">
        <is>
          <t>https://open-archaeo.info/post/paleocar/</t>
        </is>
      </c>
      <c r="E143" s="4" t="inlineStr">
        <is>
          <t>https://github.com/bocinsky/paleocar</t>
        </is>
      </c>
      <c r="F143" s="4" t="inlineStr"/>
    </row>
    <row r="144">
      <c r="A144" s="4" t="inlineStr">
        <is>
          <t>paleocoreR</t>
        </is>
      </c>
      <c r="B144" s="4" t="inlineStr">
        <is>
          <t>PACKAGES AND LIBRARIES</t>
        </is>
      </c>
      <c r="C144" s="4" t="inlineStr">
        <is>
          <t>paleocore</t>
        </is>
      </c>
      <c r="D144" s="4" t="inlineStr">
        <is>
          <t>https://open-archaeo.info/post/paleocorer/</t>
        </is>
      </c>
      <c r="E144" s="4" t="inlineStr">
        <is>
          <t>https://github.com/paleocore/paleocore-r</t>
        </is>
      </c>
      <c r="F144" s="4" t="inlineStr"/>
    </row>
    <row r="145">
      <c r="A145" s="4" t="inlineStr">
        <is>
          <t>paleofire</t>
        </is>
      </c>
      <c r="B145" s="4" t="inlineStr">
        <is>
          <t>PACKAGES AND LIBRARIES</t>
        </is>
      </c>
      <c r="C145" s="4" t="inlineStr">
        <is>
          <t>oblarquez</t>
        </is>
      </c>
      <c r="D145" s="4" t="inlineStr">
        <is>
          <t>https://open-archaeo.info/post/paleofire/</t>
        </is>
      </c>
      <c r="E145" s="4" t="inlineStr">
        <is>
          <t>https://github.com/oblarquez/paleofire</t>
        </is>
      </c>
      <c r="F145" s="4" t="inlineStr"/>
    </row>
    <row r="146">
      <c r="A146" s="4" t="inlineStr">
        <is>
          <t>paleoxrf</t>
        </is>
      </c>
      <c r="B146" s="4" t="inlineStr">
        <is>
          <t>PACKAGES AND LIBRARIES</t>
        </is>
      </c>
      <c r="C146" s="4" t="inlineStr">
        <is>
          <t>paleolimbot</t>
        </is>
      </c>
      <c r="D146" s="4" t="inlineStr">
        <is>
          <t>https://open-archaeo.info/post/paleoxrf/</t>
        </is>
      </c>
      <c r="E146" s="4" t="inlineStr">
        <is>
          <t>https://github.com/paleolimbot/paleoxrf</t>
        </is>
      </c>
      <c r="F146" s="4" t="inlineStr"/>
    </row>
    <row r="147">
      <c r="A147" s="4" t="inlineStr">
        <is>
          <t>pastclim</t>
        </is>
      </c>
      <c r="B147" s="4" t="inlineStr">
        <is>
          <t>PACKAGES AND LIBRARIES</t>
        </is>
      </c>
      <c r="C147" s="4" t="inlineStr">
        <is>
          <t>EvolEcolGroup; Michela Leonardi; Emily Y. Hallet; Robert Beyer; Mario Krapp</t>
        </is>
      </c>
      <c r="D147" s="4" t="inlineStr">
        <is>
          <t>https://open-archaeo.info/post/pastclim/</t>
        </is>
      </c>
      <c r="E147" s="4" t="inlineStr">
        <is>
          <t>https://github.com/EvolEcolGroup/pastclim</t>
        </is>
      </c>
      <c r="F147" s="4" t="inlineStr"/>
    </row>
    <row r="148">
      <c r="A148" s="4" t="inlineStr">
        <is>
          <t>pathAAR</t>
        </is>
      </c>
      <c r="B148" s="4" t="inlineStr">
        <is>
          <t>PACKAGES AND LIBRARIES</t>
        </is>
      </c>
      <c r="C148" s="4" t="inlineStr">
        <is>
          <t>ISAAKiel</t>
        </is>
      </c>
      <c r="D148" s="4" t="inlineStr">
        <is>
          <t>https://open-archaeo.info/post/pathaar/</t>
        </is>
      </c>
      <c r="E148" s="4" t="inlineStr">
        <is>
          <t>https://github.com/ISAAKiel/pathAAR</t>
        </is>
      </c>
      <c r="F148" s="4" t="inlineStr"/>
    </row>
    <row r="149">
      <c r="A149" s="4" t="inlineStr">
        <is>
          <t>piwigo-3dhop</t>
        </is>
      </c>
      <c r="B149" s="4" t="inlineStr">
        <is>
          <t>PACKAGES AND LIBRARIES</t>
        </is>
      </c>
      <c r="C149" s="4" t="inlineStr">
        <is>
          <t>joeroe</t>
        </is>
      </c>
      <c r="D149" s="4" t="inlineStr">
        <is>
          <t>https://open-archaeo.info/post/piwigo-3dhop/</t>
        </is>
      </c>
      <c r="E149" s="4" t="inlineStr">
        <is>
          <t>https://github.com/joeroe/piwigo-3dhop</t>
        </is>
      </c>
      <c r="F149" s="4" t="inlineStr"/>
    </row>
    <row r="150">
      <c r="A150" s="4" t="inlineStr">
        <is>
          <t>PleistoDist</t>
        </is>
      </c>
      <c r="B150" s="4" t="inlineStr">
        <is>
          <t>PACKAGES AND LIBRARIES</t>
        </is>
      </c>
      <c r="C150" s="4" t="inlineStr">
        <is>
          <t>g33k5p34k</t>
        </is>
      </c>
      <c r="D150" s="4" t="inlineStr">
        <is>
          <t>https://open-archaeo.info/post/pleistodist/</t>
        </is>
      </c>
      <c r="E150" s="4" t="inlineStr">
        <is>
          <t>https://github.com/g33k5p34k/PleistoDist</t>
        </is>
      </c>
      <c r="F150" s="4" t="inlineStr"/>
    </row>
    <row r="151">
      <c r="A151" s="4" t="inlineStr">
        <is>
          <t>PleistoDistR</t>
        </is>
      </c>
      <c r="B151" s="4" t="inlineStr">
        <is>
          <t>PACKAGES AND LIBRARIES</t>
        </is>
      </c>
      <c r="C151" s="4" t="inlineStr">
        <is>
          <t>g33k5p34k</t>
        </is>
      </c>
      <c r="D151" s="4" t="inlineStr">
        <is>
          <t>https://open-archaeo.info/post/pleistodistr/</t>
        </is>
      </c>
      <c r="E151" s="4" t="inlineStr">
        <is>
          <t>https://github.com/g33k5p34k/PleistoDistR</t>
        </is>
      </c>
      <c r="F151" s="4" t="inlineStr"/>
    </row>
    <row r="152">
      <c r="A152" s="4" t="inlineStr">
        <is>
          <t>pollencount</t>
        </is>
      </c>
      <c r="B152" s="4" t="inlineStr">
        <is>
          <t>PACKAGES AND LIBRARIES</t>
        </is>
      </c>
      <c r="C152" s="4" t="inlineStr">
        <is>
          <t>Maarten14C</t>
        </is>
      </c>
      <c r="D152" s="4" t="inlineStr">
        <is>
          <t>https://open-archaeo.info/post/pollencount/</t>
        </is>
      </c>
      <c r="E152" s="4" t="inlineStr">
        <is>
          <t>https://github.com/Maarten14C/pollencount</t>
        </is>
      </c>
      <c r="F152" s="4" t="inlineStr"/>
    </row>
    <row r="153">
      <c r="A153" s="4" t="inlineStr">
        <is>
          <t>postAAR</t>
        </is>
      </c>
      <c r="B153" s="4" t="inlineStr">
        <is>
          <t>PACKAGES AND LIBRARIES</t>
        </is>
      </c>
      <c r="C153" s="4" t="inlineStr">
        <is>
          <t>nmueller18; chrinne</t>
        </is>
      </c>
      <c r="D153" s="4" t="inlineStr">
        <is>
          <t>https://open-archaeo.info/post/postaar/</t>
        </is>
      </c>
      <c r="E153" s="4" t="inlineStr">
        <is>
          <t>https://github.com/nmueller18/postAAR</t>
        </is>
      </c>
      <c r="F153" s="4" t="inlineStr"/>
    </row>
    <row r="154">
      <c r="A154" s="4" t="inlineStr">
        <is>
          <t>postAAR-python</t>
        </is>
      </c>
      <c r="B154" s="4" t="inlineStr">
        <is>
          <t>PACKAGES AND LIBRARIES</t>
        </is>
      </c>
      <c r="C154" s="4" t="inlineStr">
        <is>
          <t>chrinne; WerthersEchte</t>
        </is>
      </c>
      <c r="D154" s="4" t="inlineStr">
        <is>
          <t>https://open-archaeo.info/post/postaar-python/</t>
        </is>
      </c>
      <c r="E154" s="4" t="inlineStr">
        <is>
          <t>https://github.com/chrinne/postAAR-python</t>
        </is>
      </c>
      <c r="F154" s="4" t="inlineStr"/>
    </row>
    <row r="155">
      <c r="A155" s="4" t="inlineStr">
        <is>
          <t>predictSource</t>
        </is>
      </c>
      <c r="B155" s="4" t="inlineStr">
        <is>
          <t>PACKAGES AND LIBRARIES</t>
        </is>
      </c>
      <c r="C155" s="4" t="inlineStr">
        <is>
          <t>benmarwick</t>
        </is>
      </c>
      <c r="D155" s="4" t="inlineStr">
        <is>
          <t>https://open-archaeo.info/post/predictsource/</t>
        </is>
      </c>
      <c r="E155" s="4" t="inlineStr">
        <is>
          <t>https://github.com/benmarwick/predictSource</t>
        </is>
      </c>
      <c r="F155" s="4" t="inlineStr"/>
    </row>
    <row r="156">
      <c r="A156" s="4" t="inlineStr">
        <is>
          <t>profileAAR</t>
        </is>
      </c>
      <c r="B156" s="4" t="inlineStr">
        <is>
          <t>PACKAGES AND LIBRARIES</t>
        </is>
      </c>
      <c r="C156" s="4" t="inlineStr">
        <is>
          <t>ISAAKiel</t>
        </is>
      </c>
      <c r="D156" s="4" t="inlineStr">
        <is>
          <t>https://open-archaeo.info/post/profileaar/</t>
        </is>
      </c>
      <c r="E156" s="4" t="inlineStr">
        <is>
          <t>https://github.com/ISAAKiel/profileAAR</t>
        </is>
      </c>
      <c r="F156" s="4" t="inlineStr"/>
    </row>
    <row r="157">
      <c r="A157" s="4" t="inlineStr">
        <is>
          <t>pXRF</t>
        </is>
      </c>
      <c r="B157" s="4" t="inlineStr">
        <is>
          <t>PACKAGES AND LIBRARIES</t>
        </is>
      </c>
      <c r="C157" s="4" t="inlineStr">
        <is>
          <t>MartinHinz</t>
        </is>
      </c>
      <c r="D157" s="4" t="inlineStr">
        <is>
          <t>https://open-archaeo.info/post/pxrf/</t>
        </is>
      </c>
      <c r="E157" s="4" t="inlineStr">
        <is>
          <t>https://github.com/MartinHinz/pXRF</t>
        </is>
      </c>
      <c r="F157" s="4" t="inlineStr"/>
    </row>
    <row r="158">
      <c r="A158" s="4" t="inlineStr">
        <is>
          <t>pyArchInit</t>
        </is>
      </c>
      <c r="B158" s="4" t="inlineStr">
        <is>
          <t>PACKAGES AND LIBRARIES</t>
        </is>
      </c>
      <c r="C158" s="4" t="inlineStr">
        <is>
          <t>pyarchinit</t>
        </is>
      </c>
      <c r="D158" s="4" t="inlineStr">
        <is>
          <t>https://open-archaeo.info/post/pyarchinit/</t>
        </is>
      </c>
      <c r="E158" s="4" t="inlineStr">
        <is>
          <t>https://sites.google.com/site/pyarchinit/</t>
        </is>
      </c>
      <c r="F158" s="4" t="inlineStr"/>
    </row>
    <row r="159">
      <c r="A159" s="4" t="inlineStr">
        <is>
          <t>pygeoroc</t>
        </is>
      </c>
      <c r="B159" s="4" t="inlineStr">
        <is>
          <t>PACKAGES AND LIBRARIES</t>
        </is>
      </c>
      <c r="C159" s="4" t="inlineStr">
        <is>
          <t>potafu</t>
        </is>
      </c>
      <c r="D159" s="4" t="inlineStr">
        <is>
          <t>https://open-archaeo.info/post/pygeoroc/</t>
        </is>
      </c>
      <c r="E159" s="4" t="inlineStr">
        <is>
          <t>https://github.com/potafu/pygeoroc</t>
        </is>
      </c>
      <c r="F159" s="4" t="inlineStr"/>
    </row>
    <row r="160">
      <c r="A160" s="4" t="inlineStr">
        <is>
          <t>pypofatu</t>
        </is>
      </c>
      <c r="B160" s="4" t="inlineStr">
        <is>
          <t>PACKAGES AND LIBRARIES</t>
        </is>
      </c>
      <c r="C160" s="4" t="inlineStr">
        <is>
          <t>pofatu</t>
        </is>
      </c>
      <c r="D160" s="4" t="inlineStr">
        <is>
          <t>https://open-archaeo.info/post/pypofatu/</t>
        </is>
      </c>
      <c r="E160" s="4" t="inlineStr">
        <is>
          <t>https://github.com/pofatu/pypofatu</t>
        </is>
      </c>
      <c r="F160" s="4" t="inlineStr"/>
    </row>
    <row r="161">
      <c r="A161" s="4" t="inlineStr">
        <is>
          <t>QGIS-scripts</t>
        </is>
      </c>
      <c r="B161" s="4" t="inlineStr">
        <is>
          <t>PACKAGES AND LIBRARIES</t>
        </is>
      </c>
      <c r="C161" s="4" t="inlineStr">
        <is>
          <t>zoran-cuckovic</t>
        </is>
      </c>
      <c r="D161" s="4" t="inlineStr">
        <is>
          <t>https://open-archaeo.info/post/qgis-scripts/</t>
        </is>
      </c>
      <c r="E161" s="4" t="inlineStr">
        <is>
          <t>https://github.com/zoran-cuckovic/QGIS-scripts</t>
        </is>
      </c>
      <c r="F161" s="4" t="inlineStr"/>
    </row>
    <row r="162">
      <c r="A162" s="4" t="inlineStr">
        <is>
          <t>QGIS-topographic-networks</t>
        </is>
      </c>
      <c r="B162" s="4" t="inlineStr">
        <is>
          <t>PACKAGES AND LIBRARIES</t>
        </is>
      </c>
      <c r="C162" s="4" t="inlineStr">
        <is>
          <t>zoran-cuckovic</t>
        </is>
      </c>
      <c r="D162" s="4" t="inlineStr">
        <is>
          <t>https://open-archaeo.info/post/qgis-topographic-networks/</t>
        </is>
      </c>
      <c r="E162" s="4" t="inlineStr">
        <is>
          <t>https://github.com/zoran-cuckovic/QGIS-topographic-networks</t>
        </is>
      </c>
      <c r="F162" s="4" t="inlineStr"/>
    </row>
    <row r="163">
      <c r="A163" s="4" t="inlineStr">
        <is>
          <t>QGIS-visibility-analysis</t>
        </is>
      </c>
      <c r="B163" s="4" t="inlineStr">
        <is>
          <t>PACKAGES AND LIBRARIES</t>
        </is>
      </c>
      <c r="C163" s="4" t="inlineStr">
        <is>
          <t>zoran-cuckovic</t>
        </is>
      </c>
      <c r="D163" s="4" t="inlineStr">
        <is>
          <t>https://open-archaeo.info/post/qgis-visibility-analysis/</t>
        </is>
      </c>
      <c r="E163" s="4" t="inlineStr">
        <is>
          <t>https://github.com/zoran-cuckovic/QGIS-visibility-analysis</t>
        </is>
      </c>
      <c r="F163" s="4" t="inlineStr"/>
    </row>
    <row r="164">
      <c r="A164" s="4" t="inlineStr">
        <is>
          <t>quantAAR</t>
        </is>
      </c>
      <c r="B164" s="4" t="inlineStr">
        <is>
          <t>PACKAGES AND LIBRARIES</t>
        </is>
      </c>
      <c r="C164" s="4" t="inlineStr">
        <is>
          <t>ISAAKiel</t>
        </is>
      </c>
      <c r="D164" s="4" t="inlineStr">
        <is>
          <t>https://open-archaeo.info/post/quantaar/</t>
        </is>
      </c>
      <c r="E164" s="4" t="inlineStr">
        <is>
          <t>https://github.com/ISAAKiel/quantAAR</t>
        </is>
      </c>
      <c r="F164" s="4" t="inlineStr"/>
    </row>
    <row r="165">
      <c r="A165" s="4" t="inlineStr">
        <is>
          <t>quantatools</t>
        </is>
      </c>
      <c r="B165" s="4" t="inlineStr">
        <is>
          <t>PACKAGES AND LIBRARIES</t>
        </is>
      </c>
      <c r="C165" s="4" t="inlineStr">
        <is>
          <t>maciejkasinski</t>
        </is>
      </c>
      <c r="D165" s="4" t="inlineStr">
        <is>
          <t>https://open-archaeo.info/post/quantatools/</t>
        </is>
      </c>
      <c r="E165" s="4" t="inlineStr">
        <is>
          <t>https://github.com/maciejkasinski/quantatools</t>
        </is>
      </c>
      <c r="F165" s="4" t="inlineStr"/>
    </row>
    <row r="166">
      <c r="A166" s="4" t="inlineStr">
        <is>
          <t>rbacon</t>
        </is>
      </c>
      <c r="B166" s="4" t="inlineStr">
        <is>
          <t>PACKAGES AND LIBRARIES</t>
        </is>
      </c>
      <c r="C166" s="4" t="inlineStr">
        <is>
          <t>Maarten14C</t>
        </is>
      </c>
      <c r="D166" s="4" t="inlineStr">
        <is>
          <t>https://open-archaeo.info/post/rbacon/</t>
        </is>
      </c>
      <c r="E166" s="4" t="inlineStr">
        <is>
          <t>https://github.com/Maarten14C/rbacon</t>
        </is>
      </c>
      <c r="F166" s="4" t="inlineStr"/>
    </row>
    <row r="167">
      <c r="A167" s="4" t="inlineStr">
        <is>
          <t>Rcarb</t>
        </is>
      </c>
      <c r="B167" s="4" t="inlineStr">
        <is>
          <t>PACKAGES AND LIBRARIES</t>
        </is>
      </c>
      <c r="C167" s="4" t="inlineStr">
        <is>
          <t>R-Lum</t>
        </is>
      </c>
      <c r="D167" s="4" t="inlineStr">
        <is>
          <t>https://open-archaeo.info/post/rcarb/</t>
        </is>
      </c>
      <c r="E167" s="4" t="inlineStr">
        <is>
          <t>https://github.com/R-Lum/RCarb</t>
        </is>
      </c>
      <c r="F167" s="4" t="inlineStr"/>
    </row>
    <row r="168">
      <c r="A168" s="4" t="inlineStr">
        <is>
          <t>rcarbon</t>
        </is>
      </c>
      <c r="B168" s="4" t="inlineStr">
        <is>
          <t>PACKAGES AND LIBRARIES</t>
        </is>
      </c>
      <c r="C168" s="4" t="inlineStr">
        <is>
          <t>ahb108</t>
        </is>
      </c>
      <c r="D168" s="4" t="inlineStr">
        <is>
          <t>https://open-archaeo.info/post/rcarbon/</t>
        </is>
      </c>
      <c r="E168" s="4" t="inlineStr">
        <is>
          <t>https://github.com/ahb108/rcarbon</t>
        </is>
      </c>
      <c r="F168" s="4" t="inlineStr"/>
    </row>
    <row r="169">
      <c r="A169" s="4" t="inlineStr">
        <is>
          <t>rdss</t>
        </is>
      </c>
      <c r="B169" s="4" t="inlineStr">
        <is>
          <t>PACKAGES AND LIBRARIES</t>
        </is>
      </c>
      <c r="C169" s="4" t="inlineStr">
        <is>
          <t>frederic-santos</t>
        </is>
      </c>
      <c r="D169" s="4" t="inlineStr">
        <is>
          <t>https://open-archaeo.info/post/rdss/</t>
        </is>
      </c>
      <c r="E169" s="4" t="inlineStr">
        <is>
          <t>https://github.com/frederic-santos/rdss</t>
        </is>
      </c>
      <c r="F169" s="4" t="inlineStr"/>
    </row>
    <row r="170">
      <c r="A170" s="4" t="inlineStr">
        <is>
          <t>recexcavAAR</t>
        </is>
      </c>
      <c r="B170" s="4" t="inlineStr">
        <is>
          <t>PACKAGES AND LIBRARIES</t>
        </is>
      </c>
      <c r="C170" s="4" t="inlineStr">
        <is>
          <t>ISAAKiel</t>
        </is>
      </c>
      <c r="D170" s="4" t="inlineStr">
        <is>
          <t>https://open-archaeo.info/post/recexcavaar/</t>
        </is>
      </c>
      <c r="E170" s="4" t="inlineStr">
        <is>
          <t>https://github.com/ISAAKiel/recexcavAAR</t>
        </is>
      </c>
      <c r="F170" s="4" t="inlineStr"/>
    </row>
    <row r="171">
      <c r="A171" s="4" t="inlineStr">
        <is>
          <t>recmod</t>
        </is>
      </c>
      <c r="B171" s="4" t="inlineStr">
        <is>
          <t>PACKAGES AND LIBRARIES</t>
        </is>
      </c>
      <c r="C171" s="4" t="inlineStr">
        <is>
          <t>wccarleton</t>
        </is>
      </c>
      <c r="D171" s="4" t="inlineStr">
        <is>
          <t>https://open-archaeo.info/post/recmod/</t>
        </is>
      </c>
      <c r="E171" s="4" t="inlineStr">
        <is>
          <t>https://github.com/wccarleton/recmod</t>
        </is>
      </c>
      <c r="F171" s="4" t="inlineStr"/>
    </row>
    <row r="172">
      <c r="A172" s="4" t="inlineStr">
        <is>
          <t>RGPR</t>
        </is>
      </c>
      <c r="B172" s="4" t="inlineStr">
        <is>
          <t>PACKAGES AND LIBRARIES</t>
        </is>
      </c>
      <c r="C172" s="4" t="inlineStr">
        <is>
          <t>emanuelhuber</t>
        </is>
      </c>
      <c r="D172" s="4" t="inlineStr">
        <is>
          <t>https://open-archaeo.info/post/rgpr/</t>
        </is>
      </c>
      <c r="E172" s="4" t="inlineStr">
        <is>
          <t>https://github.com/emanuelhuber/RGPR</t>
        </is>
      </c>
      <c r="F172" s="4" t="inlineStr"/>
    </row>
    <row r="173">
      <c r="A173" s="4" t="inlineStr">
        <is>
          <t>rintchron</t>
        </is>
      </c>
      <c r="B173" s="4" t="inlineStr">
        <is>
          <t>PACKAGES AND LIBRARIES</t>
        </is>
      </c>
      <c r="C173" s="4" t="inlineStr">
        <is>
          <t>joeroe</t>
        </is>
      </c>
      <c r="D173" s="4" t="inlineStr">
        <is>
          <t>https://open-archaeo.info/post/rintchron/</t>
        </is>
      </c>
      <c r="E173" s="4" t="inlineStr">
        <is>
          <t>https://github.com/joeroe/rintchron</t>
        </is>
      </c>
      <c r="F173" s="4" t="inlineStr"/>
    </row>
    <row r="174">
      <c r="A174" s="4" t="inlineStr">
        <is>
          <t>RJradiocarbon</t>
        </is>
      </c>
      <c r="B174" s="4" t="inlineStr">
        <is>
          <t>PACKAGES AND LIBRARIES</t>
        </is>
      </c>
      <c r="C174" s="4" t="inlineStr">
        <is>
          <t>sara-amira-alassam</t>
        </is>
      </c>
      <c r="D174" s="4" t="inlineStr">
        <is>
          <t>https://open-archaeo.info/post/rjradiocarbon/</t>
        </is>
      </c>
      <c r="E174" s="4" t="inlineStr">
        <is>
          <t>https://github.com/sara-amira-alassam/RJradiocarbon</t>
        </is>
      </c>
      <c r="F174" s="4" t="inlineStr"/>
    </row>
    <row r="175">
      <c r="A175" s="4" t="inlineStr">
        <is>
          <t>RLumModel</t>
        </is>
      </c>
      <c r="B175" s="4" t="inlineStr">
        <is>
          <t>PACKAGES AND LIBRARIES</t>
        </is>
      </c>
      <c r="C175" s="4" t="inlineStr">
        <is>
          <t>R-Lum</t>
        </is>
      </c>
      <c r="D175" s="4" t="inlineStr">
        <is>
          <t>https://open-archaeo.info/post/rlummodel/</t>
        </is>
      </c>
      <c r="E175" s="4" t="inlineStr">
        <is>
          <t>https://github.com/R-Lum/RLumModel</t>
        </is>
      </c>
      <c r="F175" s="4" t="inlineStr"/>
    </row>
    <row r="176">
      <c r="A176" s="4" t="inlineStr">
        <is>
          <t>rock-art-radnet</t>
        </is>
      </c>
      <c r="B176" s="4" t="inlineStr">
        <is>
          <t>PACKAGES AND LIBRARIES</t>
        </is>
      </c>
      <c r="C176" s="4" t="inlineStr">
        <is>
          <t>Swedish-Rock-Art-Research-Archives</t>
        </is>
      </c>
      <c r="D176" s="4" t="inlineStr">
        <is>
          <t>https://open-archaeo.info/post/rock-art-radnet/</t>
        </is>
      </c>
      <c r="E176" s="4" t="inlineStr">
        <is>
          <t>https://github.com/Swedish-Rock-Art-Research-Archives/rock-art-radnet</t>
        </is>
      </c>
      <c r="F176" s="4" t="inlineStr"/>
    </row>
    <row r="177">
      <c r="A177" s="4" t="inlineStr">
        <is>
          <t>rock-art-ratopoviz</t>
        </is>
      </c>
      <c r="B177" s="4" t="inlineStr">
        <is>
          <t>PACKAGES AND LIBRARIES</t>
        </is>
      </c>
      <c r="C177" s="4" t="inlineStr">
        <is>
          <t>Swedish-Rock-Art-Research-Archives</t>
        </is>
      </c>
      <c r="D177" s="4" t="inlineStr">
        <is>
          <t>https://open-archaeo.info/post/rock-art-ratopoviz/</t>
        </is>
      </c>
      <c r="E177" s="4" t="inlineStr">
        <is>
          <t>https://github.com/Swedish-Rock-Art-Research-Archives/rock-art-ratopoviz</t>
        </is>
      </c>
      <c r="F177" s="4" t="inlineStr"/>
    </row>
    <row r="178">
      <c r="A178" s="4" t="inlineStr">
        <is>
          <t>rock-art-transfer-learning</t>
        </is>
      </c>
      <c r="B178" s="4" t="inlineStr">
        <is>
          <t>PACKAGES AND LIBRARIES</t>
        </is>
      </c>
      <c r="C178" s="4" t="inlineStr">
        <is>
          <t>keeeal</t>
        </is>
      </c>
      <c r="D178" s="4" t="inlineStr">
        <is>
          <t>https://open-archaeo.info/post/rock-art-transfer-learning/</t>
        </is>
      </c>
      <c r="E178" s="4" t="inlineStr">
        <is>
          <t>https://github.com/keeeal/rock-art-transfer-learning</t>
        </is>
      </c>
      <c r="F178" s="4" t="inlineStr"/>
    </row>
    <row r="179">
      <c r="A179" s="4" t="inlineStr">
        <is>
          <t>rockart-textanalysis</t>
        </is>
      </c>
      <c r="B179" s="4" t="inlineStr">
        <is>
          <t>PACKAGES AND LIBRARIES</t>
        </is>
      </c>
      <c r="C179" s="4" t="inlineStr">
        <is>
          <t>lakillo</t>
        </is>
      </c>
      <c r="D179" s="4" t="inlineStr">
        <is>
          <t>https://open-archaeo.info/post/rockart-textanalysis/</t>
        </is>
      </c>
      <c r="E179" s="4" t="inlineStr">
        <is>
          <t>https://github.com/lakillo/rockart-textanalysis</t>
        </is>
      </c>
      <c r="F179" s="4" t="inlineStr"/>
    </row>
    <row r="180">
      <c r="A180" s="4" t="inlineStr">
        <is>
          <t>roev</t>
        </is>
      </c>
      <c r="B180" s="4" t="inlineStr">
        <is>
          <t>PACKAGES AND LIBRARIES</t>
        </is>
      </c>
      <c r="C180" s="4" t="inlineStr">
        <is>
          <t>benmarwick</t>
        </is>
      </c>
      <c r="D180" s="4" t="inlineStr">
        <is>
          <t>https://open-archaeo.info/post/roev/</t>
        </is>
      </c>
      <c r="E180" s="4" t="inlineStr">
        <is>
          <t>https://github.com/benmarwick/roev</t>
        </is>
      </c>
      <c r="F180" s="4" t="inlineStr"/>
    </row>
    <row r="181">
      <c r="A181" s="4" t="inlineStr">
        <is>
          <t>rpaleoclim</t>
        </is>
      </c>
      <c r="B181" s="4" t="inlineStr">
        <is>
          <t>PACKAGES AND LIBRARIES</t>
        </is>
      </c>
      <c r="C181" s="4" t="inlineStr">
        <is>
          <t>joeroe</t>
        </is>
      </c>
      <c r="D181" s="4" t="inlineStr">
        <is>
          <t>https://open-archaeo.info/post/rpaleoclim/</t>
        </is>
      </c>
      <c r="E181" s="4" t="inlineStr">
        <is>
          <t>https://github.com/joeroe/rpaleoclim</t>
        </is>
      </c>
      <c r="F181" s="4" t="inlineStr"/>
    </row>
    <row r="182">
      <c r="A182" s="4" t="inlineStr">
        <is>
          <t>rtefact</t>
        </is>
      </c>
      <c r="B182" s="4" t="inlineStr">
        <is>
          <t>PACKAGES AND LIBRARIES</t>
        </is>
      </c>
      <c r="C182" s="4" t="inlineStr">
        <is>
          <t>ahb108</t>
        </is>
      </c>
      <c r="D182" s="4" t="inlineStr">
        <is>
          <t>https://open-archaeo.info/post/rtefact/</t>
        </is>
      </c>
      <c r="E182" s="4" t="inlineStr">
        <is>
          <t>https://github.com/ahb108/rtefact</t>
        </is>
      </c>
      <c r="F182" s="4" t="inlineStr"/>
    </row>
    <row r="183">
      <c r="A183" s="4" t="inlineStr">
        <is>
          <t>ruby-radiocarbon</t>
        </is>
      </c>
      <c r="B183" s="4" t="inlineStr">
        <is>
          <t>PACKAGES AND LIBRARIES</t>
        </is>
      </c>
      <c r="C183" s="4" t="inlineStr">
        <is>
          <t>joeroe</t>
        </is>
      </c>
      <c r="D183" s="4" t="inlineStr">
        <is>
          <t>https://open-archaeo.info/post/ruby-radiocarbon/</t>
        </is>
      </c>
      <c r="E183" s="4" t="inlineStr">
        <is>
          <t>https://github.com/joeroe/ruby-radiocarbon</t>
        </is>
      </c>
      <c r="F183" s="4" t="inlineStr"/>
    </row>
    <row r="184">
      <c r="A184" s="4" t="inlineStr">
        <is>
          <t>rxylib</t>
        </is>
      </c>
      <c r="B184" s="4" t="inlineStr">
        <is>
          <t>PACKAGES AND LIBRARIES</t>
        </is>
      </c>
      <c r="C184" s="4" t="inlineStr">
        <is>
          <t>R-Lum</t>
        </is>
      </c>
      <c r="D184" s="4" t="inlineStr">
        <is>
          <t>https://open-archaeo.info/post/rxylib/</t>
        </is>
      </c>
      <c r="E184" s="4" t="inlineStr">
        <is>
          <t>https://github.com/R-Lum/rxylib</t>
        </is>
      </c>
      <c r="F184" s="4" t="inlineStr"/>
    </row>
    <row r="185">
      <c r="A185" s="4" t="inlineStr">
        <is>
          <t>SCEM</t>
        </is>
      </c>
      <c r="B185" s="4" t="inlineStr">
        <is>
          <t>PACKAGES AND LIBRARIES</t>
        </is>
      </c>
      <c r="C185" s="4" t="inlineStr">
        <is>
          <t>kserkcho; Hannah Chazin; Soudeep Deb; Joshua Falk; Arun Srinivasan</t>
        </is>
      </c>
      <c r="D185" s="4" t="inlineStr">
        <is>
          <t>https://open-archaeo.info/post/scem/</t>
        </is>
      </c>
      <c r="E185" s="4" t="inlineStr">
        <is>
          <t>https://github.com/kserkcho/SCEM</t>
        </is>
      </c>
      <c r="F185" s="4" t="inlineStr"/>
    </row>
    <row r="186">
      <c r="A186" s="4" t="inlineStr">
        <is>
          <t>sdsanalysis</t>
        </is>
      </c>
      <c r="B186" s="4" t="inlineStr">
        <is>
          <t>PACKAGES AND LIBRARIES</t>
        </is>
      </c>
      <c r="C186" s="4" t="inlineStr">
        <is>
          <t>Johanna-Mestorf-Academy</t>
        </is>
      </c>
      <c r="D186" s="4" t="inlineStr">
        <is>
          <t>https://open-archaeo.info/post/sdsanalysis/</t>
        </is>
      </c>
      <c r="E186" s="4" t="inlineStr">
        <is>
          <t>https://github.com/Johanna-Mestorf-Academy/sdsanalysis</t>
        </is>
      </c>
      <c r="F186" s="4" t="inlineStr"/>
    </row>
    <row r="187">
      <c r="A187" s="4" t="inlineStr">
        <is>
          <t>SEAHORS</t>
        </is>
      </c>
      <c r="B187" s="4" t="inlineStr">
        <is>
          <t>PACKAGES AND LIBRARIES</t>
        </is>
      </c>
      <c r="C187" s="4" t="inlineStr">
        <is>
          <t>AurelienRoyer</t>
        </is>
      </c>
      <c r="D187" s="4" t="inlineStr">
        <is>
          <t>https://open-archaeo.info/post/seahors/</t>
        </is>
      </c>
      <c r="E187" s="4" t="inlineStr">
        <is>
          <t>https://github.com/AurelienRoyer/SEAHORS</t>
        </is>
      </c>
      <c r="F187" s="4" t="inlineStr"/>
    </row>
    <row r="188">
      <c r="A188" s="4" t="inlineStr">
        <is>
          <t>senscape</t>
        </is>
      </c>
      <c r="B188" s="4" t="inlineStr">
        <is>
          <t>PACKAGES AND LIBRARIES</t>
        </is>
      </c>
      <c r="C188" s="4" t="inlineStr">
        <is>
          <t>zoran-cuckovic</t>
        </is>
      </c>
      <c r="D188" s="4" t="inlineStr">
        <is>
          <t>https://open-archaeo.info/post/senscape/</t>
        </is>
      </c>
      <c r="E188" s="4" t="inlineStr">
        <is>
          <t>https://github.com/zoran-cuckovic/senscape</t>
        </is>
      </c>
      <c r="F188" s="4" t="inlineStr"/>
    </row>
    <row r="189">
      <c r="A189" s="4" t="inlineStr">
        <is>
          <t>seriation</t>
        </is>
      </c>
      <c r="B189" s="4" t="inlineStr">
        <is>
          <t>PACKAGES AND LIBRARIES</t>
        </is>
      </c>
      <c r="C189" s="4" t="inlineStr">
        <is>
          <t>mhahsler; Christian Buchta; Kurt Hornik; Fionn Murtagh; Michael Brusco; Stephanie Stahl; Hans-Friedrich Koehn</t>
        </is>
      </c>
      <c r="D189" s="4" t="inlineStr">
        <is>
          <t>https://open-archaeo.info/post/seriation/</t>
        </is>
      </c>
      <c r="E189" s="4" t="inlineStr">
        <is>
          <t>https://github.com/mhahsler/seriation</t>
        </is>
      </c>
      <c r="F189" s="4" t="inlineStr"/>
    </row>
    <row r="190">
      <c r="A190" s="4" t="inlineStr">
        <is>
          <t>Seriation (iterative)</t>
        </is>
      </c>
      <c r="B190" s="4" t="inlineStr">
        <is>
          <t>PACKAGES AND LIBRARIES</t>
        </is>
      </c>
      <c r="C190" s="4" t="inlineStr">
        <is>
          <t>clipo</t>
        </is>
      </c>
      <c r="D190" s="4" t="inlineStr">
        <is>
          <t>https://open-archaeo.info/post/seriation-iterative/</t>
        </is>
      </c>
      <c r="E190" s="4" t="inlineStr">
        <is>
          <t>https://github.com/clipo/Seriation</t>
        </is>
      </c>
      <c r="F190" s="4" t="inlineStr"/>
    </row>
    <row r="191">
      <c r="A191" s="4" t="inlineStr">
        <is>
          <t>Seriographe EPPM</t>
        </is>
      </c>
      <c r="B191" s="4" t="inlineStr">
        <is>
          <t>PACKAGES AND LIBRARIES</t>
        </is>
      </c>
      <c r="C191" s="4" t="inlineStr">
        <is>
          <t>Bruno Desachy</t>
        </is>
      </c>
      <c r="D191" s="4" t="inlineStr">
        <is>
          <t>https://open-archaeo.info/post/seriographe-eppm/</t>
        </is>
      </c>
      <c r="E191" s="4" t="inlineStr">
        <is>
          <t>https://abp.hypotheses.org/seriographe-eppm</t>
        </is>
      </c>
      <c r="F191" s="4" t="inlineStr"/>
    </row>
    <row r="192">
      <c r="A192" s="4" t="inlineStr">
        <is>
          <t>SexEst</t>
        </is>
      </c>
      <c r="B192" s="4" t="inlineStr">
        <is>
          <t>PACKAGES AND LIBRARIES</t>
        </is>
      </c>
      <c r="C192" s="4" t="inlineStr">
        <is>
          <t>cconsta1</t>
        </is>
      </c>
      <c r="D192" s="4" t="inlineStr">
        <is>
          <t>https://open-archaeo.info/post/sexest/</t>
        </is>
      </c>
      <c r="E192" s="4" t="inlineStr">
        <is>
          <t>https://github.com/cconsta1/SexEst</t>
        </is>
      </c>
      <c r="F192" s="4" t="inlineStr"/>
    </row>
    <row r="193">
      <c r="A193" s="4" t="inlineStr">
        <is>
          <t>shapAAR</t>
        </is>
      </c>
      <c r="B193" s="4" t="inlineStr">
        <is>
          <t>PACKAGES AND LIBRARIES</t>
        </is>
      </c>
      <c r="C193" s="4" t="inlineStr">
        <is>
          <t>ISAAKiel</t>
        </is>
      </c>
      <c r="D193" s="4" t="inlineStr">
        <is>
          <t>https://open-archaeo.info/post/shapaar/</t>
        </is>
      </c>
      <c r="E193" s="4" t="inlineStr">
        <is>
          <t>https://github.com/ISAAKiel/shapAAR</t>
        </is>
      </c>
      <c r="F193" s="4" t="inlineStr"/>
    </row>
    <row r="194">
      <c r="A194" s="4" t="inlineStr">
        <is>
          <t>shkrdata</t>
        </is>
      </c>
      <c r="B194" s="4" t="inlineStr">
        <is>
          <t>PACKAGES AND LIBRARIES</t>
        </is>
      </c>
      <c r="C194" s="4" t="inlineStr">
        <is>
          <t>ISAAKiel</t>
        </is>
      </c>
      <c r="D194" s="4" t="inlineStr">
        <is>
          <t>https://open-archaeo.info/post/shkrdata/</t>
        </is>
      </c>
      <c r="E194" s="4" t="inlineStr">
        <is>
          <t>https://github.com/ISAAKiel/shkrdata</t>
        </is>
      </c>
      <c r="F194" s="4" t="inlineStr"/>
    </row>
    <row r="195">
      <c r="A195" s="4" t="inlineStr">
        <is>
          <t>shoredate</t>
        </is>
      </c>
      <c r="B195" s="4" t="inlineStr">
        <is>
          <t>PACKAGES AND LIBRARIES</t>
        </is>
      </c>
      <c r="C195" s="4" t="inlineStr">
        <is>
          <t>isakro</t>
        </is>
      </c>
      <c r="D195" s="4" t="inlineStr">
        <is>
          <t>https://open-archaeo.info/post/shoredate/</t>
        </is>
      </c>
      <c r="E195" s="4" t="inlineStr">
        <is>
          <t>https://github.com/isakro/shoredate</t>
        </is>
      </c>
      <c r="F195" s="4" t="inlineStr"/>
    </row>
    <row r="196">
      <c r="A196" s="4" t="inlineStr">
        <is>
          <t>signboardr</t>
        </is>
      </c>
      <c r="B196" s="4" t="inlineStr">
        <is>
          <t>PACKAGES AND LIBRARIES</t>
        </is>
      </c>
      <c r="C196" s="4" t="inlineStr">
        <is>
          <t>mrecos</t>
        </is>
      </c>
      <c r="D196" s="4" t="inlineStr">
        <is>
          <t>https://open-archaeo.info/post/signboardr/</t>
        </is>
      </c>
      <c r="E196" s="4" t="inlineStr">
        <is>
          <t>https://github.com/mrecos/signboardr</t>
        </is>
      </c>
      <c r="F196" s="4" t="inlineStr"/>
    </row>
    <row r="197">
      <c r="A197" s="4" t="inlineStr">
        <is>
          <t>sindwem</t>
        </is>
      </c>
      <c r="B197" s="4" t="inlineStr">
        <is>
          <t>PACKAGES AND LIBRARIES</t>
        </is>
      </c>
      <c r="C197" s="4" t="inlineStr">
        <is>
          <t>steko</t>
        </is>
      </c>
      <c r="D197" s="4" t="inlineStr">
        <is>
          <t>https://open-archaeo.info/post/sindwem/</t>
        </is>
      </c>
      <c r="E197" s="4" t="inlineStr">
        <is>
          <t>https://bitbucket.org/steko/sindwem</t>
        </is>
      </c>
      <c r="F197" s="4" t="inlineStr"/>
    </row>
    <row r="198">
      <c r="A198" s="4" t="inlineStr">
        <is>
          <t>sitedefinition</t>
        </is>
      </c>
      <c r="B198" s="4" t="inlineStr">
        <is>
          <t>PACKAGES AND LIBRARIES</t>
        </is>
      </c>
      <c r="C198" s="4" t="inlineStr">
        <is>
          <t>SCSchmidt</t>
        </is>
      </c>
      <c r="D198" s="4" t="inlineStr">
        <is>
          <t>https://open-archaeo.info/post/sitedefinition/</t>
        </is>
      </c>
      <c r="E198" s="4" t="inlineStr">
        <is>
          <t>https://github.com/SCSchmidt/sitedefinition</t>
        </is>
      </c>
      <c r="F198" s="4" t="inlineStr"/>
    </row>
    <row r="199">
      <c r="A199" s="4" t="inlineStr">
        <is>
          <t>SiteSyncro</t>
        </is>
      </c>
      <c r="B199" s="4" t="inlineStr">
        <is>
          <t>PACKAGES AND LIBRARIES</t>
        </is>
      </c>
      <c r="C199" s="4" t="inlineStr">
        <is>
          <t>demjanp</t>
        </is>
      </c>
      <c r="D199" s="4" t="inlineStr">
        <is>
          <t>https://open-archaeo.info/post/sitesyncro/</t>
        </is>
      </c>
      <c r="E199" s="4" t="inlineStr">
        <is>
          <t>https://github.com/demjanp/SiteSyncro</t>
        </is>
      </c>
      <c r="F199" s="4" t="inlineStr"/>
    </row>
    <row r="200">
      <c r="A200" s="4" t="inlineStr">
        <is>
          <t>skyscapeR</t>
        </is>
      </c>
      <c r="B200" s="4" t="inlineStr">
        <is>
          <t>PACKAGES AND LIBRARIES</t>
        </is>
      </c>
      <c r="C200" s="4" t="inlineStr">
        <is>
          <t>f-silva-archaeo</t>
        </is>
      </c>
      <c r="D200" s="4" t="inlineStr">
        <is>
          <t>https://open-archaeo.info/post/skyscaper/</t>
        </is>
      </c>
      <c r="E200" s="4" t="inlineStr">
        <is>
          <t>https://github.com/f-silva-archaeo/skyscapeR</t>
        </is>
      </c>
      <c r="F200" s="4" t="inlineStr"/>
    </row>
    <row r="201">
      <c r="A201" s="4" t="inlineStr">
        <is>
          <t>soiltexture</t>
        </is>
      </c>
      <c r="B201" s="4" t="inlineStr">
        <is>
          <t>PACKAGES AND LIBRARIES</t>
        </is>
      </c>
      <c r="C201" s="4" t="inlineStr">
        <is>
          <t>julienmoeys</t>
        </is>
      </c>
      <c r="D201" s="4" t="inlineStr">
        <is>
          <t>https://open-archaeo.info/post/soiltexture/</t>
        </is>
      </c>
      <c r="E201" s="4" t="inlineStr">
        <is>
          <t>https://github.com/cran/soiltexture</t>
        </is>
      </c>
      <c r="F201" s="4" t="inlineStr"/>
    </row>
    <row r="202">
      <c r="A202" s="4" t="inlineStr">
        <is>
          <t>sparch</t>
        </is>
      </c>
      <c r="B202" s="4" t="inlineStr">
        <is>
          <t>PACKAGES AND LIBRARIES</t>
        </is>
      </c>
      <c r="C202" s="4" t="inlineStr">
        <is>
          <t>ahb108</t>
        </is>
      </c>
      <c r="D202" s="4" t="inlineStr">
        <is>
          <t>https://open-archaeo.info/post/sparch/</t>
        </is>
      </c>
      <c r="E202" s="4" t="inlineStr">
        <is>
          <t>https://github.com/ahb108/sparch</t>
        </is>
      </c>
      <c r="F202" s="4" t="inlineStr"/>
    </row>
    <row r="203">
      <c r="A203" s="4" t="inlineStr">
        <is>
          <t>SPARTAAS</t>
        </is>
      </c>
      <c r="B203" s="4" t="inlineStr">
        <is>
          <t>PACKAGES AND LIBRARIES</t>
        </is>
      </c>
      <c r="C203" s="4" t="inlineStr">
        <is>
          <t>Lise Bellanger; Philippe Husi; Arthur Coulon; Bruno Desachy; Benjamin Martineau</t>
        </is>
      </c>
      <c r="D203" s="4" t="inlineStr">
        <is>
          <t>https://open-archaeo.info/post/spartaas/</t>
        </is>
      </c>
      <c r="E203" s="4" t="inlineStr">
        <is>
          <t>https://cran.r-project.org/package=SPARTAAS</t>
        </is>
      </c>
      <c r="F203" s="4" t="inlineStr"/>
    </row>
    <row r="204">
      <c r="A204" s="4" t="inlineStr">
        <is>
          <t>spDates</t>
        </is>
      </c>
      <c r="B204" s="4" t="inlineStr">
        <is>
          <t>PACKAGES AND LIBRARIES</t>
        </is>
      </c>
      <c r="C204" s="4" t="inlineStr">
        <is>
          <t>jgregoriods</t>
        </is>
      </c>
      <c r="D204" s="4" t="inlineStr">
        <is>
          <t>https://open-archaeo.info/post/spdates/</t>
        </is>
      </c>
      <c r="E204" s="4" t="inlineStr">
        <is>
          <t>https://github.com/jgregoriods/spDates</t>
        </is>
      </c>
      <c r="F204" s="4" t="inlineStr"/>
    </row>
    <row r="205">
      <c r="A205" s="4" t="inlineStr">
        <is>
          <t>statuAAR</t>
        </is>
      </c>
      <c r="B205" s="4" t="inlineStr">
        <is>
          <t>PACKAGES AND LIBRARIES</t>
        </is>
      </c>
      <c r="C205" s="4" t="inlineStr">
        <is>
          <t>chrinne; capsizingHR; AnKaLoy; FrankSiegmund</t>
        </is>
      </c>
      <c r="D205" s="4" t="inlineStr">
        <is>
          <t>https://open-archaeo.info/post/statuaar/</t>
        </is>
      </c>
      <c r="E205" s="4" t="inlineStr">
        <is>
          <t>https://github.com/capsizingHR/statuAAR</t>
        </is>
      </c>
      <c r="F205" s="4" t="inlineStr"/>
    </row>
    <row r="206">
      <c r="A206" s="4" t="inlineStr">
        <is>
          <t>stratigraphr</t>
        </is>
      </c>
      <c r="B206" s="4" t="inlineStr">
        <is>
          <t>PACKAGES AND LIBRARIES</t>
        </is>
      </c>
      <c r="C206" s="4" t="inlineStr">
        <is>
          <t>joeroe</t>
        </is>
      </c>
      <c r="D206" s="4" t="inlineStr">
        <is>
          <t>https://open-archaeo.info/post/stratigraphr/</t>
        </is>
      </c>
      <c r="E206" s="4" t="inlineStr">
        <is>
          <t>https://github.com/joeroe/stratigraphr</t>
        </is>
      </c>
      <c r="F206" s="4" t="inlineStr"/>
    </row>
    <row r="207">
      <c r="A207" s="4" t="inlineStr">
        <is>
          <t>SurveyeR</t>
        </is>
      </c>
      <c r="B207" s="4" t="inlineStr">
        <is>
          <t>PACKAGES AND LIBRARIES</t>
        </is>
      </c>
      <c r="C207" s="4" t="inlineStr">
        <is>
          <t>acortell3</t>
        </is>
      </c>
      <c r="D207" s="4" t="inlineStr">
        <is>
          <t>https://open-archaeo.info/post/surveyer/</t>
        </is>
      </c>
      <c r="E207" s="4" t="inlineStr">
        <is>
          <t>https://github.com/acortell3/SurveyeR</t>
        </is>
      </c>
      <c r="F207" s="4" t="inlineStr"/>
    </row>
    <row r="208">
      <c r="A208" s="4" t="inlineStr">
        <is>
          <t>tabula</t>
        </is>
      </c>
      <c r="B208" s="4" t="inlineStr">
        <is>
          <t>PACKAGES AND LIBRARIES</t>
        </is>
      </c>
      <c r="C208" s="4" t="inlineStr">
        <is>
          <t>tesselle</t>
        </is>
      </c>
      <c r="D208" s="4" t="inlineStr">
        <is>
          <t>https://open-archaeo.info/post/tabula/</t>
        </is>
      </c>
      <c r="E208" s="4" t="inlineStr">
        <is>
          <t>https://github.com/tesselle/tabula</t>
        </is>
      </c>
      <c r="F208" s="4" t="inlineStr"/>
    </row>
    <row r="209">
      <c r="A209" s="4" t="inlineStr">
        <is>
          <t>Tachy2GIS_arch</t>
        </is>
      </c>
      <c r="B209" s="4" t="inlineStr">
        <is>
          <t>PACKAGES AND LIBRARIES</t>
        </is>
      </c>
      <c r="C209" s="4" t="inlineStr">
        <is>
          <t>Landesamt-fuer-Archaeologie-Sachsen</t>
        </is>
      </c>
      <c r="D209" s="4" t="inlineStr">
        <is>
          <t>https://open-archaeo.info/post/tachy2gis_arch/</t>
        </is>
      </c>
      <c r="E209" s="4" t="inlineStr">
        <is>
          <t>https://github.com/ArchaeoStat/Tachy2GIS_arch</t>
        </is>
      </c>
      <c r="F209" s="4" t="inlineStr"/>
    </row>
    <row r="210">
      <c r="A210" s="4" t="inlineStr">
        <is>
          <t>tdar</t>
        </is>
      </c>
      <c r="B210" s="4" t="inlineStr">
        <is>
          <t>PACKAGES AND LIBRARIES</t>
        </is>
      </c>
      <c r="C210" s="4" t="inlineStr">
        <is>
          <t>bocinsky</t>
        </is>
      </c>
      <c r="D210" s="4" t="inlineStr">
        <is>
          <t>https://open-archaeo.info/post/tdar/</t>
        </is>
      </c>
      <c r="E210" s="4" t="inlineStr">
        <is>
          <t>https://github.com/bocinsky/tdar</t>
        </is>
      </c>
      <c r="F210" s="4" t="inlineStr"/>
    </row>
    <row r="211">
      <c r="A211" s="4" t="inlineStr">
        <is>
          <t>teethr</t>
        </is>
      </c>
      <c r="B211" s="4" t="inlineStr">
        <is>
          <t>PACKAGES AND LIBRARIES</t>
        </is>
      </c>
      <c r="C211" s="4" t="inlineStr">
        <is>
          <t>bbartholdy</t>
        </is>
      </c>
      <c r="D211" s="4" t="inlineStr">
        <is>
          <t>https://open-archaeo.info/post/teethr/</t>
        </is>
      </c>
      <c r="E211" s="4" t="inlineStr">
        <is>
          <t>https://github.com/bbartholdy/teethr</t>
        </is>
      </c>
      <c r="F211" s="4" t="inlineStr"/>
    </row>
    <row r="212">
      <c r="A212" s="4" t="inlineStr">
        <is>
          <t>tfqar</t>
        </is>
      </c>
      <c r="B212" s="4" t="inlineStr">
        <is>
          <t>PACKAGES AND LIBRARIES</t>
        </is>
      </c>
      <c r="C212" s="4" t="inlineStr">
        <is>
          <t>sslarch</t>
        </is>
      </c>
      <c r="D212" s="4" t="inlineStr">
        <is>
          <t>https://open-archaeo.info/post/tfqar/</t>
        </is>
      </c>
      <c r="E212" s="4" t="inlineStr">
        <is>
          <t>https://github.com/sslarch/tfqaR</t>
        </is>
      </c>
      <c r="F212" s="4" t="inlineStr"/>
    </row>
    <row r="213">
      <c r="A213" s="4" t="inlineStr">
        <is>
          <t>The Southwestern Taphonomic Protocol</t>
        </is>
      </c>
      <c r="B213" s="4" t="inlineStr">
        <is>
          <t>PACKAGES AND LIBRARIES</t>
        </is>
      </c>
      <c r="C213" s="4" t="inlineStr">
        <is>
          <t>bocinsky</t>
        </is>
      </c>
      <c r="D213" s="4" t="inlineStr">
        <is>
          <t>https://open-archaeo.info/post/the-southwestern-taphonomic-protocol/</t>
        </is>
      </c>
      <c r="E213" s="4" t="inlineStr">
        <is>
          <t>https://github.com/bocinsky/SWTP</t>
        </is>
      </c>
      <c r="F213" s="4" t="inlineStr"/>
    </row>
    <row r="214">
      <c r="A214" s="4" t="inlineStr">
        <is>
          <t>tidypaleo</t>
        </is>
      </c>
      <c r="B214" s="4" t="inlineStr">
        <is>
          <t>PACKAGES AND LIBRARIES</t>
        </is>
      </c>
      <c r="C214" s="4" t="inlineStr">
        <is>
          <t>paleolimbot</t>
        </is>
      </c>
      <c r="D214" s="4" t="inlineStr">
        <is>
          <t>https://open-archaeo.info/post/tidypaleo/</t>
        </is>
      </c>
      <c r="E214" s="4" t="inlineStr">
        <is>
          <t>https://github.com/paleolimbot/tidypaleo</t>
        </is>
      </c>
      <c r="F214" s="4" t="inlineStr"/>
    </row>
    <row r="215">
      <c r="A215" s="4" t="inlineStr">
        <is>
          <t>tipom</t>
        </is>
      </c>
      <c r="B215" s="4" t="inlineStr">
        <is>
          <t>PACKAGES AND LIBRARIES</t>
        </is>
      </c>
      <c r="C215" s="4" t="inlineStr">
        <is>
          <t>iosa</t>
        </is>
      </c>
      <c r="D215" s="4" t="inlineStr">
        <is>
          <t>https://open-archaeo.info/post/tipom/</t>
        </is>
      </c>
      <c r="E215" s="4" t="inlineStr">
        <is>
          <t>https://codeberg.org/iosa/tipom</t>
        </is>
      </c>
      <c r="F215" s="4" t="inlineStr"/>
    </row>
    <row r="216">
      <c r="A216" s="4" t="inlineStr">
        <is>
          <t>Tldating</t>
        </is>
      </c>
      <c r="B216" s="4" t="inlineStr">
        <is>
          <t>PACKAGES AND LIBRARIES</t>
        </is>
      </c>
      <c r="C216" s="4" t="inlineStr">
        <is>
          <t>dstreble</t>
        </is>
      </c>
      <c r="D216" s="4" t="inlineStr">
        <is>
          <t>https://open-archaeo.info/post/tldating/</t>
        </is>
      </c>
      <c r="E216" s="4" t="inlineStr">
        <is>
          <t>https://github.com/dstreble/Tldating</t>
        </is>
      </c>
      <c r="F216" s="4" t="inlineStr"/>
    </row>
    <row r="217">
      <c r="A217" s="4" t="inlineStr">
        <is>
          <t>totalopenstationToQgis</t>
        </is>
      </c>
      <c r="B217" s="4" t="inlineStr">
        <is>
          <t>PACKAGES AND LIBRARIES</t>
        </is>
      </c>
      <c r="C217" s="4" t="inlineStr">
        <is>
          <t>enzococca</t>
        </is>
      </c>
      <c r="D217" s="4" t="inlineStr">
        <is>
          <t>https://open-archaeo.info/post/totalopenstationtoqgis/</t>
        </is>
      </c>
      <c r="E217" s="4" t="inlineStr">
        <is>
          <t>https://github.com/enzococca/totalopenstationToQgis</t>
        </is>
      </c>
      <c r="F217" s="4" t="inlineStr"/>
    </row>
    <row r="218">
      <c r="A218" s="4" t="inlineStr">
        <is>
          <t>totalstation-tools</t>
        </is>
      </c>
      <c r="B218" s="4" t="inlineStr">
        <is>
          <t>PACKAGES AND LIBRARIES</t>
        </is>
      </c>
      <c r="C218" s="4" t="inlineStr">
        <is>
          <t>WiseLabCMU</t>
        </is>
      </c>
      <c r="D218" s="4" t="inlineStr">
        <is>
          <t>https://open-archaeo.info/post/totalstation-tools/</t>
        </is>
      </c>
      <c r="E218" s="4" t="inlineStr">
        <is>
          <t>https://github.com/WiseLabCMU/totalstation-tools</t>
        </is>
      </c>
      <c r="F218" s="4" t="inlineStr"/>
    </row>
    <row r="219">
      <c r="A219" s="4" t="inlineStr">
        <is>
          <t>TPQ-Composer</t>
        </is>
      </c>
      <c r="B219" s="4" t="inlineStr">
        <is>
          <t>PACKAGES AND LIBRARIES</t>
        </is>
      </c>
      <c r="C219" s="4" t="inlineStr">
        <is>
          <t>Eythan31</t>
        </is>
      </c>
      <c r="D219" s="4" t="inlineStr">
        <is>
          <t>https://open-archaeo.info/post/tpq-composer/</t>
        </is>
      </c>
      <c r="E219" s="4" t="inlineStr">
        <is>
          <t>https://github.com/Eythan31/TPQ-Composer</t>
        </is>
      </c>
      <c r="F219" s="4" t="inlineStr"/>
    </row>
    <row r="220">
      <c r="A220" s="4" t="inlineStr">
        <is>
          <t>TRANSIT</t>
        </is>
      </c>
      <c r="B220" s="4" t="inlineStr">
        <is>
          <t>PACKAGES AND LIBRARIES</t>
        </is>
      </c>
      <c r="C220" s="4" t="inlineStr">
        <is>
          <t>gianmarcoalberti</t>
        </is>
      </c>
      <c r="D220" s="4" t="inlineStr">
        <is>
          <t>https://open-archaeo.info/post/transit/</t>
        </is>
      </c>
      <c r="E220" s="4" t="inlineStr">
        <is>
          <t>https://github.com/gianmarcoalberti/TRANSIT</t>
        </is>
      </c>
      <c r="F220" s="4" t="inlineStr"/>
    </row>
    <row r="221">
      <c r="A221" s="4" t="inlineStr">
        <is>
          <t>TransmissionBias</t>
        </is>
      </c>
      <c r="B221" s="4" t="inlineStr">
        <is>
          <t>PACKAGES AND LIBRARIES</t>
        </is>
      </c>
      <c r="C221" s="4" t="inlineStr">
        <is>
          <t>masonyoungblood</t>
        </is>
      </c>
      <c r="D221" s="4" t="inlineStr">
        <is>
          <t>https://open-archaeo.info/post/transmissionbias/</t>
        </is>
      </c>
      <c r="E221" s="4" t="inlineStr">
        <is>
          <t>https://github.com/masonyoungblood/TransmissionBias</t>
        </is>
      </c>
      <c r="F221" s="4" t="inlineStr"/>
    </row>
    <row r="222">
      <c r="A222" s="4" t="inlineStr">
        <is>
          <t>trenchdrawer</t>
        </is>
      </c>
      <c r="B222" s="4" t="inlineStr">
        <is>
          <t>PACKAGES AND LIBRARIES</t>
        </is>
      </c>
      <c r="C222" s="4" t="inlineStr">
        <is>
          <t>MikeJJohnson</t>
        </is>
      </c>
      <c r="D222" s="4" t="inlineStr">
        <is>
          <t>https://open-archaeo.info/post/trenchdrawer/</t>
        </is>
      </c>
      <c r="E222" s="4" t="inlineStr">
        <is>
          <t>https://github.com/MikeJJohnson/trenchDrawer</t>
        </is>
      </c>
      <c r="F222" s="4" t="inlineStr"/>
    </row>
    <row r="223">
      <c r="A223" s="4" t="inlineStr">
        <is>
          <t>UniformProbabilityDensityAnalysis</t>
        </is>
      </c>
      <c r="B223" s="4" t="inlineStr">
        <is>
          <t>PACKAGES AND LIBRARIES</t>
        </is>
      </c>
      <c r="C223" s="4" t="inlineStr">
        <is>
          <t>mpeeples2008</t>
        </is>
      </c>
      <c r="D223" s="4" t="inlineStr">
        <is>
          <t>https://open-archaeo.info/post/uniformprobabilitydensityanalysis/</t>
        </is>
      </c>
      <c r="E223" s="4" t="inlineStr">
        <is>
          <t>https://github.com/mpeeples2008/UniformProbabilityDensityAnalysis</t>
        </is>
      </c>
      <c r="F223" s="4" t="inlineStr"/>
    </row>
    <row r="224">
      <c r="A224" s="4" t="inlineStr">
        <is>
          <t>unstruwwel</t>
        </is>
      </c>
      <c r="B224" s="4" t="inlineStr">
        <is>
          <t>PACKAGES AND LIBRARIES</t>
        </is>
      </c>
      <c r="C224" s="4" t="inlineStr">
        <is>
          <t>stefanieschneider</t>
        </is>
      </c>
      <c r="D224" s="4" t="inlineStr">
        <is>
          <t>https://open-archaeo.info/post/unstruwwel/</t>
        </is>
      </c>
      <c r="E224" s="4" t="inlineStr">
        <is>
          <t>https://github.com/stefanieschneider/unstruwwel</t>
        </is>
      </c>
      <c r="F224" s="4" t="inlineStr"/>
    </row>
    <row r="225">
      <c r="A225" s="4" t="inlineStr">
        <is>
          <t>UThwigl</t>
        </is>
      </c>
      <c r="B225" s="4" t="inlineStr">
        <is>
          <t>PACKAGES AND LIBRARIES</t>
        </is>
      </c>
      <c r="C225" s="4" t="inlineStr">
        <is>
          <t>tonydoss</t>
        </is>
      </c>
      <c r="D225" s="4" t="inlineStr">
        <is>
          <t>https://open-archaeo.info/post/uthwigl/</t>
        </is>
      </c>
      <c r="E225" s="4" t="inlineStr">
        <is>
          <t>https://github.com/tonydoss/UThwigl</t>
        </is>
      </c>
      <c r="F225" s="4" t="inlineStr"/>
    </row>
    <row r="226">
      <c r="A226" s="4" t="inlineStr">
        <is>
          <t>web_geochemistry</t>
        </is>
      </c>
      <c r="B226" s="4" t="inlineStr">
        <is>
          <t>PACKAGES AND LIBRARIES</t>
        </is>
      </c>
      <c r="C226" s="4" t="inlineStr">
        <is>
          <t>arf-berkeley</t>
        </is>
      </c>
      <c r="D226" s="4" t="inlineStr">
        <is>
          <t>https://open-archaeo.info/post/web_geochemistry/</t>
        </is>
      </c>
      <c r="E226" s="4" t="inlineStr">
        <is>
          <t>https://github.com/arf-berkeley/web_geochemistry</t>
        </is>
      </c>
      <c r="F226" s="4" t="inlineStr"/>
    </row>
    <row r="227">
      <c r="A227" s="4" t="inlineStr">
        <is>
          <t>WeedEco</t>
        </is>
      </c>
      <c r="B227" s="4" t="inlineStr">
        <is>
          <t>PACKAGES AND LIBRARIES</t>
        </is>
      </c>
      <c r="C227" s="4" t="inlineStr">
        <is>
          <t>WeedEco</t>
        </is>
      </c>
      <c r="D227" s="4" t="inlineStr">
        <is>
          <t>https://open-archaeo.info/post/weedeco/</t>
        </is>
      </c>
      <c r="E227" s="4" t="inlineStr">
        <is>
          <t>https://github.com/WeedEco/WeedEco</t>
        </is>
      </c>
      <c r="F227" s="4" t="inlineStr"/>
    </row>
    <row r="228">
      <c r="A228" s="4" t="inlineStr">
        <is>
          <t>xDateR</t>
        </is>
      </c>
      <c r="B228" s="4" t="inlineStr">
        <is>
          <t>PACKAGES AND LIBRARIES</t>
        </is>
      </c>
      <c r="C228" s="4" t="inlineStr">
        <is>
          <t>AndyBunn</t>
        </is>
      </c>
      <c r="D228" s="4" t="inlineStr">
        <is>
          <t>https://open-archaeo.info/post/xdater/</t>
        </is>
      </c>
      <c r="E228" s="4" t="inlineStr">
        <is>
          <t>https://github.com/AndyBunn/xDateR</t>
        </is>
      </c>
      <c r="F228" s="4" t="inlineStr"/>
    </row>
    <row r="229">
      <c r="A229" s="4" t="inlineStr">
        <is>
          <t>xrf</t>
        </is>
      </c>
      <c r="B229" s="4" t="inlineStr">
        <is>
          <t>PACKAGES AND LIBRARIES</t>
        </is>
      </c>
      <c r="C229" s="4" t="inlineStr">
        <is>
          <t>paleolimbot</t>
        </is>
      </c>
      <c r="D229" s="4" t="inlineStr">
        <is>
          <t>https://open-archaeo.info/post/xrf/</t>
        </is>
      </c>
      <c r="E229" s="4" t="inlineStr">
        <is>
          <t>https://github.com/paleolimbot/xrf</t>
        </is>
      </c>
      <c r="F229" s="4" t="inlineStr"/>
    </row>
    <row r="230">
      <c r="A230" s="4" t="inlineStr">
        <is>
          <t>xronos.R</t>
        </is>
      </c>
      <c r="B230" s="4" t="inlineStr">
        <is>
          <t>PACKAGES AND LIBRARIES</t>
        </is>
      </c>
      <c r="C230" s="4" t="inlineStr">
        <is>
          <t>xronos-ch</t>
        </is>
      </c>
      <c r="D230" s="4" t="inlineStr">
        <is>
          <t>https://open-archaeo.info/post/xronos-r/</t>
        </is>
      </c>
      <c r="E230" s="4" t="inlineStr">
        <is>
          <t>https://github.com/xronos-ch/xronos-R</t>
        </is>
      </c>
      <c r="F230" s="4" t="inlineStr"/>
    </row>
    <row r="231">
      <c r="A231" s="4" t="inlineStr">
        <is>
          <t>yada</t>
        </is>
      </c>
      <c r="B231" s="4" t="inlineStr">
        <is>
          <t>PACKAGES AND LIBRARIES</t>
        </is>
      </c>
      <c r="C231" s="4" t="inlineStr">
        <is>
          <t>MichaelHoltonPrice</t>
        </is>
      </c>
      <c r="D231" s="4" t="inlineStr">
        <is>
          <t>https://open-archaeo.info/post/yada/</t>
        </is>
      </c>
      <c r="E231" s="4" t="inlineStr">
        <is>
          <t>https://github.com/MichaelHoltonPrice/yada</t>
        </is>
      </c>
      <c r="F231" s="4" t="inlineStr"/>
    </row>
    <row r="232">
      <c r="A232" s="4" t="inlineStr">
        <is>
          <t>zooaRch</t>
        </is>
      </c>
      <c r="B232" s="4" t="inlineStr">
        <is>
          <t>PACKAGES AND LIBRARIES</t>
        </is>
      </c>
      <c r="C232" s="4" t="inlineStr">
        <is>
          <t>Erik Otarola-Castillo; Jesse Wolfhagen; Max D. Price; zooaRch</t>
        </is>
      </c>
      <c r="D232" s="4" t="inlineStr">
        <is>
          <t>https://open-archaeo.info/post/zooarch/</t>
        </is>
      </c>
      <c r="E232" s="4" t="inlineStr">
        <is>
          <t>https://cran.r-project.org/package=zooaRch</t>
        </is>
      </c>
      <c r="F232" s="4" t="inlineStr"/>
    </row>
    <row r="233">
      <c r="A233" s="4" t="inlineStr">
        <is>
          <t>zooaRchGUI</t>
        </is>
      </c>
      <c r="B233" s="4" t="inlineStr">
        <is>
          <t>PACKAGES AND LIBRARIES</t>
        </is>
      </c>
      <c r="C233" s="4" t="inlineStr">
        <is>
          <t>zooaRchGUI</t>
        </is>
      </c>
      <c r="D233" s="4" t="inlineStr">
        <is>
          <t>https://open-archaeo.info/post/zooarchgui/</t>
        </is>
      </c>
      <c r="E233" s="4" t="inlineStr">
        <is>
          <t>https://github.com/zooaRchGUI/zooaRchGUI</t>
        </is>
      </c>
      <c r="F233" s="4" t="inlineStr"/>
    </row>
    <row r="234">
      <c r="A234" s="4" t="inlineStr">
        <is>
          <t>ZooarchMixMod</t>
        </is>
      </c>
      <c r="B234" s="4" t="inlineStr">
        <is>
          <t>PACKAGES AND LIBRARIES</t>
        </is>
      </c>
      <c r="C234" s="4" t="inlineStr">
        <is>
          <t>wolfhagenj</t>
        </is>
      </c>
      <c r="D234" s="4" t="inlineStr">
        <is>
          <t>https://open-archaeo.info/post/zooarchmixmod/</t>
        </is>
      </c>
      <c r="E234" s="4" t="inlineStr">
        <is>
          <t>https://github.com/wolfhagenj/ZooarchMixMod</t>
        </is>
      </c>
      <c r="F234" s="4" t="inlineStr"/>
    </row>
    <row r="235">
      <c r="A235" s="4" t="inlineStr">
        <is>
          <t>zoolog</t>
        </is>
      </c>
      <c r="B235" s="4" t="inlineStr">
        <is>
          <t>PACKAGES AND LIBRARIES</t>
        </is>
      </c>
      <c r="C235" s="4" t="inlineStr">
        <is>
          <t>josempozo; Silvia Valenzuela-Lamas; Angela Trentacoste; Ariadne Nieto-Espinet; Silvia Guimarães Chiarelli</t>
        </is>
      </c>
      <c r="D235" s="4" t="inlineStr">
        <is>
          <t>https://open-archaeo.info/post/zoolog/</t>
        </is>
      </c>
      <c r="E235" s="4" t="inlineStr">
        <is>
          <t>https://github.com/josempozo/zoolog</t>
        </is>
      </c>
      <c r="F235" s="4" t="inlineStr"/>
    </row>
    <row r="236">
      <c r="A236" s="4" t="inlineStr">
        <is>
          <t>3d_spatial_ripley_analyses</t>
        </is>
      </c>
      <c r="B236" s="4" t="inlineStr">
        <is>
          <t>SCRIPTS</t>
        </is>
      </c>
      <c r="C236" s="4" t="inlineStr">
        <is>
          <t>marchaeologist</t>
        </is>
      </c>
      <c r="D236" s="4" t="inlineStr">
        <is>
          <t>https://open-archaeo.info/post/3d_spatial_ripley_analyses/</t>
        </is>
      </c>
      <c r="E236" s="4" t="inlineStr">
        <is>
          <t>https://github.com/marchaeologist/3d_spatial_ripley_analyses</t>
        </is>
      </c>
      <c r="F236" s="4" t="inlineStr"/>
    </row>
    <row r="237">
      <c r="A237" s="4" t="inlineStr">
        <is>
          <t>3D-ORGAN</t>
        </is>
      </c>
      <c r="B237" s="4" t="inlineStr">
        <is>
          <t>SCRIPTS</t>
        </is>
      </c>
      <c r="C237" s="4" t="inlineStr">
        <is>
          <t>Renato Hermoza; Ivan Sipiran</t>
        </is>
      </c>
      <c r="D237" s="4" t="inlineStr">
        <is>
          <t>https://open-archaeo.info/post/3d-organ/</t>
        </is>
      </c>
      <c r="E237" s="4" t="inlineStr">
        <is>
          <t>https://github.com/PeruVis/3D-ORGAN</t>
        </is>
      </c>
      <c r="F237" s="4" t="inlineStr"/>
    </row>
    <row r="238">
      <c r="A238" s="4" t="inlineStr">
        <is>
          <t>Al2O3_AnalysisApp</t>
        </is>
      </c>
      <c r="B238" s="4" t="inlineStr">
        <is>
          <t>SCRIPTS</t>
        </is>
      </c>
      <c r="C238" s="4" t="inlineStr">
        <is>
          <t>RLumSK</t>
        </is>
      </c>
      <c r="D238" s="4" t="inlineStr">
        <is>
          <t>https://open-archaeo.info/post/al2o3_analysisapp/</t>
        </is>
      </c>
      <c r="E238" s="4" t="inlineStr">
        <is>
          <t>https://github.com/RLumSK/Al2O3_AnalysisApp</t>
        </is>
      </c>
      <c r="F238" s="4" t="inlineStr"/>
    </row>
    <row r="239">
      <c r="A239" s="4" t="inlineStr">
        <is>
          <t>anthroFun</t>
        </is>
      </c>
      <c r="B239" s="4" t="inlineStr">
        <is>
          <t>SCRIPTS</t>
        </is>
      </c>
      <c r="C239" s="4" t="inlineStr">
        <is>
          <t>ElaineYChu</t>
        </is>
      </c>
      <c r="D239" s="4" t="inlineStr">
        <is>
          <t>https://open-archaeo.info/post/anthrofun/</t>
        </is>
      </c>
      <c r="E239" s="4" t="inlineStr">
        <is>
          <t>https://github.com/ElaineYChu/anthroFun</t>
        </is>
      </c>
      <c r="F239" s="4" t="inlineStr"/>
    </row>
    <row r="240">
      <c r="A240" s="4" t="inlineStr">
        <is>
          <t>Archaeological_Catalogue_from_CSV_Spreadsheet</t>
        </is>
      </c>
      <c r="B240" s="4" t="inlineStr">
        <is>
          <t>SCRIPTS</t>
        </is>
      </c>
      <c r="C240" s="4" t="inlineStr">
        <is>
          <t>latex-ninja</t>
        </is>
      </c>
      <c r="D240" s="4" t="inlineStr">
        <is>
          <t>https://open-archaeo.info/post/archaeological_catalogue_from_csv_spreadsheet/</t>
        </is>
      </c>
      <c r="E240" s="4" t="inlineStr">
        <is>
          <t>https://github.com/latex-ninja/Archaeological_Catalogue_from_CSV_Spreadsheet</t>
        </is>
      </c>
      <c r="F240" s="4" t="inlineStr"/>
    </row>
    <row r="241">
      <c r="A241" s="4" t="inlineStr">
        <is>
          <t>ARQUB</t>
        </is>
      </c>
      <c r="B241" s="4" t="inlineStr">
        <is>
          <t>SCRIPTS</t>
        </is>
      </c>
      <c r="C241" s="4" t="inlineStr">
        <is>
          <t>jbuxeda</t>
        </is>
      </c>
      <c r="D241" s="4" t="inlineStr">
        <is>
          <t>https://open-archaeo.info/post/arqub/</t>
        </is>
      </c>
      <c r="E241" s="4" t="inlineStr">
        <is>
          <t>https://github.com/jbuxeda/ARQUB</t>
        </is>
      </c>
      <c r="F241" s="4" t="inlineStr"/>
    </row>
    <row r="242">
      <c r="A242" s="4" t="inlineStr">
        <is>
          <t>artefact-morpho.R</t>
        </is>
      </c>
      <c r="B242" s="4" t="inlineStr">
        <is>
          <t>SCRIPTS</t>
        </is>
      </c>
      <c r="C242" s="4" t="inlineStr">
        <is>
          <t>benmarwick</t>
        </is>
      </c>
      <c r="D242" s="4" t="inlineStr">
        <is>
          <t>https://open-archaeo.info/post/artefact-morpho-r/</t>
        </is>
      </c>
      <c r="E242" s="4" t="inlineStr">
        <is>
          <t>https://gist.github.com/benmarwick/2625e21b15e699be1f24</t>
        </is>
      </c>
      <c r="F242" s="4" t="inlineStr"/>
    </row>
    <row r="243">
      <c r="A243" s="4" t="inlineStr">
        <is>
          <t>Artifact_Class_Diversity</t>
        </is>
      </c>
      <c r="B243" s="4" t="inlineStr">
        <is>
          <t>SCRIPTS</t>
        </is>
      </c>
      <c r="C243" s="4" t="inlineStr">
        <is>
          <t>taphocoenose</t>
        </is>
      </c>
      <c r="D243" s="4" t="inlineStr">
        <is>
          <t>https://open-archaeo.info/post/artifact_class_diversity/</t>
        </is>
      </c>
      <c r="E243" s="4" t="inlineStr">
        <is>
          <t>https://github.com/taphocoenose/Artifact_Class_Diversity</t>
        </is>
      </c>
      <c r="F243" s="4" t="inlineStr"/>
    </row>
    <row r="244">
      <c r="A244" s="4" t="inlineStr">
        <is>
          <t>BasicMapping</t>
        </is>
      </c>
      <c r="B244" s="4" t="inlineStr">
        <is>
          <t>SCRIPTS</t>
        </is>
      </c>
      <c r="C244" s="4" t="inlineStr">
        <is>
          <t>mpeeples2008</t>
        </is>
      </c>
      <c r="D244" s="4" t="inlineStr">
        <is>
          <t>https://open-archaeo.info/post/basicmapping/</t>
        </is>
      </c>
      <c r="E244" s="4" t="inlineStr">
        <is>
          <t>https://www.mattpeeples.net/BasicMapping.html</t>
        </is>
      </c>
      <c r="F244" s="4" t="inlineStr"/>
    </row>
    <row r="245">
      <c r="A245" s="4" t="inlineStr">
        <is>
          <t>benmarwickDY-XYZ-data-on-an-irregular-grid-to-an-interpolated-raster.r</t>
        </is>
      </c>
      <c r="B245" s="4" t="inlineStr">
        <is>
          <t>SCRIPTS</t>
        </is>
      </c>
      <c r="C245" s="4" t="inlineStr">
        <is>
          <t>benmarwick</t>
        </is>
      </c>
      <c r="D245" s="4" t="inlineStr">
        <is>
          <t>https://open-archaeo.info/post/benmarwickdy-xyz-data-on-an-irregular-grid-to-an-interpolated-raster-r/</t>
        </is>
      </c>
      <c r="E245" s="4" t="inlineStr">
        <is>
          <t>https://gist.github.com/benmarwick/3d956190c4dcae051bb8</t>
        </is>
      </c>
      <c r="F245" s="4" t="inlineStr"/>
    </row>
    <row r="246">
      <c r="A246" s="4" t="inlineStr">
        <is>
          <t>benmarwickopencontext.r</t>
        </is>
      </c>
      <c r="B246" s="4" t="inlineStr">
        <is>
          <t>SCRIPTS</t>
        </is>
      </c>
      <c r="C246" s="4" t="inlineStr">
        <is>
          <t>benmarwick</t>
        </is>
      </c>
      <c r="D246" s="4" t="inlineStr">
        <is>
          <t>https://open-archaeo.info/post/benmarwickopencontext-r/</t>
        </is>
      </c>
      <c r="E246" s="4" t="inlineStr">
        <is>
          <t>https://gist.github.com/benmarwick/7c486f2e01a47b450a30</t>
        </is>
      </c>
      <c r="F246" s="4" t="inlineStr"/>
    </row>
    <row r="247">
      <c r="A247" s="4" t="inlineStr">
        <is>
          <t>Binomial-Co-occurrence-Assessment</t>
        </is>
      </c>
      <c r="B247" s="4" t="inlineStr">
        <is>
          <t>SCRIPTS</t>
        </is>
      </c>
      <c r="C247" s="4" t="inlineStr">
        <is>
          <t>mpeeples2008</t>
        </is>
      </c>
      <c r="D247" s="4" t="inlineStr">
        <is>
          <t>https://open-archaeo.info/post/binomial-co-occurrence-assessment/</t>
        </is>
      </c>
      <c r="E247" s="4" t="inlineStr">
        <is>
          <t>https://github.com/mpeeples2008/Binomial-Co-occurrence-Assessment</t>
        </is>
      </c>
      <c r="F247" s="4" t="inlineStr"/>
    </row>
    <row r="248">
      <c r="A248" s="4" t="inlineStr">
        <is>
          <t>Bootstrap-Correspondence-Analysis</t>
        </is>
      </c>
      <c r="B248" s="4" t="inlineStr">
        <is>
          <t>SCRIPTS</t>
        </is>
      </c>
      <c r="C248" s="4" t="inlineStr">
        <is>
          <t>mpeeples2008</t>
        </is>
      </c>
      <c r="D248" s="4" t="inlineStr">
        <is>
          <t>https://open-archaeo.info/post/bootstrap-correspondence-analysis/</t>
        </is>
      </c>
      <c r="E248" s="4" t="inlineStr">
        <is>
          <t>https://github.com/mpeeples2008/Bootstrap-Correspondence-Analysis</t>
        </is>
      </c>
      <c r="F248" s="4" t="inlineStr"/>
    </row>
    <row r="249">
      <c r="A249" s="4" t="inlineStr">
        <is>
          <t>Brainerd-Robinson-Similarity-Coefficient-and-Sampling-Error-Assessment</t>
        </is>
      </c>
      <c r="B249" s="4" t="inlineStr">
        <is>
          <t>SCRIPTS</t>
        </is>
      </c>
      <c r="C249" s="4" t="inlineStr">
        <is>
          <t>mpeeples2008</t>
        </is>
      </c>
      <c r="D249" s="4" t="inlineStr">
        <is>
          <t>https://open-archaeo.info/post/brainerd-robinson-similarity-coefficient-and-sampling-error-assessment/</t>
        </is>
      </c>
      <c r="E249" s="4" t="inlineStr">
        <is>
          <t>https://github.com/mpeeples2008/Brainerd-Robinson-Similarity-Coefficient</t>
        </is>
      </c>
      <c r="F249" s="4" t="inlineStr"/>
    </row>
    <row r="250">
      <c r="A250" s="4" t="inlineStr">
        <is>
          <t>c14-date-extractor</t>
        </is>
      </c>
      <c r="B250" s="4" t="inlineStr">
        <is>
          <t>SCRIPTS</t>
        </is>
      </c>
      <c r="C250" s="4" t="inlineStr">
        <is>
          <t>alexbrandsen</t>
        </is>
      </c>
      <c r="D250" s="4" t="inlineStr">
        <is>
          <t>https://open-archaeo.info/post/c14-date-extractor/</t>
        </is>
      </c>
      <c r="E250" s="4" t="inlineStr">
        <is>
          <t>https://github.com/alexbrandsen/c14-date-extractor</t>
        </is>
      </c>
      <c r="F250" s="4" t="inlineStr"/>
    </row>
    <row r="251">
      <c r="A251" s="4" t="inlineStr">
        <is>
          <t>ca</t>
        </is>
      </c>
      <c r="B251" s="4" t="inlineStr">
        <is>
          <t>SCRIPTS</t>
        </is>
      </c>
      <c r="C251" s="4" t="inlineStr">
        <is>
          <t>mpeeples2008</t>
        </is>
      </c>
      <c r="D251" s="4" t="inlineStr">
        <is>
          <t>https://open-archaeo.info/post/ca/</t>
        </is>
      </c>
      <c r="E251" s="4" t="inlineStr">
        <is>
          <t>https://www.mattpeeples.net/ca.html</t>
        </is>
      </c>
      <c r="F251" s="4" t="inlineStr"/>
    </row>
    <row r="252">
      <c r="A252" s="4" t="inlineStr">
        <is>
          <t>ceramic-computation</t>
        </is>
      </c>
      <c r="B252" s="4" t="inlineStr">
        <is>
          <t>SCRIPTS</t>
        </is>
      </c>
      <c r="C252" s="4" t="inlineStr">
        <is>
          <t>anatolian</t>
        </is>
      </c>
      <c r="D252" s="4" t="inlineStr">
        <is>
          <t>https://open-archaeo.info/post/ceramic-computation/</t>
        </is>
      </c>
      <c r="E252" s="4" t="inlineStr">
        <is>
          <t>https://github.com/anatolian/ceramic-computation</t>
        </is>
      </c>
      <c r="F252" s="4" t="inlineStr"/>
    </row>
    <row r="253">
      <c r="A253" s="4" t="inlineStr">
        <is>
          <t>Ceramic-Frequency-Date-Plot</t>
        </is>
      </c>
      <c r="B253" s="4" t="inlineStr">
        <is>
          <t>SCRIPTS</t>
        </is>
      </c>
      <c r="C253" s="4" t="inlineStr">
        <is>
          <t>mpeeples2008</t>
        </is>
      </c>
      <c r="D253" s="4" t="inlineStr">
        <is>
          <t>https://open-archaeo.info/post/ceramic-frequency-date-plot/</t>
        </is>
      </c>
      <c r="E253" s="4" t="inlineStr">
        <is>
          <t>https://github.com/mpeeples2008/Ceramic-Frequency-Date-Plot</t>
        </is>
      </c>
      <c r="F253" s="4" t="inlineStr"/>
    </row>
    <row r="254">
      <c r="A254" s="4" t="inlineStr">
        <is>
          <t>CeramicApportioning</t>
        </is>
      </c>
      <c r="B254" s="4" t="inlineStr">
        <is>
          <t>SCRIPTS</t>
        </is>
      </c>
      <c r="C254" s="4" t="inlineStr">
        <is>
          <t>mpeeples2008</t>
        </is>
      </c>
      <c r="D254" s="4" t="inlineStr">
        <is>
          <t>https://open-archaeo.info/post/ceramicapportioning/</t>
        </is>
      </c>
      <c r="E254" s="4" t="inlineStr">
        <is>
          <t>https://github.com/mpeeples2008/CeramicApportioning</t>
        </is>
      </c>
      <c r="F254" s="4" t="inlineStr"/>
    </row>
    <row r="255">
      <c r="A255" s="4" t="inlineStr">
        <is>
          <t>CloudCal</t>
        </is>
      </c>
      <c r="B255" s="4" t="inlineStr">
        <is>
          <t>SCRIPTS</t>
        </is>
      </c>
      <c r="C255" s="4" t="inlineStr">
        <is>
          <t>leedrake5</t>
        </is>
      </c>
      <c r="D255" s="4" t="inlineStr">
        <is>
          <t>https://open-archaeo.info/post/cloudcal/</t>
        </is>
      </c>
      <c r="E255" s="4" t="inlineStr">
        <is>
          <t>https://github.com/leedrake5/CloudCal</t>
        </is>
      </c>
      <c r="F255" s="4" t="inlineStr"/>
    </row>
    <row r="256">
      <c r="A256" s="4" t="inlineStr">
        <is>
          <t>cranial-sex-estimation-code</t>
        </is>
      </c>
      <c r="B256" s="4" t="inlineStr">
        <is>
          <t>SCRIPTS</t>
        </is>
      </c>
      <c r="C256" s="4" t="inlineStr">
        <is>
          <t>pr0m1th3as</t>
        </is>
      </c>
      <c r="D256" s="4" t="inlineStr">
        <is>
          <t>https://open-archaeo.info/post/cranial-sex-estimation-code/</t>
        </is>
      </c>
      <c r="E256" s="4" t="inlineStr">
        <is>
          <t>https://github.com/pr0m1th3as/cranial-sex-estimation-code</t>
        </is>
      </c>
      <c r="F256" s="4" t="inlineStr"/>
    </row>
    <row r="257">
      <c r="A257" s="4" t="inlineStr">
        <is>
          <t>CSGR</t>
        </is>
      </c>
      <c r="B257" s="4" t="inlineStr">
        <is>
          <t>SCRIPTS</t>
        </is>
      </c>
      <c r="C257" s="4" t="inlineStr">
        <is>
          <t>Arothron</t>
        </is>
      </c>
      <c r="D257" s="4" t="inlineStr">
        <is>
          <t>https://open-archaeo.info/post/csgr/</t>
        </is>
      </c>
      <c r="E257" s="4" t="inlineStr">
        <is>
          <t>https://github.com/Arothron/CSGR</t>
        </is>
      </c>
      <c r="F257" s="4" t="inlineStr"/>
    </row>
    <row r="258">
      <c r="A258" s="4" t="inlineStr">
        <is>
          <t>DACORD</t>
        </is>
      </c>
      <c r="B258" s="4" t="inlineStr">
        <is>
          <t>SCRIPTS</t>
        </is>
      </c>
      <c r="C258" s="4" t="inlineStr">
        <is>
          <t>jwilczek-dotcom</t>
        </is>
      </c>
      <c r="D258" s="4" t="inlineStr">
        <is>
          <t>https://open-archaeo.info/post/dacord/</t>
        </is>
      </c>
      <c r="E258" s="4" t="inlineStr">
        <is>
          <t>https://github.com/jwilczek-dotcom/DACORD</t>
        </is>
      </c>
      <c r="F258" s="4" t="inlineStr"/>
    </row>
    <row r="259">
      <c r="A259" s="4" t="inlineStr">
        <is>
          <t>ElementSourcing</t>
        </is>
      </c>
      <c r="B259" s="4" t="inlineStr">
        <is>
          <t>SCRIPTS</t>
        </is>
      </c>
      <c r="C259" s="4" t="inlineStr">
        <is>
          <t>bischrob</t>
        </is>
      </c>
      <c r="D259" s="4" t="inlineStr">
        <is>
          <t>https://open-archaeo.info/post/elementsourcing/</t>
        </is>
      </c>
      <c r="E259" s="4" t="inlineStr">
        <is>
          <t>https://github.com/bischrob/ElementSourcing</t>
        </is>
      </c>
      <c r="F259" s="4" t="inlineStr"/>
    </row>
    <row r="260">
      <c r="A260" s="4" t="inlineStr">
        <is>
          <t>expotime</t>
        </is>
      </c>
      <c r="B260" s="4" t="inlineStr">
        <is>
          <t>SCRIPTS</t>
        </is>
      </c>
      <c r="C260" s="4" t="inlineStr">
        <is>
          <t>steko</t>
        </is>
      </c>
      <c r="D260" s="4" t="inlineStr">
        <is>
          <t>https://open-archaeo.info/post/expotime/</t>
        </is>
      </c>
      <c r="E260" s="4" t="inlineStr">
        <is>
          <t>https://codeberg.org/steko/expotime</t>
        </is>
      </c>
      <c r="F260" s="4" t="inlineStr"/>
    </row>
    <row r="261">
      <c r="A261" s="4" t="inlineStr">
        <is>
          <t>fabryka</t>
        </is>
      </c>
      <c r="B261" s="4" t="inlineStr">
        <is>
          <t>SCRIPTS</t>
        </is>
      </c>
      <c r="C261" s="4" t="inlineStr">
        <is>
          <t>marchaeologist</t>
        </is>
      </c>
      <c r="D261" s="4" t="inlineStr">
        <is>
          <t>https://open-archaeo.info/post/fabryka/</t>
        </is>
      </c>
      <c r="E261" s="4" t="inlineStr">
        <is>
          <t>https://github.com/marchaeologist/fabryka</t>
        </is>
      </c>
      <c r="F261" s="4" t="inlineStr"/>
    </row>
    <row r="262">
      <c r="A262" s="4" t="inlineStr">
        <is>
          <t>Fix-exif-artist</t>
        </is>
      </c>
      <c r="B262" s="4" t="inlineStr">
        <is>
          <t>SCRIPTS</t>
        </is>
      </c>
      <c r="C262" s="4" t="inlineStr">
        <is>
          <t>steko</t>
        </is>
      </c>
      <c r="D262" s="4" t="inlineStr">
        <is>
          <t>https://open-archaeo.info/post/fix-exif-artist/</t>
        </is>
      </c>
      <c r="E262" s="4" t="inlineStr">
        <is>
          <t>https://codeberg.org/steko/fix-exif-artist</t>
        </is>
      </c>
      <c r="F262" s="4" t="inlineStr"/>
    </row>
    <row r="263">
      <c r="A263" s="4" t="inlineStr">
        <is>
          <t>Ford-Diagram</t>
        </is>
      </c>
      <c r="B263" s="4" t="inlineStr">
        <is>
          <t>SCRIPTS</t>
        </is>
      </c>
      <c r="C263" s="4" t="inlineStr">
        <is>
          <t>mpeeples2008</t>
        </is>
      </c>
      <c r="D263" s="4" t="inlineStr">
        <is>
          <t>https://open-archaeo.info/post/ford-diagram/</t>
        </is>
      </c>
      <c r="E263" s="4" t="inlineStr">
        <is>
          <t>https://github.com/mpeeples2008/Ford-Diagram</t>
        </is>
      </c>
      <c r="F263" s="4" t="inlineStr"/>
    </row>
    <row r="264">
      <c r="A264" s="4" t="inlineStr">
        <is>
          <t>Geostat</t>
        </is>
      </c>
      <c r="B264" s="4" t="inlineStr">
        <is>
          <t>SCRIPTS</t>
        </is>
      </c>
      <c r="C264" s="4" t="inlineStr">
        <is>
          <t>cl379</t>
        </is>
      </c>
      <c r="D264" s="4" t="inlineStr">
        <is>
          <t>https://open-archaeo.info/post/geostat/</t>
        </is>
      </c>
      <c r="E264" s="4" t="inlineStr">
        <is>
          <t>https://github.com/cl379/Geostat</t>
        </is>
      </c>
      <c r="F264" s="4" t="inlineStr"/>
    </row>
    <row r="265">
      <c r="A265" s="4" t="inlineStr">
        <is>
          <t>kidstats</t>
        </is>
      </c>
      <c r="B265" s="4" t="inlineStr">
        <is>
          <t>SCRIPTS</t>
        </is>
      </c>
      <c r="C265" s="4" t="inlineStr">
        <is>
          <t>ElaineYChu</t>
        </is>
      </c>
      <c r="D265" s="4" t="inlineStr">
        <is>
          <t>https://open-archaeo.info/post/kidstats/</t>
        </is>
      </c>
      <c r="E265" s="4" t="inlineStr">
        <is>
          <t>https://github.com/ElaineYChu/kidstats</t>
        </is>
      </c>
      <c r="F265" s="4" t="inlineStr"/>
    </row>
    <row r="266">
      <c r="A266" s="4" t="inlineStr">
        <is>
          <t>Kmeans</t>
        </is>
      </c>
      <c r="B266" s="4" t="inlineStr">
        <is>
          <t>SCRIPTS</t>
        </is>
      </c>
      <c r="C266" s="4" t="inlineStr">
        <is>
          <t>mpeeples2008</t>
        </is>
      </c>
      <c r="D266" s="4" t="inlineStr">
        <is>
          <t>https://open-archaeo.info/post/kmeans/</t>
        </is>
      </c>
      <c r="E266" s="4" t="inlineStr">
        <is>
          <t>https://github.com/mpeeples2008/Kmeans</t>
        </is>
      </c>
      <c r="F266" s="4" t="inlineStr"/>
    </row>
    <row r="267">
      <c r="A267" s="4" t="inlineStr">
        <is>
          <t>kriging</t>
        </is>
      </c>
      <c r="B267" s="4" t="inlineStr">
        <is>
          <t>SCRIPTS</t>
        </is>
      </c>
      <c r="C267" s="4" t="inlineStr">
        <is>
          <t>cl379</t>
        </is>
      </c>
      <c r="D267" s="4" t="inlineStr">
        <is>
          <t>https://open-archaeo.info/post/kriging/</t>
        </is>
      </c>
      <c r="E267" s="4" t="inlineStr">
        <is>
          <t>https://github.com/cl379/kriging</t>
        </is>
      </c>
      <c r="F267" s="4" t="inlineStr"/>
    </row>
    <row r="268">
      <c r="A268" s="4" t="inlineStr">
        <is>
          <t>LA_ICP_MS-Routines_FMNH</t>
        </is>
      </c>
      <c r="B268" s="4" t="inlineStr">
        <is>
          <t>SCRIPTS</t>
        </is>
      </c>
      <c r="C268" s="4" t="inlineStr">
        <is>
          <t>ajupton</t>
        </is>
      </c>
      <c r="D268" s="4" t="inlineStr">
        <is>
          <t>https://open-archaeo.info/post/la_icp_ms-routines_fmnh/</t>
        </is>
      </c>
      <c r="E268" s="4" t="inlineStr">
        <is>
          <t>https://github.com/ajupton/LA_ICP_MS-Routines_FMNH</t>
        </is>
      </c>
      <c r="F268" s="4" t="inlineStr"/>
    </row>
    <row r="269">
      <c r="A269" s="4" t="inlineStr">
        <is>
          <t>LISA</t>
        </is>
      </c>
      <c r="B269" s="4" t="inlineStr">
        <is>
          <t>SCRIPTS</t>
        </is>
      </c>
      <c r="C269" s="4" t="inlineStr">
        <is>
          <t>mpeeples2008</t>
        </is>
      </c>
      <c r="D269" s="4" t="inlineStr">
        <is>
          <t>https://open-archaeo.info/post/lisa/</t>
        </is>
      </c>
      <c r="E269" s="4" t="inlineStr">
        <is>
          <t>https://www.mattpeeples.net/LISA.html</t>
        </is>
      </c>
      <c r="F269" s="4" t="inlineStr"/>
    </row>
    <row r="270">
      <c r="A270" s="4" t="inlineStr">
        <is>
          <t>lithic3dslicer</t>
        </is>
      </c>
      <c r="B270" s="4" t="inlineStr">
        <is>
          <t>SCRIPTS</t>
        </is>
      </c>
      <c r="C270" s="4" t="inlineStr">
        <is>
          <t>kotdijian</t>
        </is>
      </c>
      <c r="D270" s="4" t="inlineStr">
        <is>
          <t>https://open-archaeo.info/post/lithic3dslicer/</t>
        </is>
      </c>
      <c r="E270" s="4" t="inlineStr">
        <is>
          <t>https://github.com/kotdijian/lithic3dslicer</t>
        </is>
      </c>
      <c r="F270" s="4" t="inlineStr"/>
    </row>
    <row r="271">
      <c r="A271" s="4" t="inlineStr">
        <is>
          <t>long-bone-diaphyseal-CSG-Toolkit</t>
        </is>
      </c>
      <c r="B271" s="4" t="inlineStr">
        <is>
          <t>SCRIPTS</t>
        </is>
      </c>
      <c r="C271" s="4" t="inlineStr">
        <is>
          <t>pr0m1th3as</t>
        </is>
      </c>
      <c r="D271" s="4" t="inlineStr">
        <is>
          <t>https://open-archaeo.info/post/long-bone-diaphyseal-csg-toolkit/</t>
        </is>
      </c>
      <c r="E271" s="4" t="inlineStr">
        <is>
          <t>https://github.com/pr0m1th3as/long-bone-diaphyseal-CSG-Toolkit</t>
        </is>
      </c>
      <c r="F271" s="4" t="inlineStr"/>
    </row>
    <row r="272">
      <c r="A272" s="4" t="inlineStr">
        <is>
          <t>Mean-Ceramic-Date-and-Error-Estimation</t>
        </is>
      </c>
      <c r="B272" s="4" t="inlineStr">
        <is>
          <t>SCRIPTS</t>
        </is>
      </c>
      <c r="C272" s="4" t="inlineStr">
        <is>
          <t>mpeeples2008</t>
        </is>
      </c>
      <c r="D272" s="4" t="inlineStr">
        <is>
          <t>https://open-archaeo.info/post/mean-ceramic-date-and-error-estimation/</t>
        </is>
      </c>
      <c r="E272" s="4" t="inlineStr">
        <is>
          <t>https://github.com/mpeeples2008/Mean-Ceramic-Date-Error</t>
        </is>
      </c>
      <c r="F272" s="4" t="inlineStr"/>
    </row>
    <row r="273">
      <c r="A273" s="4" t="inlineStr">
        <is>
          <t>missing</t>
        </is>
      </c>
      <c r="B273" s="4" t="inlineStr">
        <is>
          <t>SCRIPTS</t>
        </is>
      </c>
      <c r="C273" s="4" t="inlineStr">
        <is>
          <t>steko</t>
        </is>
      </c>
      <c r="D273" s="4" t="inlineStr">
        <is>
          <t>https://open-archaeo.info/post/missing/</t>
        </is>
      </c>
      <c r="E273" s="4" t="inlineStr">
        <is>
          <t>https://codeberg.org/steko/missing</t>
        </is>
      </c>
      <c r="F273" s="4" t="inlineStr"/>
    </row>
    <row r="274">
      <c r="A274" s="4" t="inlineStr">
        <is>
          <t>munsell-plot.R</t>
        </is>
      </c>
      <c r="B274" s="4" t="inlineStr">
        <is>
          <t>SCRIPTS</t>
        </is>
      </c>
      <c r="C274" s="4" t="inlineStr">
        <is>
          <t>benmarwick</t>
        </is>
      </c>
      <c r="D274" s="4" t="inlineStr">
        <is>
          <t>https://open-archaeo.info/post/munsell-plot-r/</t>
        </is>
      </c>
      <c r="E274" s="4" t="inlineStr">
        <is>
          <t>https://gist.github.com/benmarwick/0d4421cfae83153d79c0</t>
        </is>
      </c>
      <c r="F274" s="4" t="inlineStr"/>
    </row>
    <row r="275">
      <c r="A275" s="4" t="inlineStr">
        <is>
          <t>NAA analytical dashboard</t>
        </is>
      </c>
      <c r="B275" s="4" t="inlineStr">
        <is>
          <t>SCRIPTS</t>
        </is>
      </c>
      <c r="C275" s="4" t="inlineStr">
        <is>
          <t>mpeeples2008</t>
        </is>
      </c>
      <c r="D275" s="4" t="inlineStr">
        <is>
          <t>https://open-archaeo.info/post/naa-analytical-dashboard/</t>
        </is>
      </c>
      <c r="E275" s="4" t="inlineStr">
        <is>
          <t>https://github.com/mpeeples2008/NAA-Dashboard</t>
        </is>
      </c>
      <c r="F275" s="4" t="inlineStr"/>
    </row>
    <row r="276">
      <c r="A276" s="4" t="inlineStr">
        <is>
          <t>Near-Presence-Analysis</t>
        </is>
      </c>
      <c r="B276" s="4" t="inlineStr">
        <is>
          <t>SCRIPTS</t>
        </is>
      </c>
      <c r="C276" s="4" t="inlineStr">
        <is>
          <t>eweaverdyck</t>
        </is>
      </c>
      <c r="D276" s="4" t="inlineStr">
        <is>
          <t>https://open-archaeo.info/post/near-presence-analysis/</t>
        </is>
      </c>
      <c r="E276" s="4" t="inlineStr">
        <is>
          <t>https://github.com/eweaverdyck/Near-Presence-Analysis</t>
        </is>
      </c>
      <c r="F276" s="4" t="inlineStr"/>
    </row>
    <row r="277">
      <c r="A277" s="4" t="inlineStr">
        <is>
          <t>neiman1995</t>
        </is>
      </c>
      <c r="B277" s="4" t="inlineStr">
        <is>
          <t>SCRIPTS</t>
        </is>
      </c>
      <c r="C277" s="4" t="inlineStr">
        <is>
          <t>nevrome</t>
        </is>
      </c>
      <c r="D277" s="4" t="inlineStr">
        <is>
          <t>https://open-archaeo.info/post/neiman1995/</t>
        </is>
      </c>
      <c r="E277" s="4" t="inlineStr">
        <is>
          <t>https://github.com/nevrome/neiman1995</t>
        </is>
      </c>
      <c r="F277" s="4" t="inlineStr"/>
    </row>
    <row r="278">
      <c r="A278" s="4" t="inlineStr">
        <is>
          <t>neolithicR</t>
        </is>
      </c>
      <c r="B278" s="4" t="inlineStr">
        <is>
          <t>SCRIPTS</t>
        </is>
      </c>
      <c r="C278" s="4" t="inlineStr">
        <is>
          <t>nevrome; dirkseidensticker</t>
        </is>
      </c>
      <c r="D278" s="4" t="inlineStr">
        <is>
          <t>https://open-archaeo.info/post/neolithicr/</t>
        </is>
      </c>
      <c r="E278" s="4" t="inlineStr">
        <is>
          <t>https://github.com/nevrome/neolithicR</t>
        </is>
      </c>
      <c r="F278" s="4" t="inlineStr"/>
    </row>
    <row r="279">
      <c r="A279" s="4" t="inlineStr">
        <is>
          <t>non-metric-trait-analysis</t>
        </is>
      </c>
      <c r="B279" s="4" t="inlineStr">
        <is>
          <t>SCRIPTS</t>
        </is>
      </c>
      <c r="C279" s="4" t="inlineStr">
        <is>
          <t>pr0m1th3as</t>
        </is>
      </c>
      <c r="D279" s="4" t="inlineStr">
        <is>
          <t>https://open-archaeo.info/post/non-metric-trait-analysis/</t>
        </is>
      </c>
      <c r="E279" s="4" t="inlineStr">
        <is>
          <t>https://github.com/pr0m1th3as/non-metric-trait-analysis</t>
        </is>
      </c>
      <c r="F279" s="4" t="inlineStr"/>
    </row>
    <row r="280">
      <c r="A280" s="4" t="inlineStr">
        <is>
          <t>osl_calibration.r</t>
        </is>
      </c>
      <c r="B280" s="4" t="inlineStr">
        <is>
          <t>SCRIPTS</t>
        </is>
      </c>
      <c r="C280" s="4" t="inlineStr">
        <is>
          <t>benmarwick</t>
        </is>
      </c>
      <c r="D280" s="4" t="inlineStr">
        <is>
          <t>https://open-archaeo.info/post/osl_calibration-r/</t>
        </is>
      </c>
      <c r="E280" s="4" t="inlineStr">
        <is>
          <t>https://gist.github.com/benmarwick/a3ec22a7c65410d00bcf</t>
        </is>
      </c>
      <c r="F280" s="4" t="inlineStr"/>
    </row>
    <row r="281">
      <c r="A281" s="4" t="inlineStr">
        <is>
          <t>osteometric-sorting</t>
        </is>
      </c>
      <c r="B281" s="4" t="inlineStr">
        <is>
          <t>SCRIPTS</t>
        </is>
      </c>
      <c r="C281" s="4" t="inlineStr">
        <is>
          <t>pr0m1th3as</t>
        </is>
      </c>
      <c r="D281" s="4" t="inlineStr">
        <is>
          <t>https://open-archaeo.info/post/osteometric-sorting/</t>
        </is>
      </c>
      <c r="E281" s="4" t="inlineStr">
        <is>
          <t>https://github.com/pr0m1th3as/osteometric-sorting</t>
        </is>
      </c>
      <c r="F281" s="4" t="inlineStr"/>
    </row>
    <row r="282">
      <c r="A282" s="4" t="inlineStr">
        <is>
          <t>p2pPerm</t>
        </is>
      </c>
      <c r="B282" s="4" t="inlineStr">
        <is>
          <t>SCRIPTS</t>
        </is>
      </c>
      <c r="C282" s="4" t="inlineStr">
        <is>
          <t>philriris</t>
        </is>
      </c>
      <c r="D282" s="4" t="inlineStr">
        <is>
          <t>https://open-archaeo.info/post/p2pperm/</t>
        </is>
      </c>
      <c r="E282" s="4" t="inlineStr">
        <is>
          <t>https://github.com/philriris/p2pPerm</t>
        </is>
      </c>
      <c r="F282" s="4" t="inlineStr"/>
    </row>
    <row r="283">
      <c r="A283" s="4" t="inlineStr">
        <is>
          <t>pdf-to-nested-xml</t>
        </is>
      </c>
      <c r="B283" s="4" t="inlineStr">
        <is>
          <t>SCRIPTS</t>
        </is>
      </c>
      <c r="C283" s="4" t="inlineStr">
        <is>
          <t>alexbrandsen</t>
        </is>
      </c>
      <c r="D283" s="4" t="inlineStr">
        <is>
          <t>https://open-archaeo.info/post/pdf-to-nested-xml/</t>
        </is>
      </c>
      <c r="E283" s="4" t="inlineStr">
        <is>
          <t>https://github.com/alexbrandsen/pdf-to-nested-xml</t>
        </is>
      </c>
      <c r="F283" s="4" t="inlineStr"/>
    </row>
    <row r="284">
      <c r="A284" s="4" t="inlineStr">
        <is>
          <t>PLC</t>
        </is>
      </c>
      <c r="B284" s="4" t="inlineStr">
        <is>
          <t>SCRIPTS</t>
        </is>
      </c>
      <c r="C284" s="4" t="inlineStr">
        <is>
          <t>mpeeples2008</t>
        </is>
      </c>
      <c r="D284" s="4" t="inlineStr">
        <is>
          <t>https://open-archaeo.info/post/plc/</t>
        </is>
      </c>
      <c r="E284" s="4" t="inlineStr">
        <is>
          <t>https://www.mattpeeples.net/PLC.html</t>
        </is>
      </c>
      <c r="F284" s="4" t="inlineStr"/>
    </row>
    <row r="285">
      <c r="A285" s="4" t="inlineStr">
        <is>
          <t>PointPattern</t>
        </is>
      </c>
      <c r="B285" s="4" t="inlineStr">
        <is>
          <t>SCRIPTS</t>
        </is>
      </c>
      <c r="C285" s="4" t="inlineStr">
        <is>
          <t>mpeeples2008</t>
        </is>
      </c>
      <c r="D285" s="4" t="inlineStr">
        <is>
          <t>https://open-archaeo.info/post/pointpattern/</t>
        </is>
      </c>
      <c r="E285" s="4" t="inlineStr">
        <is>
          <t>https://www.mattpeeples.net/PointPattern.html</t>
        </is>
      </c>
      <c r="F285" s="4" t="inlineStr"/>
    </row>
    <row r="286">
      <c r="A286" s="4" t="inlineStr">
        <is>
          <t>pollen_data_processing</t>
        </is>
      </c>
      <c r="B286" s="4" t="inlineStr">
        <is>
          <t>SCRIPTS</t>
        </is>
      </c>
      <c r="C286" s="4" t="inlineStr">
        <is>
          <t>MartinHinz</t>
        </is>
      </c>
      <c r="D286" s="4" t="inlineStr">
        <is>
          <t>https://open-archaeo.info/post/pollen_data_processing/</t>
        </is>
      </c>
      <c r="E286" s="4" t="inlineStr">
        <is>
          <t>https://github.com/MartinHinz/pollen_data_processing</t>
        </is>
      </c>
      <c r="F286" s="4" t="inlineStr"/>
    </row>
    <row r="287">
      <c r="A287" s="4" t="inlineStr">
        <is>
          <t>qrcode-storage</t>
        </is>
      </c>
      <c r="B287" s="4" t="inlineStr">
        <is>
          <t>SCRIPTS</t>
        </is>
      </c>
      <c r="C287" s="4" t="inlineStr">
        <is>
          <t>steko</t>
        </is>
      </c>
      <c r="D287" s="4" t="inlineStr">
        <is>
          <t>https://open-archaeo.info/post/qrcode-storage/</t>
        </is>
      </c>
      <c r="E287" s="4" t="inlineStr">
        <is>
          <t>https://codeberg.org/steko/qrcode-storage</t>
        </is>
      </c>
      <c r="F287" s="4" t="inlineStr"/>
    </row>
    <row r="288">
      <c r="A288" s="4" t="inlineStr">
        <is>
          <t>quantum-archeo</t>
        </is>
      </c>
      <c r="B288" s="4" t="inlineStr">
        <is>
          <t>SCRIPTS</t>
        </is>
      </c>
      <c r="C288" s="4" t="inlineStr">
        <is>
          <t>maciejkasinski</t>
        </is>
      </c>
      <c r="D288" s="4" t="inlineStr">
        <is>
          <t>https://open-archaeo.info/post/quantum-archeo/</t>
        </is>
      </c>
      <c r="E288" s="4" t="inlineStr">
        <is>
          <t>https://github.com/maciejkasinski/quantum-archeo</t>
        </is>
      </c>
      <c r="F288" s="4" t="inlineStr"/>
    </row>
    <row r="289">
      <c r="A289" s="4" t="inlineStr">
        <is>
          <t>QuARI</t>
        </is>
      </c>
      <c r="B289" s="4" t="inlineStr">
        <is>
          <t>SCRIPTS</t>
        </is>
      </c>
      <c r="C289" s="4" t="inlineStr">
        <is>
          <t>zackbatist; dcontre; Ciara Zogheib</t>
        </is>
      </c>
      <c r="D289" s="4" t="inlineStr">
        <is>
          <t>https://open-archaeo.info/post/quari/</t>
        </is>
      </c>
      <c r="E289" s="4" t="inlineStr">
        <is>
          <t>https://github.com/zackbatist/QuARI</t>
        </is>
      </c>
      <c r="F289" s="4" t="inlineStr"/>
    </row>
    <row r="290">
      <c r="A290" s="4" t="inlineStr">
        <is>
          <t>RACORD</t>
        </is>
      </c>
      <c r="B290" s="4" t="inlineStr">
        <is>
          <t>SCRIPTS</t>
        </is>
      </c>
      <c r="C290" s="4" t="inlineStr">
        <is>
          <t>jwilczek-dotcom</t>
        </is>
      </c>
      <c r="D290" s="4" t="inlineStr">
        <is>
          <t>https://open-archaeo.info/post/racord/</t>
        </is>
      </c>
      <c r="E290" s="4" t="inlineStr">
        <is>
          <t>https://github.com/jwilczek-dotcom/RACORD</t>
        </is>
      </c>
      <c r="F290" s="4" t="inlineStr"/>
    </row>
    <row r="291">
      <c r="A291" s="4" t="inlineStr">
        <is>
          <t>radiocarbon-scrapers</t>
        </is>
      </c>
      <c r="B291" s="4" t="inlineStr">
        <is>
          <t>SCRIPTS</t>
        </is>
      </c>
      <c r="C291" s="4" t="inlineStr">
        <is>
          <t>steko</t>
        </is>
      </c>
      <c r="D291" s="4" t="inlineStr">
        <is>
          <t>https://open-archaeo.info/post/radiocarbon-scrapers/</t>
        </is>
      </c>
      <c r="E291" s="4" t="inlineStr">
        <is>
          <t>https://codeberg.org/steko/radiocarbon-scrapers</t>
        </is>
      </c>
      <c r="F291" s="4" t="inlineStr"/>
    </row>
    <row r="292">
      <c r="A292" s="4" t="inlineStr">
        <is>
          <t>rti</t>
        </is>
      </c>
      <c r="B292" s="4" t="inlineStr">
        <is>
          <t>SCRIPTS</t>
        </is>
      </c>
      <c r="C292" s="4" t="inlineStr">
        <is>
          <t>kmartinez</t>
        </is>
      </c>
      <c r="D292" s="4" t="inlineStr">
        <is>
          <t>https://open-archaeo.info/post/rti-script/</t>
        </is>
      </c>
      <c r="E292" s="4" t="inlineStr">
        <is>
          <t>https://github.com/kmartinez/rti</t>
        </is>
      </c>
      <c r="F292" s="4" t="inlineStr"/>
    </row>
    <row r="293">
      <c r="A293" s="4" t="inlineStr">
        <is>
          <t>sdsbrowser</t>
        </is>
      </c>
      <c r="B293" s="4" t="inlineStr">
        <is>
          <t>SCRIPTS</t>
        </is>
      </c>
      <c r="C293" s="4" t="inlineStr">
        <is>
          <t>Johanna-Mestorf-Academy</t>
        </is>
      </c>
      <c r="D293" s="4" t="inlineStr">
        <is>
          <t>https://open-archaeo.info/post/sdsbrowser/</t>
        </is>
      </c>
      <c r="E293" s="4" t="inlineStr">
        <is>
          <t>https://github.com/Johanna-Mestorf-Academy/sdsbrowser</t>
        </is>
      </c>
      <c r="F293" s="4" t="inlineStr"/>
    </row>
    <row r="294">
      <c r="A294" s="4" t="inlineStr">
        <is>
          <t>Sériation de matrice en présence/absence</t>
        </is>
      </c>
      <c r="B294" s="4" t="inlineStr">
        <is>
          <t>SCRIPTS</t>
        </is>
      </c>
      <c r="C294" s="4" t="inlineStr">
        <is>
          <t>Bruno Desachy</t>
        </is>
      </c>
      <c r="D294" s="4" t="inlineStr">
        <is>
          <t>https://open-archaeo.info/post/seriation-matrice-presence-absence/</t>
        </is>
      </c>
      <c r="E294" s="4" t="inlineStr">
        <is>
          <t>https://abp.hypotheses.org/seriepresenceabsence</t>
        </is>
      </c>
      <c r="F294" s="4" t="inlineStr"/>
    </row>
    <row r="295">
      <c r="A295" s="4" t="inlineStr">
        <is>
          <t>shiny_Tldating</t>
        </is>
      </c>
      <c r="B295" s="4" t="inlineStr">
        <is>
          <t>SCRIPTS</t>
        </is>
      </c>
      <c r="C295" s="4" t="inlineStr">
        <is>
          <t>dstreble</t>
        </is>
      </c>
      <c r="D295" s="4" t="inlineStr">
        <is>
          <t>https://open-archaeo.info/post/shiny_tldating/</t>
        </is>
      </c>
      <c r="E295" s="4" t="inlineStr">
        <is>
          <t>https://github.com/dstreble/shiny_Tldating</t>
        </is>
      </c>
      <c r="F295" s="4" t="inlineStr"/>
    </row>
    <row r="296">
      <c r="A296" s="4" t="inlineStr">
        <is>
          <t>skeletal-sex-estimation</t>
        </is>
      </c>
      <c r="B296" s="4" t="inlineStr">
        <is>
          <t>SCRIPTS</t>
        </is>
      </c>
      <c r="C296" s="4" t="inlineStr">
        <is>
          <t>pr0m1th3as</t>
        </is>
      </c>
      <c r="D296" s="4" t="inlineStr">
        <is>
          <t>https://open-archaeo.info/post/skeletal-sex-estimation/</t>
        </is>
      </c>
      <c r="E296" s="4" t="inlineStr">
        <is>
          <t>https://github.com/pr0m1th3as/skeletal-sex-estimation</t>
        </is>
      </c>
      <c r="F296" s="4" t="inlineStr"/>
    </row>
    <row r="297">
      <c r="A297" s="4" t="inlineStr">
        <is>
          <t>skullanalyzer</t>
        </is>
      </c>
      <c r="B297" s="4" t="inlineStr">
        <is>
          <t>SCRIPTS</t>
        </is>
      </c>
      <c r="C297" s="4" t="inlineStr">
        <is>
          <t>pr0m1th3as</t>
        </is>
      </c>
      <c r="D297" s="4" t="inlineStr">
        <is>
          <t>https://open-archaeo.info/post/skullanalyzer/</t>
        </is>
      </c>
      <c r="E297" s="4" t="inlineStr">
        <is>
          <t>https://github.com/pr0m1th3as/skullanalyzer</t>
        </is>
      </c>
      <c r="F297" s="4" t="inlineStr"/>
    </row>
    <row r="298">
      <c r="A298" s="4" t="inlineStr">
        <is>
          <t>synthkat</t>
        </is>
      </c>
      <c r="B298" s="4" t="inlineStr">
        <is>
          <t>SCRIPTS</t>
        </is>
      </c>
      <c r="C298" s="4" t="inlineStr">
        <is>
          <t>scollinselliott</t>
        </is>
      </c>
      <c r="D298" s="4" t="inlineStr">
        <is>
          <t>https://open-archaeo.info/post/synthkat/</t>
        </is>
      </c>
      <c r="E298" s="4" t="inlineStr">
        <is>
          <t>https://github.com/scollinselliott/synthkat</t>
        </is>
      </c>
      <c r="F298" s="4" t="inlineStr"/>
    </row>
    <row r="299">
      <c r="A299" s="4" t="inlineStr">
        <is>
          <t>timeperiod2daterange</t>
        </is>
      </c>
      <c r="B299" s="4" t="inlineStr">
        <is>
          <t>SCRIPTS</t>
        </is>
      </c>
      <c r="C299" s="4" t="inlineStr">
        <is>
          <t>alexbrandsen</t>
        </is>
      </c>
      <c r="D299" s="4" t="inlineStr">
        <is>
          <t>https://open-archaeo.info/post/timeperiod2daterange/</t>
        </is>
      </c>
      <c r="E299" s="4" t="inlineStr">
        <is>
          <t>https://github.com/alexbrandsen/timeperiod2daterange</t>
        </is>
      </c>
      <c r="F299" s="4" t="inlineStr"/>
    </row>
    <row r="300">
      <c r="A300" s="4" t="inlineStr">
        <is>
          <t>tosca</t>
        </is>
      </c>
      <c r="B300" s="4" t="inlineStr">
        <is>
          <t>SCRIPTS</t>
        </is>
      </c>
      <c r="C300" s="4" t="inlineStr">
        <is>
          <t>ISAAKiel</t>
        </is>
      </c>
      <c r="D300" s="4" t="inlineStr">
        <is>
          <t>https://open-archaeo.info/post/tosca/</t>
        </is>
      </c>
      <c r="E300" s="4" t="inlineStr">
        <is>
          <t>https://github.com/ISAAKiel/tosca</t>
        </is>
      </c>
      <c r="F300" s="4" t="inlineStr"/>
    </row>
    <row r="301">
      <c r="A301" s="4" t="inlineStr">
        <is>
          <t>tRauma</t>
        </is>
      </c>
      <c r="B301" s="4" t="inlineStr">
        <is>
          <t>SCRIPTS</t>
        </is>
      </c>
      <c r="C301" s="4" t="inlineStr">
        <is>
          <t>ElaineYChu</t>
        </is>
      </c>
      <c r="D301" s="4" t="inlineStr">
        <is>
          <t>https://open-archaeo.info/post/trauma/</t>
        </is>
      </c>
      <c r="E301" s="4" t="inlineStr">
        <is>
          <t>https://github.com/ElaineYChu/tRauma</t>
        </is>
      </c>
      <c r="F301" s="4" t="inlineStr"/>
    </row>
    <row r="302">
      <c r="A302" s="4" t="inlineStr">
        <is>
          <t>UnconstrainedClustering</t>
        </is>
      </c>
      <c r="B302" s="4" t="inlineStr">
        <is>
          <t>SCRIPTS</t>
        </is>
      </c>
      <c r="C302" s="4" t="inlineStr">
        <is>
          <t>mpeeples2008</t>
        </is>
      </c>
      <c r="D302" s="4" t="inlineStr">
        <is>
          <t>https://open-archaeo.info/post/unconstrainedclustering/</t>
        </is>
      </c>
      <c r="E302" s="4" t="inlineStr">
        <is>
          <t>https://www.mattpeeples.net/UnconstrainedClustering.html</t>
        </is>
      </c>
      <c r="F302" s="4" t="inlineStr"/>
    </row>
    <row r="303">
      <c r="A303" s="4" t="inlineStr">
        <is>
          <t>ABMA_tutorials</t>
        </is>
      </c>
      <c r="B303" s="4" t="inlineStr">
        <is>
          <t>STANDALONE SOFTWARE</t>
        </is>
      </c>
      <c r="C303" s="4" t="inlineStr">
        <is>
          <t>ABMArchaeologists; RonaldVisser; drocks13</t>
        </is>
      </c>
      <c r="D303" s="4" t="inlineStr">
        <is>
          <t>https://open-archaeo.info/post/abma_tutorials/</t>
        </is>
      </c>
      <c r="E303" s="4" t="inlineStr">
        <is>
          <t>https://github.com/ABMArchaeologists/ABMA_tutorials</t>
        </is>
      </c>
      <c r="F303" s="4" t="inlineStr"/>
    </row>
    <row r="304">
      <c r="A304" s="4" t="inlineStr">
        <is>
          <t>AIS</t>
        </is>
      </c>
      <c r="B304" s="4" t="inlineStr">
        <is>
          <t>STANDALONE SOFTWARE</t>
        </is>
      </c>
      <c r="C304" s="4" t="inlineStr">
        <is>
          <t>andredebuisne</t>
        </is>
      </c>
      <c r="D304" s="4" t="inlineStr">
        <is>
          <t>https://open-archaeo.info/post/ais/</t>
        </is>
      </c>
      <c r="E304" s="4" t="inlineStr">
        <is>
          <t>https://github.com/andredebuisne/AIS</t>
        </is>
      </c>
      <c r="F304" s="4" t="inlineStr"/>
    </row>
    <row r="305">
      <c r="A305" s="4" t="inlineStr">
        <is>
          <t>Alligator</t>
        </is>
      </c>
      <c r="B305" s="4" t="inlineStr">
        <is>
          <t>STANDALONE SOFTWARE</t>
        </is>
      </c>
      <c r="C305" s="4" t="inlineStr">
        <is>
          <t>florianthiery; Allard Mees</t>
        </is>
      </c>
      <c r="D305" s="4" t="inlineStr">
        <is>
          <t>https://open-archaeo.info/post/alligator/</t>
        </is>
      </c>
      <c r="E305" s="4" t="inlineStr">
        <is>
          <t>https://github.com/florianthiery/Alligator</t>
        </is>
      </c>
      <c r="F305" s="4" t="inlineStr"/>
    </row>
    <row r="306">
      <c r="A306" s="4" t="inlineStr">
        <is>
          <t>anatolia-bibliography-map</t>
        </is>
      </c>
      <c r="B306" s="4" t="inlineStr">
        <is>
          <t>STANDALONE SOFTWARE</t>
        </is>
      </c>
      <c r="C306" s="4" t="inlineStr">
        <is>
          <t>anatolian</t>
        </is>
      </c>
      <c r="D306" s="4" t="inlineStr">
        <is>
          <t>https://open-archaeo.info/post/anatolia-bibliography-map/</t>
        </is>
      </c>
      <c r="E306" s="4" t="inlineStr">
        <is>
          <t>https://github.com/anatolian/anatolia-bibliography-map</t>
        </is>
      </c>
      <c r="F306" s="4" t="inlineStr"/>
    </row>
    <row r="307">
      <c r="A307" s="4" t="inlineStr">
        <is>
          <t>ArboDat</t>
        </is>
      </c>
      <c r="B307" s="4" t="inlineStr">
        <is>
          <t>STANDALONE SOFTWARE</t>
        </is>
      </c>
      <c r="C307" s="4" t="inlineStr">
        <is>
          <t>Angela Kreuz</t>
        </is>
      </c>
      <c r="D307" s="4" t="inlineStr">
        <is>
          <t>https://open-archaeo.info/post/arbodat/</t>
        </is>
      </c>
      <c r="E307" s="4" t="inlineStr">
        <is>
          <t>http://www.nihk.de/en/databases/arbodat</t>
        </is>
      </c>
      <c r="F307" s="4" t="inlineStr"/>
    </row>
    <row r="308">
      <c r="A308" s="4" t="inlineStr">
        <is>
          <t>ARFloorPlanApp</t>
        </is>
      </c>
      <c r="B308" s="4" t="inlineStr">
        <is>
          <t>STANDALONE SOFTWARE</t>
        </is>
      </c>
      <c r="C308" s="4" t="inlineStr">
        <is>
          <t>carlsun98</t>
        </is>
      </c>
      <c r="D308" s="4" t="inlineStr">
        <is>
          <t>https://open-archaeo.info/post/arfloorplanapp/</t>
        </is>
      </c>
      <c r="E308" s="4" t="inlineStr">
        <is>
          <t>https://github.com/carlsun98/ARFloorPlanApp</t>
        </is>
      </c>
      <c r="F308" s="4" t="inlineStr"/>
    </row>
    <row r="309">
      <c r="A309" s="4" t="inlineStr">
        <is>
          <t>archaeological-object-sharing</t>
        </is>
      </c>
      <c r="B309" s="4" t="inlineStr">
        <is>
          <t>STANDALONE SOFTWARE</t>
        </is>
      </c>
      <c r="C309" s="4" t="inlineStr">
        <is>
          <t>anatolian</t>
        </is>
      </c>
      <c r="D309" s="4" t="inlineStr">
        <is>
          <t>https://open-archaeo.info/post/archaeological-object-sharing/</t>
        </is>
      </c>
      <c r="E309" s="4" t="inlineStr">
        <is>
          <t>N/A</t>
        </is>
      </c>
      <c r="F309" s="4" t="inlineStr"/>
    </row>
    <row r="310">
      <c r="A310" s="4" t="inlineStr">
        <is>
          <t>ARchaeology</t>
        </is>
      </c>
      <c r="B310" s="4" t="inlineStr">
        <is>
          <t>STANDALONE SOFTWARE</t>
        </is>
      </c>
      <c r="C310" s="4" t="inlineStr">
        <is>
          <t>lili0824</t>
        </is>
      </c>
      <c r="D310" s="4" t="inlineStr">
        <is>
          <t>https://open-archaeo.info/post/archaeology/</t>
        </is>
      </c>
      <c r="E310" s="4" t="inlineStr">
        <is>
          <t>https://github.com/lili0824/ARchaeology</t>
        </is>
      </c>
      <c r="F310" s="4" t="inlineStr"/>
    </row>
    <row r="311">
      <c r="A311" s="4" t="inlineStr">
        <is>
          <t>ArchaeoMag</t>
        </is>
      </c>
      <c r="B311" s="4" t="inlineStr">
        <is>
          <t>STANDALONE SOFTWARE</t>
        </is>
      </c>
      <c r="C311" s="4" t="inlineStr">
        <is>
          <t>antonio-schettino</t>
        </is>
      </c>
      <c r="D311" s="4" t="inlineStr">
        <is>
          <t>https://open-archaeo.info/post/archaeomag/</t>
        </is>
      </c>
      <c r="E311" s="4" t="inlineStr">
        <is>
          <t>https://github.com/antonio-schettino/ArchaeoMag</t>
        </is>
      </c>
      <c r="F311" s="4" t="inlineStr"/>
    </row>
    <row r="312">
      <c r="A312" s="4" t="inlineStr">
        <is>
          <t>ArchAIDE</t>
        </is>
      </c>
      <c r="B312" s="4" t="inlineStr">
        <is>
          <t>STANDALONE SOFTWARE</t>
        </is>
      </c>
      <c r="C312" s="4" t="inlineStr">
        <is>
          <t>barak-itkin</t>
        </is>
      </c>
      <c r="D312" s="4" t="inlineStr">
        <is>
          <t>https://open-archaeo.info/post/archaide/</t>
        </is>
      </c>
      <c r="E312" s="4" t="inlineStr">
        <is>
          <t>https://github.com/barak-itkin/ArchAIDE</t>
        </is>
      </c>
      <c r="F312" s="4" t="inlineStr"/>
    </row>
    <row r="313">
      <c r="A313" s="4" t="inlineStr">
        <is>
          <t>ArcheOS</t>
        </is>
      </c>
      <c r="B313" s="4" t="inlineStr">
        <is>
          <t>STANDALONE SOFTWARE</t>
        </is>
      </c>
      <c r="C313" s="4" t="inlineStr">
        <is>
          <t>archeos</t>
        </is>
      </c>
      <c r="D313" s="4" t="inlineStr">
        <is>
          <t>https://open-archaeo.info/post/archeos/</t>
        </is>
      </c>
      <c r="E313" s="4" t="inlineStr">
        <is>
          <t>https://github.com/archeos/ArcheOS</t>
        </is>
      </c>
      <c r="F313" s="4" t="inlineStr"/>
    </row>
    <row r="314">
      <c r="A314" s="4" t="inlineStr">
        <is>
          <t>ArcheoShape</t>
        </is>
      </c>
      <c r="B314" s="4" t="inlineStr">
        <is>
          <t>STANDALONE SOFTWARE</t>
        </is>
      </c>
      <c r="C314" s="4" t="inlineStr">
        <is>
          <t>omendoza83</t>
        </is>
      </c>
      <c r="D314" s="4" t="inlineStr">
        <is>
          <t>https://open-archaeo.info/post/archeoshape/</t>
        </is>
      </c>
      <c r="E314" s="4" t="inlineStr">
        <is>
          <t>https://github.com/omendoza83/ArcheoShape</t>
        </is>
      </c>
      <c r="F314" s="4" t="inlineStr"/>
    </row>
    <row r="315">
      <c r="A315" s="4" t="inlineStr">
        <is>
          <t>arches</t>
        </is>
      </c>
      <c r="B315" s="4" t="inlineStr">
        <is>
          <t>STANDALONE SOFTWARE</t>
        </is>
      </c>
      <c r="C315" s="4" t="inlineStr">
        <is>
          <t>archesproject</t>
        </is>
      </c>
      <c r="D315" s="4" t="inlineStr">
        <is>
          <t>https://open-archaeo.info/post/arches/</t>
        </is>
      </c>
      <c r="E315" s="4" t="inlineStr">
        <is>
          <t>https://github.com/archesproject/arches</t>
        </is>
      </c>
      <c r="F315" s="4" t="inlineStr"/>
    </row>
    <row r="316">
      <c r="A316" s="4" t="inlineStr">
        <is>
          <t>arches-via-docker</t>
        </is>
      </c>
      <c r="B316" s="4" t="inlineStr">
        <is>
          <t>STANDALONE SOFTWARE</t>
        </is>
      </c>
      <c r="C316" s="4" t="inlineStr">
        <is>
          <t>opencontext</t>
        </is>
      </c>
      <c r="D316" s="4" t="inlineStr">
        <is>
          <t>https://open-archaeo.info/post/arches-via-docker/</t>
        </is>
      </c>
      <c r="E316" s="4" t="inlineStr">
        <is>
          <t>https://github.com/opencontext/arches-via-docker</t>
        </is>
      </c>
      <c r="F316" s="4" t="inlineStr"/>
    </row>
    <row r="317">
      <c r="A317" s="4" t="inlineStr">
        <is>
          <t>archiedb</t>
        </is>
      </c>
      <c r="B317" s="4" t="inlineStr">
        <is>
          <t>STANDALONE SOFTWARE</t>
        </is>
      </c>
      <c r="C317" s="4" t="inlineStr">
        <is>
          <t>archie</t>
        </is>
      </c>
      <c r="D317" s="4" t="inlineStr">
        <is>
          <t>https://open-archaeo.info/post/archiedb/</t>
        </is>
      </c>
      <c r="E317" s="4" t="inlineStr">
        <is>
          <t>https://github.com/archiedb/archiedb</t>
        </is>
      </c>
      <c r="F317" s="4" t="inlineStr"/>
    </row>
    <row r="318">
      <c r="A318" s="4" t="inlineStr">
        <is>
          <t>ark-addons</t>
        </is>
      </c>
      <c r="B318" s="4" t="inlineStr">
        <is>
          <t>STANDALONE SOFTWARE</t>
        </is>
      </c>
      <c r="C318" s="4" t="inlineStr">
        <is>
          <t>fradeve</t>
        </is>
      </c>
      <c r="D318" s="4" t="inlineStr">
        <is>
          <t>https://open-archaeo.info/post/ark-addons/</t>
        </is>
      </c>
      <c r="E318" s="4" t="inlineStr">
        <is>
          <t>https://github.com/fradeve/ark-addons</t>
        </is>
      </c>
      <c r="F318" s="4" t="inlineStr"/>
    </row>
    <row r="319">
      <c r="A319" s="4" t="inlineStr">
        <is>
          <t>ARK1</t>
        </is>
      </c>
      <c r="B319" s="4" t="inlineStr">
        <is>
          <t>STANDALONE SOFTWARE</t>
        </is>
      </c>
      <c r="C319" s="4" t="inlineStr">
        <is>
          <t>L-P Archaeology</t>
        </is>
      </c>
      <c r="D319" s="4" t="inlineStr">
        <is>
          <t>https://open-archaeo.info/post/ark1/</t>
        </is>
      </c>
      <c r="E319" s="4" t="inlineStr">
        <is>
          <t>https://github.com/lparchaeology/ARK</t>
        </is>
      </c>
      <c r="F319" s="4" t="inlineStr"/>
    </row>
    <row r="320">
      <c r="A320" s="4" t="inlineStr">
        <is>
          <t>Ark2</t>
        </is>
      </c>
      <c r="B320" s="4" t="inlineStr">
        <is>
          <t>STANDALONE SOFTWARE</t>
        </is>
      </c>
      <c r="C320" s="4" t="inlineStr">
        <is>
          <t>L-P Archaeology</t>
        </is>
      </c>
      <c r="D320" s="4" t="inlineStr">
        <is>
          <t>https://open-archaeo.info/post/ark2/</t>
        </is>
      </c>
      <c r="E320" s="4" t="inlineStr">
        <is>
          <t>https://github.com/lparchaeology/ARK</t>
        </is>
      </c>
      <c r="F320" s="4" t="inlineStr"/>
    </row>
    <row r="321">
      <c r="A321" s="4" t="inlineStr">
        <is>
          <t>ArkScan</t>
        </is>
      </c>
      <c r="B321" s="4" t="inlineStr">
        <is>
          <t>STANDALONE SOFTWARE</t>
        </is>
      </c>
      <c r="C321" s="4" t="inlineStr">
        <is>
          <t>L-P Archaeology</t>
        </is>
      </c>
      <c r="D321" s="4" t="inlineStr">
        <is>
          <t>https://open-archaeo.info/post/arkscan/</t>
        </is>
      </c>
      <c r="E321" s="4" t="inlineStr">
        <is>
          <t>https://github.com/lparchaeology/arkscan</t>
        </is>
      </c>
      <c r="F321" s="4" t="inlineStr"/>
    </row>
    <row r="322">
      <c r="A322" s="4" t="inlineStr">
        <is>
          <t>babylonian-hours</t>
        </is>
      </c>
      <c r="B322" s="4" t="inlineStr">
        <is>
          <t>STANDALONE SOFTWARE</t>
        </is>
      </c>
      <c r="C322" s="4" t="inlineStr">
        <is>
          <t>willismonroe</t>
        </is>
      </c>
      <c r="D322" s="4" t="inlineStr">
        <is>
          <t>https://open-archaeo.info/post/babylonian-hours/</t>
        </is>
      </c>
      <c r="E322" s="4" t="inlineStr">
        <is>
          <t>https://github.com/willismonroe/babylonian-hours</t>
        </is>
      </c>
      <c r="F322" s="4" t="inlineStr"/>
    </row>
    <row r="323">
      <c r="A323" s="4" t="inlineStr">
        <is>
          <t>BAM</t>
        </is>
      </c>
      <c r="B323" s="4" t="inlineStr">
        <is>
          <t>STANDALONE SOFTWARE</t>
        </is>
      </c>
      <c r="C323" s="4" t="inlineStr">
        <is>
          <t>Big-Ancient-Mediterranean</t>
        </is>
      </c>
      <c r="D323" s="4" t="inlineStr">
        <is>
          <t>https://open-archaeo.info/post/bam/</t>
        </is>
      </c>
      <c r="E323" s="4" t="inlineStr">
        <is>
          <t>https://github.com/Big-Ancient-Mediterranean/BAM</t>
        </is>
      </c>
      <c r="F323" s="4" t="inlineStr"/>
    </row>
    <row r="324">
      <c r="A324" s="4" t="inlineStr">
        <is>
          <t>Bonify</t>
        </is>
      </c>
      <c r="B324" s="4" t="inlineStr">
        <is>
          <t>STANDALONE SOFTWARE</t>
        </is>
      </c>
      <c r="C324" s="4" t="inlineStr">
        <is>
          <t>garynobles; Canan Cakirlar; Nynke de Boer</t>
        </is>
      </c>
      <c r="D324" s="4" t="inlineStr">
        <is>
          <t>https://open-archaeo.info/post/bonify/</t>
        </is>
      </c>
      <c r="E324" s="4" t="inlineStr">
        <is>
          <t>http://www.digitalbones.eu/</t>
        </is>
      </c>
      <c r="F324" s="4" t="inlineStr"/>
    </row>
    <row r="325">
      <c r="A325" s="4" t="inlineStr">
        <is>
          <t>BraDypUS</t>
        </is>
      </c>
      <c r="B325" s="4" t="inlineStr">
        <is>
          <t>STANDALONE SOFTWARE</t>
        </is>
      </c>
      <c r="C325" s="4" t="inlineStr">
        <is>
          <t>lab-archeologia-digitale</t>
        </is>
      </c>
      <c r="D325" s="4" t="inlineStr">
        <is>
          <t>https://open-archaeo.info/post/bradypus/</t>
        </is>
      </c>
      <c r="E325" s="4" t="inlineStr">
        <is>
          <t>https://github.com/lab-archeologia-digitale/BraDypUS</t>
        </is>
      </c>
      <c r="F325" s="4" t="inlineStr"/>
    </row>
    <row r="326">
      <c r="A326" s="4" t="inlineStr">
        <is>
          <t>caddonet</t>
        </is>
      </c>
      <c r="B326" s="4" t="inlineStr">
        <is>
          <t>STANDALONE SOFTWARE</t>
        </is>
      </c>
      <c r="C326" s="4" t="inlineStr">
        <is>
          <t>aksel-blaise</t>
        </is>
      </c>
      <c r="D326" s="4" t="inlineStr">
        <is>
          <t>https://open-archaeo.info/post/caddonet/</t>
        </is>
      </c>
      <c r="E326" s="4" t="inlineStr">
        <is>
          <t>N/A</t>
        </is>
      </c>
      <c r="F326" s="4" t="inlineStr"/>
    </row>
    <row r="327">
      <c r="A327" s="4" t="inlineStr">
        <is>
          <t>calibrator</t>
        </is>
      </c>
      <c r="B327" s="4" t="inlineStr">
        <is>
          <t>STANDALONE SOFTWARE</t>
        </is>
      </c>
      <c r="C327" s="4" t="inlineStr">
        <is>
          <t>ISAAKiel</t>
        </is>
      </c>
      <c r="D327" s="4" t="inlineStr">
        <is>
          <t>https://open-archaeo.info/post/calibrator/</t>
        </is>
      </c>
      <c r="E327" s="4" t="inlineStr">
        <is>
          <t>https://github.com/ISAAKiel/calibrator</t>
        </is>
      </c>
      <c r="F327" s="4" t="inlineStr"/>
    </row>
    <row r="328">
      <c r="A328" s="4" t="inlineStr">
        <is>
          <t>CharTool</t>
        </is>
      </c>
      <c r="B328" s="4" t="inlineStr">
        <is>
          <t>STANDALONE SOFTWARE</t>
        </is>
      </c>
      <c r="C328" s="4" t="inlineStr">
        <is>
          <t>gsnitker</t>
        </is>
      </c>
      <c r="D328" s="4" t="inlineStr">
        <is>
          <t>https://open-archaeo.info/post/chartool/</t>
        </is>
      </c>
      <c r="E328" s="4" t="inlineStr">
        <is>
          <t>https://github.com/gsnitker/CharTool</t>
        </is>
      </c>
      <c r="F328" s="4" t="inlineStr"/>
    </row>
    <row r="329">
      <c r="A329" s="4" t="inlineStr">
        <is>
          <t>cherish</t>
        </is>
      </c>
      <c r="B329" s="4" t="inlineStr">
        <is>
          <t>STANDALONE SOFTWARE</t>
        </is>
      </c>
      <c r="C329" s="4" t="inlineStr">
        <is>
          <t>vicrucann</t>
        </is>
      </c>
      <c r="D329" s="4" t="inlineStr">
        <is>
          <t>https://open-archaeo.info/post/cherish/</t>
        </is>
      </c>
      <c r="E329" s="4" t="inlineStr">
        <is>
          <t>https://github.com/vicrucann/cherish</t>
        </is>
      </c>
      <c r="F329" s="4" t="inlineStr"/>
    </row>
    <row r="330">
      <c r="A330" s="4" t="inlineStr">
        <is>
          <t>ChronoLog</t>
        </is>
      </c>
      <c r="B330" s="4" t="inlineStr">
        <is>
          <t>STANDALONE SOFTWARE</t>
        </is>
      </c>
      <c r="C330" s="4" t="inlineStr">
        <is>
          <t>Eythan Levy; Frédéric Pluquet; Gilles Geeraerts</t>
        </is>
      </c>
      <c r="D330" s="4" t="inlineStr">
        <is>
          <t>https://open-archaeo.info/post/chronolog/</t>
        </is>
      </c>
      <c r="E330" s="4" t="inlineStr">
        <is>
          <t>https://chrono.ulb.be/</t>
        </is>
      </c>
      <c r="F330" s="4" t="inlineStr"/>
    </row>
    <row r="331">
      <c r="A331" s="4" t="inlineStr">
        <is>
          <t>chronomodel</t>
        </is>
      </c>
      <c r="B331" s="4" t="inlineStr">
        <is>
          <t>STANDALONE SOFTWARE</t>
        </is>
      </c>
      <c r="C331" s="4" t="inlineStr">
        <is>
          <t>Chronomodel</t>
        </is>
      </c>
      <c r="D331" s="4" t="inlineStr">
        <is>
          <t>https://open-archaeo.info/post/chronomodel/</t>
        </is>
      </c>
      <c r="E331" s="4" t="inlineStr">
        <is>
          <t>https://github.com/Chronomodel/chronomodel</t>
        </is>
      </c>
      <c r="F331" s="4" t="inlineStr"/>
    </row>
    <row r="332">
      <c r="A332" s="4" t="inlineStr">
        <is>
          <t>civ5-prehistoric</t>
        </is>
      </c>
      <c r="B332" s="4" t="inlineStr">
        <is>
          <t>STANDALONE SOFTWARE</t>
        </is>
      </c>
      <c r="C332" s="4" t="inlineStr">
        <is>
          <t>carlosfhernandez</t>
        </is>
      </c>
      <c r="D332" s="4" t="inlineStr">
        <is>
          <t>https://open-archaeo.info/post/civ5-prehistoric/</t>
        </is>
      </c>
      <c r="E332" s="4" t="inlineStr">
        <is>
          <t>N/A</t>
        </is>
      </c>
      <c r="F332" s="4" t="inlineStr"/>
    </row>
    <row r="333">
      <c r="A333" s="4" t="inlineStr">
        <is>
          <t>Crossbones</t>
        </is>
      </c>
      <c r="B333" s="4" t="inlineStr">
        <is>
          <t>STANDALONE SOFTWARE</t>
        </is>
      </c>
      <c r="C333" s="4" t="inlineStr">
        <is>
          <t>Leif Isaksen</t>
        </is>
      </c>
      <c r="D333" s="4" t="inlineStr">
        <is>
          <t>https://open-archaeo.info/post/crossbones/</t>
        </is>
      </c>
      <c r="E333" s="4" t="inlineStr">
        <is>
          <t>http://oadigital.net/software/crossbones</t>
        </is>
      </c>
      <c r="F333" s="4" t="inlineStr"/>
    </row>
    <row r="334">
      <c r="A334" s="4" t="inlineStr">
        <is>
          <t>currycarbon</t>
        </is>
      </c>
      <c r="B334" s="4" t="inlineStr">
        <is>
          <t>STANDALONE SOFTWARE</t>
        </is>
      </c>
      <c r="C334" s="4" t="inlineStr">
        <is>
          <t>nevrome</t>
        </is>
      </c>
      <c r="D334" s="4" t="inlineStr">
        <is>
          <t>https://open-archaeo.info/post/currycarbon/</t>
        </is>
      </c>
      <c r="E334" s="4" t="inlineStr">
        <is>
          <t>https://github.com/nevrome/currycarbon</t>
        </is>
      </c>
      <c r="F334" s="4" t="inlineStr"/>
    </row>
    <row r="335">
      <c r="A335" s="4" t="inlineStr">
        <is>
          <t>dedalo</t>
        </is>
      </c>
      <c r="B335" s="4" t="inlineStr">
        <is>
          <t>STANDALONE SOFTWARE</t>
        </is>
      </c>
      <c r="C335" s="4" t="inlineStr">
        <is>
          <t>renderpci</t>
        </is>
      </c>
      <c r="D335" s="4" t="inlineStr">
        <is>
          <t>https://open-archaeo.info/post/dedalo/</t>
        </is>
      </c>
      <c r="E335" s="4" t="inlineStr">
        <is>
          <t>https://github.com/renderpci/dedalo</t>
        </is>
      </c>
      <c r="F335" s="4" t="inlineStr"/>
    </row>
    <row r="336">
      <c r="A336" s="4" t="inlineStr">
        <is>
          <t>DRAC-calculator</t>
        </is>
      </c>
      <c r="B336" s="4" t="inlineStr">
        <is>
          <t>STANDALONE SOFTWARE</t>
        </is>
      </c>
      <c r="C336" s="4" t="inlineStr">
        <is>
          <t>DRAC-calculator</t>
        </is>
      </c>
      <c r="D336" s="4" t="inlineStr">
        <is>
          <t>https://open-archaeo.info/post/drac-calculator/</t>
        </is>
      </c>
      <c r="E336" s="4" t="inlineStr">
        <is>
          <t>https://github.com/DRAC-calculator/DRAC</t>
        </is>
      </c>
      <c r="F336" s="4" t="inlineStr"/>
    </row>
    <row r="337">
      <c r="A337" s="4" t="inlineStr">
        <is>
          <t>E5</t>
        </is>
      </c>
      <c r="B337" s="4" t="inlineStr">
        <is>
          <t>STANDALONE SOFTWARE</t>
        </is>
      </c>
      <c r="C337" s="4" t="inlineStr">
        <is>
          <t>surf3s</t>
        </is>
      </c>
      <c r="D337" s="4" t="inlineStr">
        <is>
          <t>https://open-archaeo.info/post/e5/</t>
        </is>
      </c>
      <c r="E337" s="4" t="inlineStr">
        <is>
          <t>https://github.com/surf3s/E5</t>
        </is>
      </c>
      <c r="F337" s="4" t="inlineStr"/>
    </row>
    <row r="338">
      <c r="A338" s="4" t="inlineStr">
        <is>
          <t>ExtendedMatrix</t>
        </is>
      </c>
      <c r="B338" s="4" t="inlineStr">
        <is>
          <t>STANDALONE SOFTWARE</t>
        </is>
      </c>
      <c r="C338" s="4" t="inlineStr">
        <is>
          <t>zalmoxes-laran; Bruno Fanini; Enzo Cocca</t>
        </is>
      </c>
      <c r="D338" s="4" t="inlineStr">
        <is>
          <t>https://open-archaeo.info/post/extendedmatrix/</t>
        </is>
      </c>
      <c r="E338" s="4" t="inlineStr">
        <is>
          <t>https://github.com/zalmoxes-laran/ExtendedMatrix</t>
        </is>
      </c>
      <c r="F338" s="4" t="inlineStr"/>
    </row>
    <row r="339">
      <c r="A339" s="4" t="inlineStr">
        <is>
          <t>Fiche Stratigraphique Numérique (FSN)</t>
        </is>
      </c>
      <c r="B339" s="4" t="inlineStr">
        <is>
          <t>STANDALONE SOFTWARE</t>
        </is>
      </c>
      <c r="C339" s="4" t="inlineStr">
        <is>
          <t>Bruno Desachy</t>
        </is>
      </c>
      <c r="D339" s="4" t="inlineStr">
        <is>
          <t>https://open-archaeo.info/post/fiche-stratigraphique-numerique-fsn/</t>
        </is>
      </c>
      <c r="E339" s="4" t="inlineStr">
        <is>
          <t>https://abp.hypotheses.org/fiche-stratigraphique-numerique</t>
        </is>
      </c>
      <c r="F339" s="4" t="inlineStr"/>
    </row>
    <row r="340">
      <c r="A340" s="4" t="inlineStr">
        <is>
          <t>GlobaLID-App</t>
        </is>
      </c>
      <c r="B340" s="4" t="inlineStr">
        <is>
          <t>STANDALONE SOFTWARE</t>
        </is>
      </c>
      <c r="C340" s="4" t="inlineStr">
        <is>
          <t>archmetalDBM</t>
        </is>
      </c>
      <c r="D340" s="4" t="inlineStr">
        <is>
          <t>https://open-archaeo.info/post/globalid-app/</t>
        </is>
      </c>
      <c r="E340" s="4" t="inlineStr">
        <is>
          <t>https://github.com/archmetalDBM/GlobaLID-App</t>
        </is>
      </c>
      <c r="F340" s="4" t="inlineStr"/>
    </row>
    <row r="341">
      <c r="A341" s="4" t="inlineStr">
        <is>
          <t>hammurabi-markov</t>
        </is>
      </c>
      <c r="B341" s="4" t="inlineStr">
        <is>
          <t>STANDALONE SOFTWARE</t>
        </is>
      </c>
      <c r="C341" s="4" t="inlineStr">
        <is>
          <t>willismonroe</t>
        </is>
      </c>
      <c r="D341" s="4" t="inlineStr">
        <is>
          <t>https://open-archaeo.info/post/hammurabi-markov/</t>
        </is>
      </c>
      <c r="E341" s="4" t="inlineStr">
        <is>
          <t>https://github.com/willismonroe/hammurabi-markov</t>
        </is>
      </c>
      <c r="F341" s="4" t="inlineStr"/>
    </row>
    <row r="342">
      <c r="A342" s="4" t="inlineStr">
        <is>
          <t>harris-matrix (web)</t>
        </is>
      </c>
      <c r="B342" s="4" t="inlineStr">
        <is>
          <t>STANDALONE SOFTWARE</t>
        </is>
      </c>
      <c r="C342" s="4" t="inlineStr">
        <is>
          <t>semerj</t>
        </is>
      </c>
      <c r="D342" s="4" t="inlineStr">
        <is>
          <t>https://open-archaeo.info/post/harris-matrix-web/</t>
        </is>
      </c>
      <c r="E342" s="4" t="inlineStr">
        <is>
          <t>https://github.com/semerj/harris-matrix</t>
        </is>
      </c>
      <c r="F342" s="4" t="inlineStr"/>
    </row>
    <row r="343">
      <c r="A343" s="4" t="inlineStr">
        <is>
          <t>heurist</t>
        </is>
      </c>
      <c r="B343" s="4" t="inlineStr">
        <is>
          <t>STANDALONE SOFTWARE</t>
        </is>
      </c>
      <c r="C343" s="4" t="inlineStr">
        <is>
          <t>HeuristNetwork</t>
        </is>
      </c>
      <c r="D343" s="4" t="inlineStr">
        <is>
          <t>https://open-archaeo.info/post/heurist/</t>
        </is>
      </c>
      <c r="E343" s="4" t="inlineStr">
        <is>
          <t>https://github.com/HeuristNetwork/heurist</t>
        </is>
      </c>
      <c r="F343" s="4" t="inlineStr"/>
    </row>
    <row r="344">
      <c r="A344" s="4" t="inlineStr">
        <is>
          <t>historical-geocoding-assistant</t>
        </is>
      </c>
      <c r="B344" s="4" t="inlineStr">
        <is>
          <t>STANDALONE SOFTWARE</t>
        </is>
      </c>
      <c r="C344" s="4" t="inlineStr">
        <is>
          <t>adammertel</t>
        </is>
      </c>
      <c r="D344" s="4" t="inlineStr">
        <is>
          <t>https://open-archaeo.info/post/historical-geocoding-assistant/</t>
        </is>
      </c>
      <c r="E344" s="4" t="inlineStr">
        <is>
          <t>https://github.com/adammertel/historical-geocoding-assistant</t>
        </is>
      </c>
      <c r="F344" s="4" t="inlineStr"/>
    </row>
    <row r="345">
      <c r="A345" s="4" t="inlineStr">
        <is>
          <t>hsv-api</t>
        </is>
      </c>
      <c r="B345" s="4" t="inlineStr">
        <is>
          <t>STANDALONE SOFTWARE</t>
        </is>
      </c>
      <c r="C345" s="4" t="inlineStr">
        <is>
          <t>openhistorymap</t>
        </is>
      </c>
      <c r="D345" s="4" t="inlineStr">
        <is>
          <t>https://open-archaeo.info/post/hsv-api/</t>
        </is>
      </c>
      <c r="E345" s="4" t="inlineStr">
        <is>
          <t>https://github.com/OpenHistoryMap/HSV-API</t>
        </is>
      </c>
      <c r="F345" s="4" t="inlineStr"/>
    </row>
    <row r="346">
      <c r="A346" s="4" t="inlineStr">
        <is>
          <t>iDAI.field</t>
        </is>
      </c>
      <c r="B346" s="4" t="inlineStr">
        <is>
          <t>STANDALONE SOFTWARE</t>
        </is>
      </c>
      <c r="C346" s="4" t="inlineStr">
        <is>
          <t>daiinst</t>
        </is>
      </c>
      <c r="D346" s="4" t="inlineStr">
        <is>
          <t>https://open-archaeo.info/post/idai-field/</t>
        </is>
      </c>
      <c r="E346" s="4" t="inlineStr">
        <is>
          <t>https://github.com/dai-inst/iDAI.field</t>
        </is>
      </c>
      <c r="F346" s="4" t="inlineStr"/>
    </row>
    <row r="347">
      <c r="A347" s="4" t="inlineStr">
        <is>
          <t>IOSACal</t>
        </is>
      </c>
      <c r="B347" s="4" t="inlineStr">
        <is>
          <t>STANDALONE SOFTWARE</t>
        </is>
      </c>
      <c r="C347" s="4" t="inlineStr">
        <is>
          <t>iosa</t>
        </is>
      </c>
      <c r="D347" s="4" t="inlineStr">
        <is>
          <t>https://open-archaeo.info/post/iosacal/</t>
        </is>
      </c>
      <c r="E347" s="4" t="inlineStr">
        <is>
          <t>https://codeberg.org/iosa/IOSACal</t>
        </is>
      </c>
      <c r="F347" s="4" t="inlineStr"/>
    </row>
    <row r="348">
      <c r="A348" s="4" t="inlineStr">
        <is>
          <t>ishtar</t>
        </is>
      </c>
      <c r="B348" s="4" t="inlineStr">
        <is>
          <t>STANDALONE SOFTWARE</t>
        </is>
      </c>
      <c r="C348" s="4" t="inlineStr">
        <is>
          <t>iggdrasil</t>
        </is>
      </c>
      <c r="D348" s="4" t="inlineStr">
        <is>
          <t>https://open-archaeo.info/post/ishtar/</t>
        </is>
      </c>
      <c r="E348" s="4" t="inlineStr">
        <is>
          <t>https://gitlab.com/iggdrasil/ishtar</t>
        </is>
      </c>
      <c r="F348" s="4" t="inlineStr"/>
    </row>
    <row r="349">
      <c r="A349" s="4" t="inlineStr">
        <is>
          <t>katun</t>
        </is>
      </c>
      <c r="B349" s="4" t="inlineStr">
        <is>
          <t>STANDALONE SOFTWARE</t>
        </is>
      </c>
      <c r="C349" s="4" t="inlineStr">
        <is>
          <t>jgregoriods</t>
        </is>
      </c>
      <c r="D349" s="4" t="inlineStr">
        <is>
          <t>https://open-archaeo.info/post/katun/</t>
        </is>
      </c>
      <c r="E349" s="4" t="inlineStr">
        <is>
          <t>https://github.com/jgregoriods/katun</t>
        </is>
      </c>
      <c r="F349" s="4" t="inlineStr"/>
    </row>
    <row r="350">
      <c r="A350" s="4" t="inlineStr">
        <is>
          <t>marbleplan</t>
        </is>
      </c>
      <c r="B350" s="4" t="inlineStr">
        <is>
          <t>STANDALONE SOFTWARE</t>
        </is>
      </c>
      <c r="C350" s="4" t="inlineStr">
        <is>
          <t>rybesh</t>
        </is>
      </c>
      <c r="D350" s="4" t="inlineStr">
        <is>
          <t>https://open-archaeo.info/post/marbleplan/</t>
        </is>
      </c>
      <c r="E350" s="4" t="inlineStr">
        <is>
          <t>https://github.com/rybesh/marbleplan</t>
        </is>
      </c>
      <c r="F350" s="4" t="inlineStr"/>
    </row>
    <row r="351">
      <c r="A351" s="4" t="inlineStr">
        <is>
          <t>MAX</t>
        </is>
      </c>
      <c r="B351" s="4" t="inlineStr">
        <is>
          <t>STANDALONE SOFTWARE</t>
        </is>
      </c>
      <c r="C351" s="4" t="inlineStr">
        <is>
          <t>stefanieschneider; Hubertus Kohle; Severin Burg; Helmut Küchenhoff</t>
        </is>
      </c>
      <c r="D351" s="4" t="inlineStr">
        <is>
          <t>https://open-archaeo.info/post/max/</t>
        </is>
      </c>
      <c r="E351" s="4" t="inlineStr">
        <is>
          <t>https://github.com/CompArchaeology/MAX</t>
        </is>
      </c>
      <c r="F351" s="4" t="inlineStr"/>
    </row>
    <row r="352">
      <c r="A352" s="4" t="inlineStr">
        <is>
          <t>maya-calendar</t>
        </is>
      </c>
      <c r="B352" s="4" t="inlineStr">
        <is>
          <t>STANDALONE SOFTWARE</t>
        </is>
      </c>
      <c r="C352" s="4" t="inlineStr">
        <is>
          <t>jgregoriods</t>
        </is>
      </c>
      <c r="D352" s="4" t="inlineStr">
        <is>
          <t>https://open-archaeo.info/post/maya-calendar/</t>
        </is>
      </c>
      <c r="E352" s="4" t="inlineStr">
        <is>
          <t>https://github.com/jgregoriods/maya-calendar</t>
        </is>
      </c>
      <c r="F352" s="4" t="inlineStr"/>
    </row>
    <row r="353">
      <c r="A353" s="4" t="inlineStr">
        <is>
          <t>meshlab</t>
        </is>
      </c>
      <c r="B353" s="4" t="inlineStr">
        <is>
          <t>STANDALONE SOFTWARE</t>
        </is>
      </c>
      <c r="C353" s="4" t="inlineStr">
        <is>
          <t>KevinCain</t>
        </is>
      </c>
      <c r="D353" s="4" t="inlineStr">
        <is>
          <t>https://open-archaeo.info/post/meshlab/</t>
        </is>
      </c>
      <c r="E353" s="4" t="inlineStr">
        <is>
          <t>https://github.com/kevincain/meshlab-utils</t>
        </is>
      </c>
      <c r="F353" s="4" t="inlineStr"/>
    </row>
    <row r="354">
      <c r="A354" s="4" t="inlineStr">
        <is>
          <t>nervia</t>
        </is>
      </c>
      <c r="B354" s="4" t="inlineStr">
        <is>
          <t>STANDALONE SOFTWARE</t>
        </is>
      </c>
      <c r="C354" s="4" t="inlineStr">
        <is>
          <t>steko</t>
        </is>
      </c>
      <c r="D354" s="4" t="inlineStr">
        <is>
          <t>https://open-archaeo.info/post/nervia/</t>
        </is>
      </c>
      <c r="E354" s="4" t="inlineStr">
        <is>
          <t>https://codeberg.org/steko/nervia</t>
        </is>
      </c>
      <c r="F354" s="4" t="inlineStr"/>
    </row>
    <row r="355">
      <c r="A355" s="4" t="inlineStr">
        <is>
          <t>Open History Map</t>
        </is>
      </c>
      <c r="B355" s="4" t="inlineStr">
        <is>
          <t>STANDALONE SOFTWARE</t>
        </is>
      </c>
      <c r="C355" s="4" t="inlineStr">
        <is>
          <t>openhistorymap</t>
        </is>
      </c>
      <c r="D355" s="4" t="inlineStr">
        <is>
          <t>https://open-archaeo.info/post/open-history-map/</t>
        </is>
      </c>
      <c r="E355" s="4" t="inlineStr">
        <is>
          <t>https://github.com/OpenHistoryMap/OpenHistoryMap</t>
        </is>
      </c>
      <c r="F355" s="4" t="inlineStr"/>
    </row>
    <row r="356">
      <c r="A356" s="4" t="inlineStr">
        <is>
          <t>open-context-py</t>
        </is>
      </c>
      <c r="B356" s="4" t="inlineStr">
        <is>
          <t>STANDALONE SOFTWARE</t>
        </is>
      </c>
      <c r="C356" s="4" t="inlineStr">
        <is>
          <t>ekansa</t>
        </is>
      </c>
      <c r="D356" s="4" t="inlineStr">
        <is>
          <t>https://open-archaeo.info/post/open-context-py/</t>
        </is>
      </c>
      <c r="E356" s="4" t="inlineStr">
        <is>
          <t>https://github.com/ekansa/open-context-py</t>
        </is>
      </c>
      <c r="F356" s="4" t="inlineStr"/>
    </row>
    <row r="357">
      <c r="A357" s="4" t="inlineStr">
        <is>
          <t>OpenAtlas</t>
        </is>
      </c>
      <c r="B357" s="4" t="inlineStr">
        <is>
          <t>STANDALONE SOFTWARE</t>
        </is>
      </c>
      <c r="C357" s="4" t="inlineStr">
        <is>
          <t>CRAWS</t>
        </is>
      </c>
      <c r="D357" s="4" t="inlineStr">
        <is>
          <t>https://open-archaeo.info/post/openatlas/</t>
        </is>
      </c>
      <c r="E357" s="4" t="inlineStr">
        <is>
          <t>https://github.com/craws/OpenAtlas</t>
        </is>
      </c>
      <c r="F357" s="4" t="inlineStr"/>
    </row>
    <row r="358">
      <c r="A358" s="4" t="inlineStr">
        <is>
          <t>paleocore</t>
        </is>
      </c>
      <c r="B358" s="4" t="inlineStr">
        <is>
          <t>STANDALONE SOFTWARE</t>
        </is>
      </c>
      <c r="C358" s="4" t="inlineStr">
        <is>
          <t>paleocore</t>
        </is>
      </c>
      <c r="D358" s="4" t="inlineStr">
        <is>
          <t>https://open-archaeo.info/post/paleocore/</t>
        </is>
      </c>
      <c r="E358" s="4" t="inlineStr">
        <is>
          <t>https://github.com/paleocore/paleocore-retired</t>
        </is>
      </c>
      <c r="F358" s="4" t="inlineStr"/>
    </row>
    <row r="359">
      <c r="A359" s="4" t="inlineStr">
        <is>
          <t>photogrammetry-object-scannner</t>
        </is>
      </c>
      <c r="B359" s="4" t="inlineStr">
        <is>
          <t>STANDALONE SOFTWARE</t>
        </is>
      </c>
      <c r="C359" s="4" t="inlineStr">
        <is>
          <t>anatolian</t>
        </is>
      </c>
      <c r="D359" s="4" t="inlineStr">
        <is>
          <t>https://open-archaeo.info/post/photogrammetry-object-scannner/</t>
        </is>
      </c>
      <c r="E359" s="4" t="inlineStr">
        <is>
          <t>https://github.com/anatolian/photogrammetry-object-scanner</t>
        </is>
      </c>
      <c r="F359" s="4" t="inlineStr"/>
    </row>
    <row r="360">
      <c r="A360" s="4" t="inlineStr">
        <is>
          <t>poseidon-framework</t>
        </is>
      </c>
      <c r="B360" s="4" t="inlineStr">
        <is>
          <t>STANDALONE SOFTWARE</t>
        </is>
      </c>
      <c r="C360" s="4" t="inlineStr">
        <is>
          <t>poseidon-framework</t>
        </is>
      </c>
      <c r="D360" s="4" t="inlineStr">
        <is>
          <t>https://open-archaeo.info/post/poseidon-framework/</t>
        </is>
      </c>
      <c r="E360" s="4" t="inlineStr">
        <is>
          <t>https://github.com/poseidon-framework/poseidon2</t>
        </is>
      </c>
      <c r="F360" s="4" t="inlineStr"/>
    </row>
    <row r="361">
      <c r="A361" s="4" t="inlineStr">
        <is>
          <t>rekrei</t>
        </is>
      </c>
      <c r="B361" s="4" t="inlineStr">
        <is>
          <t>STANDALONE SOFTWARE</t>
        </is>
      </c>
      <c r="C361" s="4" t="inlineStr">
        <is>
          <t>rekrei</t>
        </is>
      </c>
      <c r="D361" s="4" t="inlineStr">
        <is>
          <t>https://open-archaeo.info/post/rekrei/</t>
        </is>
      </c>
      <c r="E361" s="4" t="inlineStr">
        <is>
          <t>https://github.com/rekrei/rekrei</t>
        </is>
      </c>
      <c r="F361" s="4" t="inlineStr"/>
    </row>
    <row r="362">
      <c r="A362" s="4" t="inlineStr">
        <is>
          <t>RoomAccum</t>
        </is>
      </c>
      <c r="B362" s="4" t="inlineStr">
        <is>
          <t>STANDALONE SOFTWARE</t>
        </is>
      </c>
      <c r="C362" s="4" t="inlineStr">
        <is>
          <t>kintigh</t>
        </is>
      </c>
      <c r="D362" s="4" t="inlineStr">
        <is>
          <t>https://open-archaeo.info/post/roomaccum/</t>
        </is>
      </c>
      <c r="E362" s="4" t="inlineStr">
        <is>
          <t>https://github.com/kintigh/RoomAccum</t>
        </is>
      </c>
      <c r="F362" s="4" t="inlineStr"/>
    </row>
    <row r="363">
      <c r="A363" s="4" t="inlineStr">
        <is>
          <t>RTIBuilder</t>
        </is>
      </c>
      <c r="B363" s="4" t="inlineStr">
        <is>
          <t>STANDALONE SOFTWARE</t>
        </is>
      </c>
      <c r="C363" s="4" t="inlineStr">
        <is>
          <t>culturalheritageimaging</t>
        </is>
      </c>
      <c r="D363" s="4" t="inlineStr">
        <is>
          <t>https://open-archaeo.info/post/rtibuilder/</t>
        </is>
      </c>
      <c r="E363" s="4" t="inlineStr">
        <is>
          <t>http://culturalheritageimaging.org/What_We_Offer/Downloads/RTI_Builder.php</t>
        </is>
      </c>
      <c r="F363" s="4" t="inlineStr"/>
    </row>
    <row r="364">
      <c r="A364" s="4" t="inlineStr">
        <is>
          <t>RTIViewer</t>
        </is>
      </c>
      <c r="B364" s="4" t="inlineStr">
        <is>
          <t>STANDALONE SOFTWARE</t>
        </is>
      </c>
      <c r="C364" s="4" t="inlineStr">
        <is>
          <t>culturalheritageimaging</t>
        </is>
      </c>
      <c r="D364" s="4" t="inlineStr">
        <is>
          <t>https://open-archaeo.info/post/rtiviewer/</t>
        </is>
      </c>
      <c r="E364" s="4" t="inlineStr">
        <is>
          <t>http://culturalheritageimaging.org/What_We_Offer/Downloads/RTI_Viewer.php</t>
        </is>
      </c>
      <c r="F364" s="4" t="inlineStr"/>
    </row>
    <row r="365">
      <c r="A365" s="4" t="inlineStr">
        <is>
          <t>Scroll Viewer</t>
        </is>
      </c>
      <c r="B365" s="4" t="inlineStr">
        <is>
          <t>STANDALONE SOFTWARE</t>
        </is>
      </c>
      <c r="C365" s="4" t="inlineStr">
        <is>
          <t>atiro</t>
        </is>
      </c>
      <c r="D365" s="4" t="inlineStr">
        <is>
          <t>https://open-archaeo.info/post/scroll-viewer/</t>
        </is>
      </c>
      <c r="E365" s="4" t="inlineStr">
        <is>
          <t>https://github.com/atiro/Scroll-Viewer</t>
        </is>
      </c>
      <c r="F365" s="4" t="inlineStr"/>
    </row>
    <row r="366">
      <c r="A366" s="4" t="inlineStr">
        <is>
          <t>shiny_DRAC</t>
        </is>
      </c>
      <c r="B366" s="4" t="inlineStr">
        <is>
          <t>STANDALONE SOFTWARE</t>
        </is>
      </c>
      <c r="C366" s="4" t="inlineStr">
        <is>
          <t>dstreble</t>
        </is>
      </c>
      <c r="D366" s="4" t="inlineStr">
        <is>
          <t>https://open-archaeo.info/post/shiny_drac/</t>
        </is>
      </c>
      <c r="E366" s="4" t="inlineStr">
        <is>
          <t>https://github.com/dstreble/shiny_DRAC</t>
        </is>
      </c>
      <c r="F366" s="4" t="inlineStr"/>
    </row>
    <row r="367">
      <c r="A367" s="4" t="inlineStr">
        <is>
          <t>shootpoints-web-api</t>
        </is>
      </c>
      <c r="B367" s="4" t="inlineStr">
        <is>
          <t>STANDALONE SOFTWARE</t>
        </is>
      </c>
      <c r="C367" s="4" t="inlineStr">
        <is>
          <t>Lugal-PCZ</t>
        </is>
      </c>
      <c r="D367" s="4" t="inlineStr">
        <is>
          <t>https://open-archaeo.info/post/shootpoints-web-api/</t>
        </is>
      </c>
      <c r="E367" s="4" t="inlineStr">
        <is>
          <t>https://github.com/Lugal-PCZ/shootpoints-web-api</t>
        </is>
      </c>
      <c r="F367" s="4" t="inlineStr"/>
    </row>
    <row r="368">
      <c r="A368" s="4" t="inlineStr">
        <is>
          <t>shootpoints-web-frontend</t>
        </is>
      </c>
      <c r="B368" s="4" t="inlineStr">
        <is>
          <t>STANDALONE SOFTWARE</t>
        </is>
      </c>
      <c r="C368" s="4" t="inlineStr">
        <is>
          <t>Lugal-PCZ</t>
        </is>
      </c>
      <c r="D368" s="4" t="inlineStr">
        <is>
          <t>https://open-archaeo.info/post/shootpoints-web-frontend/</t>
        </is>
      </c>
      <c r="E368" s="4" t="inlineStr">
        <is>
          <t>https://github.com/Lugal-PCZ/shootpoints-web-frontend</t>
        </is>
      </c>
      <c r="F368" s="4" t="inlineStr"/>
    </row>
    <row r="369">
      <c r="A369" s="4" t="inlineStr">
        <is>
          <t>StoneAdvisor</t>
        </is>
      </c>
      <c r="B369" s="4" t="inlineStr">
        <is>
          <t>STANDALONE SOFTWARE</t>
        </is>
      </c>
      <c r="C369" s="4" t="inlineStr">
        <is>
          <t>rbbristow</t>
        </is>
      </c>
      <c r="D369" s="4" t="inlineStr">
        <is>
          <t>https://open-archaeo.info/post/stoneadvisor/</t>
        </is>
      </c>
      <c r="E369" s="4" t="inlineStr">
        <is>
          <t>https://github.com/rbbristow/StoneAdvisor</t>
        </is>
      </c>
      <c r="F369" s="4" t="inlineStr"/>
    </row>
    <row r="370">
      <c r="A370" s="4" t="inlineStr">
        <is>
          <t>Stratibase</t>
        </is>
      </c>
      <c r="B370" s="4" t="inlineStr">
        <is>
          <t>STANDALONE SOFTWARE</t>
        </is>
      </c>
      <c r="C370" s="4" t="inlineStr">
        <is>
          <t>Bruno Desachy</t>
        </is>
      </c>
      <c r="D370" s="4" t="inlineStr">
        <is>
          <t>https://open-archaeo.info/post/stratibase/</t>
        </is>
      </c>
      <c r="E370" s="4" t="inlineStr">
        <is>
          <t>https://abp.hypotheses.org/stratibase</t>
        </is>
      </c>
      <c r="F370" s="4" t="inlineStr"/>
    </row>
    <row r="371">
      <c r="A371" s="4" t="inlineStr">
        <is>
          <t>Tachy2GIS</t>
        </is>
      </c>
      <c r="B371" s="4" t="inlineStr">
        <is>
          <t>STANDALONE SOFTWARE</t>
        </is>
      </c>
      <c r="C371" s="4" t="inlineStr">
        <is>
          <t>Archaeological-Museum-Hamburg; chris-jan-trapp</t>
        </is>
      </c>
      <c r="D371" s="4" t="inlineStr">
        <is>
          <t>https://open-archaeo.info/post/tachy2gis/</t>
        </is>
      </c>
      <c r="E371" s="4" t="inlineStr">
        <is>
          <t>https://github.com/ArchaeoHamburg/Tachy2GIS</t>
        </is>
      </c>
      <c r="F371" s="4" t="inlineStr"/>
    </row>
    <row r="372">
      <c r="A372" s="4" t="inlineStr">
        <is>
          <t>THANADOS</t>
        </is>
      </c>
      <c r="B372" s="4" t="inlineStr">
        <is>
          <t>STANDALONE SOFTWARE</t>
        </is>
      </c>
      <c r="C372" s="4" t="inlineStr">
        <is>
          <t>stefaneichert</t>
        </is>
      </c>
      <c r="D372" s="4" t="inlineStr">
        <is>
          <t>https://open-archaeo.info/post/thanados/</t>
        </is>
      </c>
      <c r="E372" s="4" t="inlineStr">
        <is>
          <t>https://github.com/stefaneichert/thanados</t>
        </is>
      </c>
      <c r="F372" s="4" t="inlineStr"/>
    </row>
    <row r="373">
      <c r="A373" s="4" t="inlineStr">
        <is>
          <t>totalopenstation</t>
        </is>
      </c>
      <c r="B373" s="4" t="inlineStr">
        <is>
          <t>STANDALONE SOFTWARE</t>
        </is>
      </c>
      <c r="C373" s="4" t="inlineStr">
        <is>
          <t>steko</t>
        </is>
      </c>
      <c r="D373" s="4" t="inlineStr">
        <is>
          <t>https://open-archaeo.info/post/totalopenstation/</t>
        </is>
      </c>
      <c r="E373" s="4" t="inlineStr">
        <is>
          <t>https://github.com/steko/totalopenstation</t>
        </is>
      </c>
      <c r="F373" s="4" t="inlineStr"/>
    </row>
    <row r="374">
      <c r="A374" s="4" t="inlineStr">
        <is>
          <t>Vessel-Measuring-Tool</t>
        </is>
      </c>
      <c r="B374" s="4" t="inlineStr">
        <is>
          <t>STANDALONE SOFTWARE</t>
        </is>
      </c>
      <c r="C374" s="4" t="inlineStr">
        <is>
          <t>alessandrobattisti</t>
        </is>
      </c>
      <c r="D374" s="4" t="inlineStr">
        <is>
          <t>https://open-archaeo.info/post/vessel-measuring-tool/</t>
        </is>
      </c>
      <c r="E374" s="4" t="inlineStr">
        <is>
          <t>https://github.com/alessandrobattisti/Vessel-Measuring-Tool</t>
        </is>
      </c>
      <c r="F374" s="4" t="inlineStr"/>
    </row>
    <row r="375">
      <c r="A375" s="4" t="inlineStr">
        <is>
          <t>vici.org</t>
        </is>
      </c>
      <c r="B375" s="4" t="inlineStr">
        <is>
          <t>STANDALONE SOFTWARE</t>
        </is>
      </c>
      <c r="C375" s="4" t="inlineStr">
        <is>
          <t>renevoorburg</t>
        </is>
      </c>
      <c r="D375" s="4" t="inlineStr">
        <is>
          <t>https://open-archaeo.info/post/vici-org/</t>
        </is>
      </c>
      <c r="E375" s="4" t="inlineStr">
        <is>
          <t>https://github.com/vici-org/vici-org</t>
        </is>
      </c>
      <c r="F375" s="4" t="inlineStr"/>
    </row>
    <row r="376">
      <c r="A376" s="4" t="n"/>
      <c r="B376" s="4" t="n"/>
      <c r="C376" s="4" t="n"/>
      <c r="D376" s="4" t="n"/>
      <c r="E376" s="4" t="n"/>
      <c r="F376" s="4"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E10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9" customWidth="1" style="20" min="1" max="1"/>
    <col width="40.88" customWidth="1" style="20" min="2" max="2"/>
    <col width="65.25" customWidth="1" style="20" min="3" max="3"/>
  </cols>
  <sheetData>
    <row r="1">
      <c r="A1" s="6" t="inlineStr">
        <is>
          <t>item_name</t>
        </is>
      </c>
      <c r="B1" s="6" t="inlineStr">
        <is>
          <t>original_description</t>
        </is>
      </c>
      <c r="C1" s="6" t="inlineStr">
        <is>
          <t>improved_description</t>
        </is>
      </c>
    </row>
    <row r="2">
      <c r="A2" s="6" t="inlineStr">
        <is>
          <t>quantAAR</t>
        </is>
      </c>
      <c r="B2" s="6" t="inlineStr">
        <is>
          <t>R Library for Quantitative Analysis in Archaeology.</t>
        </is>
      </c>
      <c r="C2" s="6" t="inlineStr">
        <is>
          <t>quantAAR is an R package designed to support quantitative analysis in archaeological research. It offers a comprehensive suite of statistical functions and visualization tools that enable archaeologists to perform complex analyses—such as regression, clustering, and data transformation—on their datasets. The package emphasizes reproducibility and seamless integration with other R tools, making it ideal for detailed quantitative investigations in archaeology.</t>
        </is>
      </c>
    </row>
    <row r="3">
      <c r="A3" s="6" t="inlineStr">
        <is>
          <t>quantAAR</t>
        </is>
      </c>
      <c r="B3" s="6" t="inlineStr">
        <is>
          <t>quantAAR is an R library that provides a comprehensive suite of statistical tools for quantitative analysis in archaeology. It enables researchers to process and analyze archaeological data through advanced statistical techniques, facilitating robust data interpretation and evidence-based research. The library includes functions for simulation, visualization, and modeling tailored to archaeological investigations. Developed by ISAAKiel, quantAAR transforms raw data into meaningful insights, supporting dynamic research and hypothesis testing in archaeology.</t>
        </is>
      </c>
      <c r="C3" s="6" t="inlineStr">
        <is>
          <t>https://github.com/ISAAKiel/quantAAR</t>
        </is>
      </c>
      <c r="D3" s="6" t="inlineStr"/>
      <c r="E3" s="6" t="inlineStr"/>
      <c r="F3" s="6" t="inlineStr"/>
      <c r="G3" s="6" t="inlineStr"/>
      <c r="H3" s="6" t="inlineStr"/>
      <c r="I3" s="6" t="inlineStr"/>
      <c r="J3" s="6" t="inlineStr"/>
      <c r="K3" s="6" t="inlineStr"/>
      <c r="L3" s="6" t="inlineStr"/>
      <c r="M3" s="6" t="inlineStr"/>
      <c r="N3" s="6" t="inlineStr"/>
      <c r="O3" s="6" t="inlineStr"/>
      <c r="P3" s="6" t="inlineStr"/>
      <c r="Q3" s="6" t="inlineStr">
        <is>
          <t>ISAAKiel</t>
        </is>
      </c>
      <c r="R3" s="6" t="inlineStr"/>
      <c r="S3" s="6" t="inlineStr"/>
      <c r="T3" s="6" t="inlineStr"/>
      <c r="U3" s="6" t="inlineStr"/>
      <c r="V3" s="6" t="inlineStr"/>
      <c r="W3" s="6" t="inlineStr">
        <is>
          <t>Packages and libraries</t>
        </is>
      </c>
      <c r="X3" s="6" t="inlineStr">
        <is>
          <t>R</t>
        </is>
      </c>
      <c r="Y3" s="6" t="inlineStr">
        <is>
          <t>Statistical analysis</t>
        </is>
      </c>
      <c r="Z3" s="6" t="inlineStr">
        <is>
          <t>archhist-software-tool</t>
        </is>
      </c>
      <c r="AA3" s="6" t="inlineStr"/>
      <c r="AB3" s="6" t="inlineStr"/>
      <c r="AC3" s="6" t="inlineStr"/>
      <c r="AD3" s="6" t="inlineStr"/>
      <c r="AE3" s="6" t="inlineStr">
        <is>
          <t>https://archive.org/details/github.com-ISAAKiel-quantAAR_-_2020-07-09_13-14-14</t>
        </is>
      </c>
    </row>
    <row r="4">
      <c r="A4" s="6" t="inlineStr">
        <is>
          <t>tabula</t>
        </is>
      </c>
      <c r="B4" s="6" t="inlineStr">
        <is>
          <t>Analysis, Seriation and Visualization of Archaeological Count Data.</t>
        </is>
      </c>
      <c r="C4" s="6" t="inlineStr">
        <is>
          <t>tabula is an R package that provides robust tools for analyzing, ordering, and visualizing count data in archaeology. It leverages seriation techniques to reveal chronological patterns and employs advanced visualization methods to highlight spatial relationships within artifact assemblages. Developed by Tesselle, tabula is well-documented and supports reproducible research practices, making it a key resource for archaeological quantitative analysis.</t>
        </is>
      </c>
    </row>
    <row r="5">
      <c r="A5" s="6" t="inlineStr">
        <is>
          <t>tosca</t>
        </is>
      </c>
      <c r="B5" s="6" t="inlineStr">
        <is>
          <t>Tool for Online Seriation and Correspondence Analysis.</t>
        </is>
      </c>
      <c r="C5" s="6" t="inlineStr">
        <is>
          <t>tosca is an R-based tool crafted for online seriation and correspondence analysis in archaeological datasets. It facilitates the exploration of relationships between categorical variables by generating visual representations and statistical outputs that help establish chronological or spatial sequences. Its interactive features and focused analytical methods make it a valuable asset for researchers aiming to uncover patterns in archaeological data.</t>
        </is>
      </c>
    </row>
    <row r="6">
      <c r="A6" s="6" t="inlineStr">
        <is>
          <t>CAinterprTools</t>
        </is>
      </c>
      <c r="B6" s="6" t="inlineStr">
        <is>
          <t>R package to help interpreting Correspondence Analysis' results.</t>
        </is>
      </c>
      <c r="C6" s="6" t="inlineStr">
        <is>
          <t>CAinterprTools is an R package specifically designed to assist archaeologists in interpreting the outcomes of correspondence analysis. The package offers specialized functions for enhanced visualization and statistical evaluation of correspondence analysis outputs, helping researchers to decipher complex patterns in categorical data and to better understand the relationships underlying archaeological assemblages.</t>
        </is>
      </c>
    </row>
    <row r="7">
      <c r="A7" s="6" t="inlineStr">
        <is>
          <t>CAseriation</t>
        </is>
      </c>
      <c r="B7" s="6" t="inlineStr">
        <is>
          <t>R Package for contingency tables seriation via Correspondence Analysis.</t>
        </is>
      </c>
      <c r="C7" s="6" t="inlineStr">
        <is>
          <t>CAseriation is an R package developed for the seriation of contingency tables using correspondence analysis. It aids archaeologists in arranging data into coherent sequences based on categorical attributes, thereby illuminating chronological or spatial trends within artifact distributions. Its seamless integration with other R tools and clear visualization outputs make it particularly useful for detailed archaeological analyses.</t>
        </is>
      </c>
    </row>
    <row r="8">
      <c r="A8" s="6" t="inlineStr">
        <is>
          <t>Binomial-Co-occurrence-Assessment</t>
        </is>
      </c>
      <c r="B8" s="6" t="inlineStr">
        <is>
          <t>R script that implements a means for statistically assessing the degree of co-occurrence between classes within a dataset.</t>
        </is>
      </c>
      <c r="C8" s="6" t="inlineStr">
        <is>
          <t>Binomial-Co-occurrence-Assessment is an R script that applies binomial probability models to statistically assess the co-occurrence of different classes in archaeological datasets. By determining whether observed co-occurrence patterns significantly deviate from random chance, this tool helps researchers identify meaningful associations and spatial or temporal clustering among artifacts.</t>
        </is>
      </c>
    </row>
    <row r="9">
      <c r="A9" s="6" t="inlineStr">
        <is>
          <t>Kmeans</t>
        </is>
      </c>
      <c r="B9" s="6" t="inlineStr">
        <is>
          <t>Script for conducting K-means cluster analysis using R. This script provides output designed to help the user select an appropriate cluster solution.</t>
        </is>
      </c>
      <c r="C9" s="6" t="inlineStr">
        <is>
          <t>Kmeans is an R script developed to conduct K-means clustering analysis on archaeological data. It provides diagnostic outputs and visual aids that help users determine the optimal number of clusters, thereby supporting the segmentation of artifacts or features into distinct groups. This approach is particularly useful for interpreting complex patterns in archaeological datasets and identifying underlying structures.</t>
        </is>
      </c>
    </row>
    <row r="10">
      <c r="A10" s="6" t="inlineStr">
        <is>
          <t>Brainerd-Robinson-Similarity-Coefficient-and-Sampling-Error-Assessment</t>
        </is>
      </c>
      <c r="B10" s="6" t="inlineStr">
        <is>
          <t>Script for calculating Brainerd-Robinson coefficients based on tabular count or percent data. This script also estimates the probability that a given difference between two samples is the product of sampling error.</t>
        </is>
      </c>
      <c r="C10" s="6" t="inlineStr">
        <is>
          <t>This R script computes the Brainerd-Robinson similarity coefficient to evaluate the similarity between archaeological assemblages based on count or percentage data. In addition, it incorporates an estimation of sampling error to assess whether observed differences between samples are statistically significant or likely due to random variation, offering critical insights into the reliability of comparative analyses.</t>
        </is>
      </c>
    </row>
    <row r="11">
      <c r="A11" s="6" t="inlineStr">
        <is>
          <t>Mean-Ceramic-Date-and-Error-Estimation</t>
        </is>
      </c>
      <c r="B11" s="6" t="inlineStr">
        <is>
          <t>Script for calculating mean ceramic dates based on tabular data. This script also estimates sampling error using a bootstrapping procedure.</t>
        </is>
      </c>
      <c r="C11" s="6" t="inlineStr">
        <is>
          <t>Mean-Ceramic-Date-and-Error-Estimation is an R script that calculates the average date of ceramic assemblages from tabular archaeological data. By employing a bootstrapping procedure, it not only computes the mean date but also provides robust error estimates, thus quantifying the uncertainty in chronological assessments. This tool is especially useful for ceramic analysts seeking more accurate dating techniques.</t>
        </is>
      </c>
    </row>
    <row r="12">
      <c r="A12" s="6" t="inlineStr">
        <is>
          <t>Bootstrap-Correspondence-Analysis</t>
        </is>
      </c>
      <c r="B12" s="6" t="inlineStr">
        <is>
          <t>R-script for conducting and evaluating bootstrapped correspondence analyses.</t>
        </is>
      </c>
      <c r="C12" s="6" t="inlineStr">
        <is>
          <t>Bootstrap-Correspondence-Analysis is an R script that enhances traditional correspondence analysis by incorporating bootstrapping methods. This approach generates confidence intervals for the analysis results, allowing archaeologists to evaluate the stability and reliability of identified patterns in categorical data. It is particularly beneficial for studies that require rigorous statistical validation of complex assemblage relationships.</t>
        </is>
      </c>
    </row>
    <row r="13">
      <c r="A13" s="6" t="n"/>
      <c r="B13" s="6" t="n"/>
      <c r="C13" s="6" t="n"/>
    </row>
    <row r="14">
      <c r="A14" s="18" t="n"/>
      <c r="B14" s="18" t="n"/>
      <c r="C14" s="18" t="n"/>
    </row>
    <row r="15">
      <c r="A15" s="18" t="n"/>
      <c r="B15" s="18" t="n"/>
      <c r="C15" s="18" t="n"/>
    </row>
    <row r="16">
      <c r="A16" s="18" t="n"/>
      <c r="B16" s="18" t="n"/>
      <c r="C16" s="18" t="n"/>
    </row>
    <row r="17">
      <c r="A17" s="18" t="n"/>
      <c r="B17" s="18" t="n"/>
      <c r="C17" s="18" t="n"/>
    </row>
    <row r="18">
      <c r="A18" s="18" t="n"/>
      <c r="B18" s="18" t="n"/>
      <c r="C18" s="18" t="n"/>
    </row>
    <row r="19">
      <c r="A19" s="18" t="n"/>
      <c r="B19" s="18" t="n"/>
      <c r="C19" s="18" t="n"/>
    </row>
    <row r="20">
      <c r="A20" s="18" t="n"/>
      <c r="B20" s="18" t="n"/>
      <c r="C20" s="18" t="n"/>
    </row>
    <row r="21">
      <c r="A21" s="18" t="n"/>
      <c r="B21" s="18" t="n"/>
      <c r="C21" s="18" t="n"/>
    </row>
    <row r="22">
      <c r="A22" s="18" t="n"/>
      <c r="B22" s="18" t="n"/>
      <c r="C22" s="18" t="n"/>
    </row>
    <row r="23">
      <c r="A23" s="18" t="n"/>
      <c r="B23" s="18" t="n"/>
      <c r="C23" s="18" t="n"/>
    </row>
    <row r="24">
      <c r="A24" s="18" t="n"/>
      <c r="B24" s="18" t="n"/>
      <c r="C24" s="18" t="n"/>
    </row>
    <row r="25">
      <c r="A25" s="18" t="n"/>
      <c r="B25" s="18" t="n"/>
      <c r="C25" s="18" t="n"/>
    </row>
    <row r="26">
      <c r="A26" s="18" t="n"/>
      <c r="B26" s="18" t="n"/>
      <c r="C26" s="18" t="n"/>
    </row>
    <row r="27">
      <c r="A27" s="18" t="n"/>
      <c r="B27" s="18" t="n"/>
      <c r="C27" s="18" t="n"/>
    </row>
    <row r="28">
      <c r="A28" s="18" t="n"/>
      <c r="B28" s="18" t="n"/>
      <c r="C28" s="18" t="n"/>
    </row>
    <row r="29">
      <c r="A29" s="18" t="n"/>
      <c r="B29" s="18" t="n"/>
      <c r="C29" s="18" t="n"/>
    </row>
    <row r="30">
      <c r="A30" s="18" t="n"/>
      <c r="B30" s="18" t="n"/>
      <c r="C30" s="18" t="n"/>
    </row>
    <row r="31">
      <c r="A31" s="18" t="n"/>
      <c r="B31" s="18" t="n"/>
      <c r="C31" s="18" t="n"/>
    </row>
    <row r="32">
      <c r="A32" s="18" t="n"/>
      <c r="B32" s="18" t="n"/>
      <c r="C32" s="18" t="n"/>
    </row>
    <row r="33">
      <c r="A33" s="18" t="n"/>
      <c r="B33" s="18" t="n"/>
      <c r="C33" s="18" t="n"/>
    </row>
    <row r="34">
      <c r="A34" s="18" t="n"/>
      <c r="B34" s="18" t="n"/>
      <c r="C34" s="18" t="n"/>
    </row>
    <row r="35">
      <c r="A35" s="18" t="n"/>
      <c r="B35" s="18" t="n"/>
      <c r="C35" s="18" t="n"/>
    </row>
    <row r="36">
      <c r="A36" s="18" t="n"/>
      <c r="B36" s="18" t="n"/>
      <c r="C36" s="18" t="n"/>
    </row>
    <row r="37">
      <c r="A37" s="18" t="n"/>
      <c r="B37" s="18" t="n"/>
      <c r="C37" s="18" t="n"/>
    </row>
    <row r="38">
      <c r="A38" s="18" t="n"/>
      <c r="B38" s="18" t="n"/>
      <c r="C38" s="18" t="n"/>
    </row>
    <row r="39">
      <c r="A39" s="18" t="n"/>
      <c r="B39" s="18" t="n"/>
      <c r="C39" s="18" t="n"/>
    </row>
    <row r="40">
      <c r="A40" s="18" t="n"/>
      <c r="B40" s="18" t="n"/>
      <c r="C40" s="18" t="n"/>
    </row>
    <row r="41">
      <c r="A41" s="18" t="n"/>
      <c r="B41" s="18" t="n"/>
      <c r="C41" s="18" t="n"/>
    </row>
    <row r="42">
      <c r="A42" s="18" t="n"/>
      <c r="B42" s="18" t="n"/>
      <c r="C42" s="18" t="n"/>
    </row>
    <row r="43">
      <c r="A43" s="18" t="n"/>
      <c r="B43" s="18" t="n"/>
      <c r="C43" s="18" t="n"/>
    </row>
    <row r="44">
      <c r="A44" s="18" t="n"/>
      <c r="B44" s="18" t="n"/>
      <c r="C44" s="18" t="n"/>
    </row>
    <row r="45">
      <c r="A45" s="18" t="n"/>
      <c r="B45" s="18" t="n"/>
      <c r="C45" s="18" t="n"/>
    </row>
    <row r="46">
      <c r="A46" s="18" t="n"/>
      <c r="B46" s="18" t="n"/>
      <c r="C46" s="18" t="n"/>
    </row>
    <row r="47">
      <c r="A47" s="18" t="n"/>
      <c r="B47" s="18" t="n"/>
      <c r="C47" s="18" t="n"/>
    </row>
    <row r="48">
      <c r="A48" s="18" t="n"/>
      <c r="B48" s="18" t="n"/>
      <c r="C48" s="18" t="n"/>
    </row>
    <row r="49">
      <c r="A49" s="18" t="n"/>
      <c r="B49" s="18" t="n"/>
      <c r="C49" s="18" t="n"/>
    </row>
    <row r="50">
      <c r="A50" s="18" t="n"/>
      <c r="B50" s="18" t="n"/>
      <c r="C50" s="18" t="n"/>
    </row>
    <row r="51">
      <c r="A51" s="18" t="n"/>
      <c r="B51" s="18" t="n"/>
      <c r="C51" s="18" t="n"/>
    </row>
    <row r="52">
      <c r="A52" s="18" t="n"/>
      <c r="B52" s="18" t="n"/>
      <c r="C52" s="18" t="n"/>
    </row>
    <row r="53">
      <c r="A53" s="18" t="n"/>
      <c r="B53" s="18" t="n"/>
      <c r="C53" s="18" t="n"/>
    </row>
    <row r="54">
      <c r="A54" s="18" t="n"/>
      <c r="B54" s="18" t="n"/>
      <c r="C54" s="18" t="n"/>
    </row>
    <row r="55">
      <c r="A55" s="18" t="n"/>
      <c r="B55" s="18" t="n"/>
      <c r="C55" s="18" t="n"/>
    </row>
    <row r="56">
      <c r="A56" s="18" t="n"/>
      <c r="B56" s="18" t="n"/>
      <c r="C56" s="18" t="n"/>
    </row>
    <row r="57">
      <c r="A57" s="18" t="n"/>
      <c r="B57" s="18" t="n"/>
      <c r="C57" s="18" t="n"/>
    </row>
    <row r="58">
      <c r="A58" s="18" t="n"/>
      <c r="B58" s="18" t="n"/>
      <c r="C58" s="18" t="n"/>
    </row>
    <row r="59">
      <c r="A59" s="18" t="n"/>
      <c r="B59" s="18" t="n"/>
      <c r="C59" s="18" t="n"/>
    </row>
    <row r="60">
      <c r="A60" s="18" t="n"/>
      <c r="B60" s="18" t="n"/>
      <c r="C60" s="18" t="n"/>
    </row>
    <row r="61">
      <c r="A61" s="18" t="n"/>
      <c r="B61" s="18" t="n"/>
      <c r="C61" s="18" t="n"/>
    </row>
    <row r="62">
      <c r="A62" s="18" t="n"/>
      <c r="B62" s="18" t="n"/>
      <c r="C62" s="18" t="n"/>
    </row>
    <row r="63">
      <c r="A63" s="18" t="n"/>
      <c r="B63" s="18" t="n"/>
      <c r="C63" s="18" t="n"/>
    </row>
    <row r="64">
      <c r="A64" s="18" t="n"/>
      <c r="B64" s="18" t="n"/>
      <c r="C64" s="18" t="n"/>
    </row>
    <row r="65">
      <c r="A65" s="18" t="n"/>
      <c r="B65" s="18" t="n"/>
      <c r="C65" s="18" t="n"/>
    </row>
    <row r="66">
      <c r="A66" s="18" t="n"/>
      <c r="B66" s="18" t="n"/>
      <c r="C66" s="18" t="n"/>
    </row>
    <row r="67">
      <c r="A67" s="18" t="n"/>
      <c r="B67" s="18" t="n"/>
      <c r="C67" s="18" t="n"/>
    </row>
    <row r="68">
      <c r="A68" s="18" t="n"/>
      <c r="B68" s="18" t="n"/>
      <c r="C68" s="18" t="n"/>
    </row>
    <row r="69">
      <c r="A69" s="18" t="n"/>
      <c r="B69" s="18" t="n"/>
      <c r="C69" s="18" t="n"/>
    </row>
    <row r="70">
      <c r="A70" s="18" t="n"/>
      <c r="B70" s="18" t="n"/>
      <c r="C70" s="18" t="n"/>
    </row>
    <row r="71">
      <c r="A71" s="18" t="n"/>
      <c r="B71" s="18" t="n"/>
      <c r="C71" s="18" t="n"/>
    </row>
    <row r="72">
      <c r="A72" s="18" t="n"/>
      <c r="B72" s="18" t="n"/>
      <c r="C72" s="18" t="n"/>
    </row>
    <row r="73">
      <c r="A73" s="18" t="n"/>
      <c r="B73" s="18" t="n"/>
      <c r="C73" s="18" t="n"/>
    </row>
    <row r="74">
      <c r="A74" s="18" t="n"/>
      <c r="B74" s="18" t="n"/>
      <c r="C74" s="18" t="n"/>
    </row>
    <row r="75">
      <c r="A75" s="18" t="n"/>
      <c r="B75" s="18" t="n"/>
      <c r="C75" s="18" t="n"/>
    </row>
    <row r="76">
      <c r="A76" s="18" t="n"/>
      <c r="B76" s="18" t="n"/>
      <c r="C76" s="18" t="n"/>
    </row>
    <row r="77">
      <c r="A77" s="18" t="n"/>
      <c r="B77" s="18" t="n"/>
      <c r="C77" s="18" t="n"/>
    </row>
    <row r="78">
      <c r="A78" s="18" t="n"/>
      <c r="B78" s="18" t="n"/>
      <c r="C78" s="18" t="n"/>
    </row>
    <row r="79">
      <c r="A79" s="18" t="n"/>
      <c r="B79" s="18" t="n"/>
      <c r="C79" s="18" t="n"/>
    </row>
    <row r="80">
      <c r="A80" s="18" t="n"/>
      <c r="B80" s="18" t="n"/>
      <c r="C80" s="18" t="n"/>
    </row>
    <row r="81">
      <c r="A81" s="18" t="n"/>
      <c r="B81" s="18" t="n"/>
      <c r="C81" s="18" t="n"/>
    </row>
    <row r="82">
      <c r="A82" s="18" t="n"/>
      <c r="B82" s="18" t="n"/>
      <c r="C82" s="18" t="n"/>
    </row>
    <row r="83">
      <c r="A83" s="18" t="n"/>
      <c r="B83" s="18" t="n"/>
      <c r="C83" s="18" t="n"/>
    </row>
    <row r="84">
      <c r="A84" s="18" t="n"/>
      <c r="B84" s="18" t="n"/>
      <c r="C84" s="18" t="n"/>
    </row>
    <row r="85">
      <c r="A85" s="18" t="n"/>
      <c r="B85" s="18" t="n"/>
      <c r="C85" s="18" t="n"/>
    </row>
    <row r="86">
      <c r="A86" s="18" t="n"/>
      <c r="B86" s="18" t="n"/>
      <c r="C86" s="18" t="n"/>
    </row>
    <row r="87">
      <c r="A87" s="18" t="n"/>
      <c r="B87" s="18" t="n"/>
      <c r="C87" s="18" t="n"/>
    </row>
    <row r="88">
      <c r="A88" s="18" t="n"/>
      <c r="B88" s="18" t="n"/>
      <c r="C88" s="18" t="n"/>
    </row>
    <row r="89">
      <c r="A89" s="18" t="n"/>
      <c r="B89" s="18" t="n"/>
      <c r="C89" s="18" t="n"/>
    </row>
    <row r="90">
      <c r="A90" s="18" t="n"/>
      <c r="B90" s="18" t="n"/>
      <c r="C90" s="18" t="n"/>
    </row>
    <row r="91">
      <c r="A91" s="18" t="n"/>
      <c r="B91" s="18" t="n"/>
      <c r="C91" s="18" t="n"/>
    </row>
    <row r="92">
      <c r="A92" s="18" t="n"/>
      <c r="B92" s="18" t="n"/>
      <c r="C92" s="18" t="n"/>
    </row>
    <row r="93">
      <c r="A93" s="18" t="n"/>
      <c r="B93" s="18" t="n"/>
      <c r="C93" s="18" t="n"/>
    </row>
    <row r="94">
      <c r="A94" s="18" t="n"/>
      <c r="B94" s="18" t="n"/>
      <c r="C94" s="18" t="n"/>
    </row>
    <row r="95">
      <c r="A95" s="18" t="n"/>
      <c r="B95" s="18" t="n"/>
      <c r="C95" s="18" t="n"/>
    </row>
    <row r="96">
      <c r="A96" s="18" t="n"/>
      <c r="B96" s="18" t="n"/>
      <c r="C96" s="18" t="n"/>
    </row>
    <row r="97">
      <c r="A97" s="18" t="n"/>
      <c r="B97" s="18" t="n"/>
      <c r="C97" s="18" t="n"/>
    </row>
    <row r="98">
      <c r="A98" s="18" t="n"/>
      <c r="B98" s="18" t="n"/>
      <c r="C98" s="18" t="n"/>
    </row>
    <row r="99">
      <c r="A99" s="18" t="n"/>
      <c r="B99" s="18" t="n"/>
      <c r="C99" s="18" t="n"/>
    </row>
    <row r="100">
      <c r="A100" s="18" t="n"/>
      <c r="B100" s="18" t="n"/>
      <c r="C100" s="18" t="n"/>
    </row>
    <row r="101">
      <c r="A101" s="18" t="n"/>
      <c r="B101" s="18" t="n"/>
      <c r="C101" s="18" t="n"/>
    </row>
    <row r="102">
      <c r="A102" s="18" t="n"/>
      <c r="B102" s="18" t="n"/>
      <c r="C102" s="18" t="n"/>
    </row>
    <row r="103">
      <c r="A103" s="18" t="n"/>
      <c r="B103" s="18" t="n"/>
      <c r="C103" s="18" t="n"/>
    </row>
    <row r="104">
      <c r="A104" s="18" t="n"/>
      <c r="B104" s="18" t="n"/>
      <c r="C104" s="18" t="n"/>
    </row>
    <row r="105">
      <c r="A105" s="18" t="n"/>
      <c r="B105" s="18" t="n"/>
      <c r="C105" s="18" t="n"/>
    </row>
    <row r="106">
      <c r="A106" s="18" t="n"/>
      <c r="B106" s="18" t="n"/>
      <c r="C106" s="18" t="n"/>
    </row>
    <row r="107">
      <c r="A107" s="18" t="n"/>
      <c r="B107" s="18" t="n"/>
      <c r="C107" s="18" t="n"/>
    </row>
    <row r="108">
      <c r="A108" s="18" t="n"/>
      <c r="B108" s="18" t="n"/>
      <c r="C108" s="18" t="n"/>
    </row>
    <row r="109">
      <c r="A109" s="18" t="n"/>
      <c r="B109" s="18" t="n"/>
      <c r="C109" s="18" t="n"/>
    </row>
    <row r="110">
      <c r="A110" s="18" t="n"/>
      <c r="B110" s="18" t="n"/>
      <c r="C110" s="18" t="n"/>
    </row>
    <row r="111">
      <c r="A111" s="18" t="n"/>
      <c r="B111" s="18" t="n"/>
      <c r="C111" s="18" t="n"/>
    </row>
    <row r="112">
      <c r="A112" s="18" t="n"/>
      <c r="B112" s="18" t="n"/>
      <c r="C112" s="18" t="n"/>
    </row>
    <row r="113">
      <c r="A113" s="18" t="n"/>
      <c r="B113" s="18" t="n"/>
      <c r="C113" s="18" t="n"/>
    </row>
    <row r="114">
      <c r="A114" s="18" t="n"/>
      <c r="B114" s="18" t="n"/>
      <c r="C114" s="18" t="n"/>
    </row>
    <row r="115">
      <c r="A115" s="18" t="n"/>
      <c r="B115" s="18" t="n"/>
      <c r="C115" s="18" t="n"/>
    </row>
    <row r="116">
      <c r="A116" s="18" t="n"/>
      <c r="B116" s="18" t="n"/>
      <c r="C116" s="18" t="n"/>
    </row>
    <row r="117">
      <c r="A117" s="18" t="n"/>
      <c r="B117" s="18" t="n"/>
      <c r="C117" s="18" t="n"/>
    </row>
    <row r="118">
      <c r="A118" s="18" t="n"/>
      <c r="B118" s="18" t="n"/>
      <c r="C118" s="18" t="n"/>
    </row>
    <row r="119">
      <c r="A119" s="18" t="n"/>
      <c r="B119" s="18" t="n"/>
      <c r="C119" s="18" t="n"/>
    </row>
    <row r="120">
      <c r="A120" s="18" t="n"/>
      <c r="B120" s="18" t="n"/>
      <c r="C120" s="18" t="n"/>
    </row>
    <row r="121">
      <c r="A121" s="18" t="n"/>
      <c r="B121" s="18" t="n"/>
      <c r="C121" s="18" t="n"/>
    </row>
    <row r="122">
      <c r="A122" s="18" t="n"/>
      <c r="B122" s="18" t="n"/>
      <c r="C122" s="18" t="n"/>
    </row>
    <row r="123">
      <c r="A123" s="18" t="n"/>
      <c r="B123" s="18" t="n"/>
      <c r="C123" s="18" t="n"/>
    </row>
    <row r="124">
      <c r="A124" s="18" t="n"/>
      <c r="B124" s="18" t="n"/>
      <c r="C124" s="18" t="n"/>
    </row>
    <row r="125">
      <c r="A125" s="18" t="n"/>
      <c r="B125" s="18" t="n"/>
      <c r="C125" s="18" t="n"/>
    </row>
    <row r="126">
      <c r="A126" s="18" t="n"/>
      <c r="B126" s="18" t="n"/>
      <c r="C126" s="18" t="n"/>
    </row>
    <row r="127">
      <c r="A127" s="18" t="n"/>
      <c r="B127" s="18" t="n"/>
      <c r="C127" s="18" t="n"/>
    </row>
    <row r="128">
      <c r="A128" s="18" t="n"/>
      <c r="B128" s="18" t="n"/>
      <c r="C128" s="18" t="n"/>
    </row>
    <row r="129">
      <c r="A129" s="18" t="n"/>
      <c r="B129" s="18" t="n"/>
      <c r="C129" s="18" t="n"/>
    </row>
    <row r="130">
      <c r="A130" s="18" t="n"/>
      <c r="B130" s="18" t="n"/>
      <c r="C130" s="18" t="n"/>
    </row>
    <row r="131">
      <c r="A131" s="18" t="n"/>
      <c r="B131" s="18" t="n"/>
      <c r="C131" s="18" t="n"/>
    </row>
    <row r="132">
      <c r="A132" s="18" t="n"/>
      <c r="B132" s="18" t="n"/>
      <c r="C132" s="18" t="n"/>
    </row>
    <row r="133">
      <c r="A133" s="18" t="n"/>
      <c r="B133" s="18" t="n"/>
      <c r="C133" s="18" t="n"/>
    </row>
    <row r="134">
      <c r="A134" s="18" t="n"/>
      <c r="B134" s="18" t="n"/>
      <c r="C134" s="18" t="n"/>
    </row>
    <row r="135">
      <c r="A135" s="18" t="n"/>
      <c r="B135" s="18" t="n"/>
      <c r="C135" s="18" t="n"/>
    </row>
    <row r="136">
      <c r="A136" s="18" t="n"/>
      <c r="B136" s="18" t="n"/>
      <c r="C136" s="18" t="n"/>
    </row>
    <row r="137">
      <c r="A137" s="18" t="n"/>
      <c r="B137" s="18" t="n"/>
      <c r="C137" s="18" t="n"/>
    </row>
    <row r="138">
      <c r="A138" s="18" t="n"/>
      <c r="B138" s="18" t="n"/>
      <c r="C138" s="18" t="n"/>
    </row>
    <row r="139">
      <c r="A139" s="18" t="n"/>
      <c r="B139" s="18" t="n"/>
      <c r="C139" s="18" t="n"/>
    </row>
    <row r="140">
      <c r="A140" s="18" t="n"/>
      <c r="B140" s="18" t="n"/>
      <c r="C140" s="18" t="n"/>
    </row>
    <row r="141">
      <c r="A141" s="18" t="n"/>
      <c r="B141" s="18" t="n"/>
      <c r="C141" s="18" t="n"/>
    </row>
    <row r="142">
      <c r="A142" s="18" t="n"/>
      <c r="B142" s="18" t="n"/>
      <c r="C142" s="18" t="n"/>
    </row>
    <row r="143">
      <c r="A143" s="18" t="n"/>
      <c r="B143" s="18" t="n"/>
      <c r="C143" s="18" t="n"/>
    </row>
    <row r="144">
      <c r="A144" s="18" t="n"/>
      <c r="B144" s="18" t="n"/>
      <c r="C144" s="18" t="n"/>
    </row>
    <row r="145">
      <c r="A145" s="18" t="n"/>
      <c r="B145" s="18" t="n"/>
      <c r="C145" s="18" t="n"/>
    </row>
    <row r="146">
      <c r="A146" s="18" t="n"/>
      <c r="B146" s="18" t="n"/>
      <c r="C146" s="18" t="n"/>
    </row>
    <row r="147">
      <c r="A147" s="18" t="n"/>
      <c r="B147" s="18" t="n"/>
      <c r="C147" s="18" t="n"/>
    </row>
    <row r="148">
      <c r="A148" s="18" t="n"/>
      <c r="B148" s="18" t="n"/>
      <c r="C148" s="18" t="n"/>
    </row>
    <row r="149">
      <c r="A149" s="18" t="n"/>
      <c r="B149" s="18" t="n"/>
      <c r="C149" s="18" t="n"/>
    </row>
    <row r="150">
      <c r="A150" s="18" t="n"/>
      <c r="B150" s="18" t="n"/>
      <c r="C150" s="18" t="n"/>
    </row>
    <row r="151">
      <c r="A151" s="18" t="n"/>
      <c r="B151" s="18" t="n"/>
      <c r="C151" s="18" t="n"/>
    </row>
    <row r="152">
      <c r="A152" s="18" t="n"/>
      <c r="B152" s="18" t="n"/>
      <c r="C152" s="18" t="n"/>
    </row>
    <row r="153">
      <c r="A153" s="18" t="n"/>
      <c r="B153" s="18" t="n"/>
      <c r="C153" s="18" t="n"/>
    </row>
    <row r="154">
      <c r="A154" s="18" t="n"/>
      <c r="B154" s="18" t="n"/>
      <c r="C154" s="18" t="n"/>
    </row>
    <row r="155">
      <c r="A155" s="18" t="n"/>
      <c r="B155" s="18" t="n"/>
      <c r="C155" s="18" t="n"/>
    </row>
    <row r="156">
      <c r="A156" s="18" t="n"/>
      <c r="B156" s="18" t="n"/>
      <c r="C156" s="18" t="n"/>
    </row>
    <row r="157">
      <c r="A157" s="18" t="n"/>
      <c r="B157" s="18" t="n"/>
      <c r="C157" s="18" t="n"/>
    </row>
    <row r="158">
      <c r="A158" s="18" t="n"/>
      <c r="B158" s="18" t="n"/>
      <c r="C158" s="18" t="n"/>
    </row>
    <row r="159">
      <c r="A159" s="18" t="n"/>
      <c r="B159" s="18" t="n"/>
      <c r="C159" s="18" t="n"/>
    </row>
    <row r="160">
      <c r="A160" s="18" t="n"/>
      <c r="B160" s="18" t="n"/>
      <c r="C160" s="18" t="n"/>
    </row>
    <row r="161">
      <c r="A161" s="18" t="n"/>
      <c r="B161" s="18" t="n"/>
      <c r="C161" s="18" t="n"/>
    </row>
    <row r="162">
      <c r="A162" s="18" t="n"/>
      <c r="B162" s="18" t="n"/>
      <c r="C162" s="18" t="n"/>
    </row>
    <row r="163">
      <c r="A163" s="18" t="n"/>
      <c r="B163" s="18" t="n"/>
      <c r="C163" s="18" t="n"/>
    </row>
    <row r="164">
      <c r="A164" s="18" t="n"/>
      <c r="B164" s="18" t="n"/>
      <c r="C164" s="18" t="n"/>
    </row>
    <row r="165">
      <c r="A165" s="18" t="n"/>
      <c r="B165" s="18" t="n"/>
      <c r="C165" s="18" t="n"/>
    </row>
    <row r="166">
      <c r="A166" s="18" t="n"/>
      <c r="B166" s="18" t="n"/>
      <c r="C166" s="18" t="n"/>
    </row>
    <row r="167">
      <c r="A167" s="18" t="n"/>
      <c r="B167" s="18" t="n"/>
      <c r="C167" s="18" t="n"/>
    </row>
    <row r="168">
      <c r="A168" s="18" t="n"/>
      <c r="B168" s="18" t="n"/>
      <c r="C168" s="18" t="n"/>
    </row>
    <row r="169">
      <c r="A169" s="18" t="n"/>
      <c r="B169" s="18" t="n"/>
      <c r="C169" s="18" t="n"/>
    </row>
    <row r="170">
      <c r="A170" s="18" t="n"/>
      <c r="B170" s="18" t="n"/>
      <c r="C170" s="18" t="n"/>
    </row>
    <row r="171">
      <c r="A171" s="18" t="n"/>
      <c r="B171" s="18" t="n"/>
      <c r="C171" s="18" t="n"/>
    </row>
    <row r="172">
      <c r="A172" s="18" t="n"/>
      <c r="B172" s="18" t="n"/>
      <c r="C172" s="18" t="n"/>
    </row>
    <row r="173">
      <c r="A173" s="18" t="n"/>
      <c r="B173" s="18" t="n"/>
      <c r="C173" s="18" t="n"/>
    </row>
    <row r="174">
      <c r="A174" s="18" t="n"/>
      <c r="B174" s="18" t="n"/>
      <c r="C174" s="18" t="n"/>
    </row>
    <row r="175">
      <c r="A175" s="18" t="n"/>
      <c r="B175" s="18" t="n"/>
      <c r="C175" s="18" t="n"/>
    </row>
    <row r="176">
      <c r="A176" s="18" t="n"/>
      <c r="B176" s="18" t="n"/>
      <c r="C176" s="18" t="n"/>
    </row>
    <row r="177">
      <c r="A177" s="18" t="n"/>
      <c r="B177" s="18" t="n"/>
      <c r="C177" s="18" t="n"/>
    </row>
    <row r="178">
      <c r="A178" s="18" t="n"/>
      <c r="B178" s="18" t="n"/>
      <c r="C178" s="18" t="n"/>
    </row>
    <row r="179">
      <c r="A179" s="18" t="n"/>
      <c r="B179" s="18" t="n"/>
      <c r="C179" s="18" t="n"/>
    </row>
    <row r="180">
      <c r="A180" s="18" t="n"/>
      <c r="B180" s="18" t="n"/>
      <c r="C180" s="18" t="n"/>
    </row>
    <row r="181">
      <c r="A181" s="18" t="n"/>
      <c r="B181" s="18" t="n"/>
      <c r="C181" s="18" t="n"/>
    </row>
    <row r="182">
      <c r="A182" s="18" t="n"/>
      <c r="B182" s="18" t="n"/>
      <c r="C182" s="18" t="n"/>
    </row>
    <row r="183">
      <c r="A183" s="18" t="n"/>
      <c r="B183" s="18" t="n"/>
      <c r="C183" s="18" t="n"/>
    </row>
    <row r="184">
      <c r="A184" s="18" t="n"/>
      <c r="B184" s="18" t="n"/>
      <c r="C184" s="18" t="n"/>
    </row>
    <row r="185">
      <c r="A185" s="18" t="n"/>
      <c r="B185" s="18" t="n"/>
      <c r="C185" s="18" t="n"/>
    </row>
    <row r="186">
      <c r="A186" s="18" t="n"/>
      <c r="B186" s="18" t="n"/>
      <c r="C186" s="18" t="n"/>
    </row>
    <row r="187">
      <c r="A187" s="18" t="n"/>
      <c r="B187" s="18" t="n"/>
      <c r="C187" s="18" t="n"/>
    </row>
    <row r="188">
      <c r="A188" s="18" t="n"/>
      <c r="B188" s="18" t="n"/>
      <c r="C188" s="18" t="n"/>
    </row>
    <row r="189">
      <c r="A189" s="18" t="n"/>
      <c r="B189" s="18" t="n"/>
      <c r="C189" s="18" t="n"/>
    </row>
    <row r="190">
      <c r="A190" s="18" t="n"/>
      <c r="B190" s="18" t="n"/>
      <c r="C190" s="18" t="n"/>
    </row>
    <row r="191">
      <c r="A191" s="18" t="n"/>
      <c r="B191" s="18" t="n"/>
      <c r="C191" s="18" t="n"/>
    </row>
    <row r="192">
      <c r="A192" s="18" t="n"/>
      <c r="B192" s="18" t="n"/>
      <c r="C192" s="18" t="n"/>
    </row>
    <row r="193">
      <c r="A193" s="18" t="n"/>
      <c r="B193" s="18" t="n"/>
      <c r="C193" s="18" t="n"/>
    </row>
    <row r="194">
      <c r="A194" s="18" t="n"/>
      <c r="B194" s="18" t="n"/>
      <c r="C194" s="18" t="n"/>
    </row>
    <row r="195">
      <c r="A195" s="18" t="n"/>
      <c r="B195" s="18" t="n"/>
      <c r="C195" s="18" t="n"/>
    </row>
    <row r="196">
      <c r="A196" s="18" t="n"/>
      <c r="B196" s="18" t="n"/>
      <c r="C196" s="18" t="n"/>
    </row>
    <row r="197">
      <c r="A197" s="18" t="n"/>
      <c r="B197" s="18" t="n"/>
      <c r="C197" s="18" t="n"/>
    </row>
    <row r="198">
      <c r="A198" s="18" t="n"/>
      <c r="B198" s="18" t="n"/>
      <c r="C198" s="18" t="n"/>
    </row>
    <row r="199">
      <c r="A199" s="18" t="n"/>
      <c r="B199" s="18" t="n"/>
      <c r="C199" s="18" t="n"/>
    </row>
    <row r="200">
      <c r="A200" s="18" t="n"/>
      <c r="B200" s="18" t="n"/>
      <c r="C200" s="18" t="n"/>
    </row>
    <row r="201">
      <c r="A201" s="18" t="n"/>
      <c r="B201" s="18" t="n"/>
      <c r="C201" s="18" t="n"/>
    </row>
    <row r="202">
      <c r="A202" s="18" t="n"/>
      <c r="B202" s="18" t="n"/>
      <c r="C202" s="18" t="n"/>
    </row>
    <row r="203">
      <c r="A203" s="18" t="n"/>
      <c r="B203" s="18" t="n"/>
      <c r="C203" s="18" t="n"/>
    </row>
    <row r="204">
      <c r="A204" s="18" t="n"/>
      <c r="B204" s="18" t="n"/>
      <c r="C204" s="18" t="n"/>
    </row>
    <row r="205">
      <c r="A205" s="18" t="n"/>
      <c r="B205" s="18" t="n"/>
      <c r="C205" s="18" t="n"/>
    </row>
    <row r="206">
      <c r="A206" s="18" t="n"/>
      <c r="B206" s="18" t="n"/>
      <c r="C206" s="18" t="n"/>
    </row>
    <row r="207">
      <c r="A207" s="18" t="n"/>
      <c r="B207" s="18" t="n"/>
      <c r="C207" s="18" t="n"/>
    </row>
    <row r="208">
      <c r="A208" s="18" t="n"/>
      <c r="B208" s="18" t="n"/>
      <c r="C208" s="18" t="n"/>
    </row>
    <row r="209">
      <c r="A209" s="18" t="n"/>
      <c r="B209" s="18" t="n"/>
      <c r="C209" s="18" t="n"/>
    </row>
    <row r="210">
      <c r="A210" s="18" t="n"/>
      <c r="B210" s="18" t="n"/>
      <c r="C210" s="18" t="n"/>
    </row>
    <row r="211">
      <c r="A211" s="18" t="n"/>
      <c r="B211" s="18" t="n"/>
      <c r="C211" s="18" t="n"/>
    </row>
    <row r="212">
      <c r="A212" s="18" t="n"/>
      <c r="B212" s="18" t="n"/>
      <c r="C212" s="18" t="n"/>
    </row>
    <row r="213">
      <c r="A213" s="18" t="n"/>
      <c r="B213" s="18" t="n"/>
      <c r="C213" s="18" t="n"/>
    </row>
    <row r="214">
      <c r="A214" s="18" t="n"/>
      <c r="B214" s="18" t="n"/>
      <c r="C214" s="18" t="n"/>
    </row>
    <row r="215">
      <c r="A215" s="18" t="n"/>
      <c r="B215" s="18" t="n"/>
      <c r="C215" s="18" t="n"/>
    </row>
    <row r="216">
      <c r="A216" s="18" t="n"/>
      <c r="B216" s="18" t="n"/>
      <c r="C216" s="18" t="n"/>
    </row>
    <row r="217">
      <c r="A217" s="18" t="n"/>
      <c r="B217" s="18" t="n"/>
      <c r="C217" s="18" t="n"/>
    </row>
    <row r="218">
      <c r="A218" s="18" t="n"/>
      <c r="B218" s="18" t="n"/>
      <c r="C218" s="18" t="n"/>
    </row>
    <row r="219">
      <c r="A219" s="18" t="n"/>
      <c r="B219" s="18" t="n"/>
      <c r="C219" s="18" t="n"/>
    </row>
    <row r="220">
      <c r="A220" s="18" t="n"/>
      <c r="B220" s="18" t="n"/>
      <c r="C220" s="18" t="n"/>
    </row>
    <row r="221">
      <c r="A221" s="18" t="n"/>
      <c r="B221" s="18" t="n"/>
      <c r="C221" s="18" t="n"/>
    </row>
    <row r="222">
      <c r="A222" s="18" t="n"/>
      <c r="B222" s="18" t="n"/>
      <c r="C222" s="18" t="n"/>
    </row>
    <row r="223">
      <c r="A223" s="18" t="n"/>
      <c r="B223" s="18" t="n"/>
      <c r="C223" s="18" t="n"/>
    </row>
    <row r="224">
      <c r="A224" s="18" t="n"/>
      <c r="B224" s="18" t="n"/>
      <c r="C224" s="18" t="n"/>
    </row>
    <row r="225">
      <c r="A225" s="18" t="n"/>
      <c r="B225" s="18" t="n"/>
      <c r="C225" s="18" t="n"/>
    </row>
    <row r="226">
      <c r="A226" s="18" t="n"/>
      <c r="B226" s="18" t="n"/>
      <c r="C226" s="18" t="n"/>
    </row>
    <row r="227">
      <c r="A227" s="18" t="n"/>
      <c r="B227" s="18" t="n"/>
      <c r="C227" s="18" t="n"/>
    </row>
    <row r="228">
      <c r="A228" s="18" t="n"/>
      <c r="B228" s="18" t="n"/>
      <c r="C228" s="18" t="n"/>
    </row>
    <row r="229">
      <c r="A229" s="18" t="n"/>
      <c r="B229" s="18" t="n"/>
      <c r="C229" s="18" t="n"/>
    </row>
    <row r="230">
      <c r="A230" s="18" t="n"/>
      <c r="B230" s="18" t="n"/>
      <c r="C230" s="18" t="n"/>
    </row>
    <row r="231">
      <c r="A231" s="18" t="n"/>
      <c r="B231" s="18" t="n"/>
      <c r="C231" s="18" t="n"/>
    </row>
    <row r="232">
      <c r="A232" s="18" t="n"/>
      <c r="B232" s="18" t="n"/>
      <c r="C232" s="18" t="n"/>
    </row>
    <row r="233">
      <c r="A233" s="18" t="n"/>
      <c r="B233" s="18" t="n"/>
      <c r="C233" s="18" t="n"/>
    </row>
    <row r="234">
      <c r="A234" s="18" t="n"/>
      <c r="B234" s="18" t="n"/>
      <c r="C234" s="18" t="n"/>
    </row>
    <row r="235">
      <c r="A235" s="18" t="n"/>
      <c r="B235" s="18" t="n"/>
      <c r="C235" s="18" t="n"/>
    </row>
    <row r="236">
      <c r="A236" s="18" t="n"/>
      <c r="B236" s="18" t="n"/>
      <c r="C236" s="18" t="n"/>
    </row>
    <row r="237">
      <c r="A237" s="18" t="n"/>
      <c r="B237" s="18" t="n"/>
      <c r="C237" s="18" t="n"/>
    </row>
    <row r="238">
      <c r="A238" s="18" t="n"/>
      <c r="B238" s="18" t="n"/>
      <c r="C238" s="18" t="n"/>
    </row>
    <row r="239">
      <c r="A239" s="18" t="n"/>
      <c r="B239" s="18" t="n"/>
      <c r="C239" s="18" t="n"/>
    </row>
    <row r="240">
      <c r="A240" s="18" t="n"/>
      <c r="B240" s="18" t="n"/>
      <c r="C240" s="18" t="n"/>
    </row>
    <row r="241">
      <c r="A241" s="18" t="n"/>
      <c r="B241" s="18" t="n"/>
      <c r="C241" s="18" t="n"/>
    </row>
    <row r="242">
      <c r="A242" s="18" t="n"/>
      <c r="B242" s="18" t="n"/>
      <c r="C242" s="18" t="n"/>
    </row>
    <row r="243">
      <c r="A243" s="18" t="n"/>
      <c r="B243" s="18" t="n"/>
      <c r="C243" s="18" t="n"/>
    </row>
    <row r="244">
      <c r="A244" s="18" t="n"/>
      <c r="B244" s="18" t="n"/>
      <c r="C244" s="18" t="n"/>
    </row>
    <row r="245">
      <c r="A245" s="18" t="n"/>
      <c r="B245" s="18" t="n"/>
      <c r="C245" s="18" t="n"/>
    </row>
    <row r="246">
      <c r="A246" s="18" t="n"/>
      <c r="B246" s="18" t="n"/>
      <c r="C246" s="18" t="n"/>
    </row>
    <row r="247">
      <c r="A247" s="18" t="n"/>
      <c r="B247" s="18" t="n"/>
      <c r="C247" s="18" t="n"/>
    </row>
    <row r="248">
      <c r="A248" s="18" t="n"/>
      <c r="B248" s="18" t="n"/>
      <c r="C248" s="18" t="n"/>
    </row>
    <row r="249">
      <c r="A249" s="18" t="n"/>
      <c r="B249" s="18" t="n"/>
      <c r="C249" s="18" t="n"/>
    </row>
    <row r="250">
      <c r="A250" s="18" t="n"/>
      <c r="B250" s="18" t="n"/>
      <c r="C250" s="18" t="n"/>
    </row>
    <row r="251">
      <c r="A251" s="18" t="n"/>
      <c r="B251" s="18" t="n"/>
      <c r="C251" s="18" t="n"/>
    </row>
    <row r="252">
      <c r="A252" s="18" t="n"/>
      <c r="B252" s="18" t="n"/>
      <c r="C252" s="18" t="n"/>
    </row>
    <row r="253">
      <c r="A253" s="18" t="n"/>
      <c r="B253" s="18" t="n"/>
      <c r="C253" s="18" t="n"/>
    </row>
    <row r="254">
      <c r="A254" s="18" t="n"/>
      <c r="B254" s="18" t="n"/>
      <c r="C254" s="18" t="n"/>
    </row>
    <row r="255">
      <c r="A255" s="18" t="n"/>
      <c r="B255" s="18" t="n"/>
      <c r="C255" s="18" t="n"/>
    </row>
    <row r="256">
      <c r="A256" s="18" t="n"/>
      <c r="B256" s="18" t="n"/>
      <c r="C256" s="18" t="n"/>
    </row>
    <row r="257">
      <c r="A257" s="18" t="n"/>
      <c r="B257" s="18" t="n"/>
      <c r="C257" s="18" t="n"/>
    </row>
    <row r="258">
      <c r="A258" s="18" t="n"/>
      <c r="B258" s="18" t="n"/>
      <c r="C258" s="18" t="n"/>
    </row>
    <row r="259">
      <c r="A259" s="18" t="n"/>
      <c r="B259" s="18" t="n"/>
      <c r="C259" s="18" t="n"/>
    </row>
    <row r="260">
      <c r="A260" s="18" t="n"/>
      <c r="B260" s="18" t="n"/>
      <c r="C260" s="18" t="n"/>
    </row>
    <row r="261">
      <c r="A261" s="18" t="n"/>
      <c r="B261" s="18" t="n"/>
      <c r="C261" s="18" t="n"/>
    </row>
    <row r="262">
      <c r="A262" s="18" t="n"/>
      <c r="B262" s="18" t="n"/>
      <c r="C262" s="18" t="n"/>
    </row>
    <row r="263">
      <c r="A263" s="18" t="n"/>
      <c r="B263" s="18" t="n"/>
      <c r="C263" s="18" t="n"/>
    </row>
    <row r="264">
      <c r="A264" s="18" t="n"/>
      <c r="B264" s="18" t="n"/>
      <c r="C264" s="18" t="n"/>
    </row>
    <row r="265">
      <c r="A265" s="18" t="n"/>
      <c r="B265" s="18" t="n"/>
      <c r="C265" s="18" t="n"/>
    </row>
    <row r="266">
      <c r="A266" s="18" t="n"/>
      <c r="B266" s="18" t="n"/>
      <c r="C266" s="18" t="n"/>
    </row>
    <row r="267">
      <c r="A267" s="18" t="n"/>
      <c r="B267" s="18" t="n"/>
      <c r="C267" s="18" t="n"/>
    </row>
    <row r="268">
      <c r="A268" s="18" t="n"/>
      <c r="B268" s="18" t="n"/>
      <c r="C268" s="18" t="n"/>
    </row>
    <row r="269">
      <c r="A269" s="18" t="n"/>
      <c r="B269" s="18" t="n"/>
      <c r="C269" s="18" t="n"/>
    </row>
    <row r="270">
      <c r="A270" s="18" t="n"/>
      <c r="B270" s="18" t="n"/>
      <c r="C270" s="18" t="n"/>
    </row>
    <row r="271">
      <c r="A271" s="18" t="n"/>
      <c r="B271" s="18" t="n"/>
      <c r="C271" s="18" t="n"/>
    </row>
    <row r="272">
      <c r="A272" s="18" t="n"/>
      <c r="B272" s="18" t="n"/>
      <c r="C272" s="18" t="n"/>
    </row>
    <row r="273">
      <c r="A273" s="18" t="n"/>
      <c r="B273" s="18" t="n"/>
      <c r="C273" s="18" t="n"/>
    </row>
    <row r="274">
      <c r="A274" s="18" t="n"/>
      <c r="B274" s="18" t="n"/>
      <c r="C274" s="18" t="n"/>
    </row>
    <row r="275">
      <c r="A275" s="18" t="n"/>
      <c r="B275" s="18" t="n"/>
      <c r="C275" s="18" t="n"/>
    </row>
    <row r="276">
      <c r="A276" s="18" t="n"/>
      <c r="B276" s="18" t="n"/>
      <c r="C276" s="18" t="n"/>
    </row>
    <row r="277">
      <c r="A277" s="18" t="n"/>
      <c r="B277" s="18" t="n"/>
      <c r="C277" s="18" t="n"/>
    </row>
    <row r="278">
      <c r="A278" s="18" t="n"/>
      <c r="B278" s="18" t="n"/>
      <c r="C278" s="18" t="n"/>
    </row>
    <row r="279">
      <c r="A279" s="18" t="n"/>
      <c r="B279" s="18" t="n"/>
      <c r="C279" s="18" t="n"/>
    </row>
    <row r="280">
      <c r="A280" s="18" t="n"/>
      <c r="B280" s="18" t="n"/>
      <c r="C280" s="18" t="n"/>
    </row>
    <row r="281">
      <c r="A281" s="18" t="n"/>
      <c r="B281" s="18" t="n"/>
      <c r="C281" s="18" t="n"/>
    </row>
    <row r="282">
      <c r="A282" s="18" t="n"/>
      <c r="B282" s="18" t="n"/>
      <c r="C282" s="18" t="n"/>
    </row>
    <row r="283">
      <c r="A283" s="18" t="n"/>
      <c r="B283" s="18" t="n"/>
      <c r="C283" s="18" t="n"/>
    </row>
    <row r="284">
      <c r="A284" s="18" t="n"/>
      <c r="B284" s="18" t="n"/>
      <c r="C284" s="18" t="n"/>
    </row>
    <row r="285">
      <c r="A285" s="18" t="n"/>
      <c r="B285" s="18" t="n"/>
      <c r="C285" s="18" t="n"/>
    </row>
    <row r="286">
      <c r="A286" s="18" t="n"/>
      <c r="B286" s="18" t="n"/>
      <c r="C286" s="18" t="n"/>
    </row>
    <row r="287">
      <c r="A287" s="18" t="n"/>
      <c r="B287" s="18" t="n"/>
      <c r="C287" s="18" t="n"/>
    </row>
    <row r="288">
      <c r="A288" s="18" t="n"/>
      <c r="B288" s="18" t="n"/>
      <c r="C288" s="18" t="n"/>
    </row>
    <row r="289">
      <c r="A289" s="18" t="n"/>
      <c r="B289" s="18" t="n"/>
      <c r="C289" s="18" t="n"/>
    </row>
    <row r="290">
      <c r="A290" s="18" t="n"/>
      <c r="B290" s="18" t="n"/>
      <c r="C290" s="18" t="n"/>
    </row>
    <row r="291">
      <c r="A291" s="18" t="n"/>
      <c r="B291" s="18" t="n"/>
      <c r="C291" s="18" t="n"/>
    </row>
    <row r="292">
      <c r="A292" s="18" t="n"/>
      <c r="B292" s="18" t="n"/>
      <c r="C292" s="18" t="n"/>
    </row>
    <row r="293">
      <c r="A293" s="18" t="n"/>
      <c r="B293" s="18" t="n"/>
      <c r="C293" s="18" t="n"/>
    </row>
    <row r="294">
      <c r="A294" s="18" t="n"/>
      <c r="B294" s="18" t="n"/>
      <c r="C294" s="18" t="n"/>
    </row>
    <row r="295">
      <c r="A295" s="18" t="n"/>
      <c r="B295" s="18" t="n"/>
      <c r="C295" s="18" t="n"/>
    </row>
    <row r="296">
      <c r="A296" s="18" t="n"/>
      <c r="B296" s="18" t="n"/>
      <c r="C296" s="18" t="n"/>
    </row>
    <row r="297">
      <c r="A297" s="18" t="n"/>
      <c r="B297" s="18" t="n"/>
      <c r="C297" s="18" t="n"/>
    </row>
    <row r="298">
      <c r="A298" s="18" t="n"/>
      <c r="B298" s="18" t="n"/>
      <c r="C298" s="18" t="n"/>
    </row>
    <row r="299">
      <c r="A299" s="18" t="n"/>
      <c r="B299" s="18" t="n"/>
      <c r="C299" s="18" t="n"/>
    </row>
    <row r="300">
      <c r="A300" s="18" t="n"/>
      <c r="B300" s="18" t="n"/>
      <c r="C300" s="18" t="n"/>
    </row>
    <row r="301">
      <c r="A301" s="18" t="n"/>
      <c r="B301" s="18" t="n"/>
      <c r="C301" s="18" t="n"/>
    </row>
    <row r="302">
      <c r="A302" s="18" t="n"/>
      <c r="B302" s="18" t="n"/>
      <c r="C302" s="18" t="n"/>
    </row>
    <row r="303">
      <c r="A303" s="18" t="n"/>
      <c r="B303" s="18" t="n"/>
      <c r="C303" s="18" t="n"/>
    </row>
    <row r="304">
      <c r="A304" s="18" t="n"/>
      <c r="B304" s="18" t="n"/>
      <c r="C304" s="18" t="n"/>
    </row>
    <row r="305">
      <c r="A305" s="18" t="n"/>
      <c r="B305" s="18" t="n"/>
      <c r="C305" s="18" t="n"/>
    </row>
    <row r="306">
      <c r="A306" s="18" t="n"/>
      <c r="B306" s="18" t="n"/>
      <c r="C306" s="18" t="n"/>
    </row>
    <row r="307">
      <c r="A307" s="18" t="n"/>
      <c r="B307" s="18" t="n"/>
      <c r="C307" s="18" t="n"/>
    </row>
    <row r="308">
      <c r="A308" s="18" t="n"/>
      <c r="B308" s="18" t="n"/>
      <c r="C308" s="18" t="n"/>
    </row>
    <row r="309">
      <c r="A309" s="18" t="n"/>
      <c r="B309" s="18" t="n"/>
      <c r="C309" s="18" t="n"/>
    </row>
    <row r="310">
      <c r="A310" s="18" t="n"/>
      <c r="B310" s="18" t="n"/>
      <c r="C310" s="18" t="n"/>
    </row>
    <row r="311">
      <c r="A311" s="18" t="n"/>
      <c r="B311" s="18" t="n"/>
      <c r="C311" s="18" t="n"/>
    </row>
    <row r="312">
      <c r="A312" s="18" t="n"/>
      <c r="B312" s="18" t="n"/>
      <c r="C312" s="18" t="n"/>
    </row>
    <row r="313">
      <c r="A313" s="18" t="n"/>
      <c r="B313" s="18" t="n"/>
      <c r="C313" s="18" t="n"/>
    </row>
    <row r="314">
      <c r="A314" s="18" t="n"/>
      <c r="B314" s="18" t="n"/>
      <c r="C314" s="18" t="n"/>
    </row>
    <row r="315">
      <c r="A315" s="18" t="n"/>
      <c r="B315" s="18" t="n"/>
      <c r="C315" s="18" t="n"/>
    </row>
    <row r="316">
      <c r="A316" s="18" t="n"/>
      <c r="B316" s="18" t="n"/>
      <c r="C316" s="18" t="n"/>
    </row>
    <row r="317">
      <c r="A317" s="18" t="n"/>
      <c r="B317" s="18" t="n"/>
      <c r="C317" s="18" t="n"/>
    </row>
    <row r="318">
      <c r="A318" s="18" t="n"/>
      <c r="B318" s="18" t="n"/>
      <c r="C318" s="18" t="n"/>
    </row>
    <row r="319">
      <c r="A319" s="18" t="n"/>
      <c r="B319" s="18" t="n"/>
      <c r="C319" s="18" t="n"/>
    </row>
    <row r="320">
      <c r="A320" s="18" t="n"/>
      <c r="B320" s="18" t="n"/>
      <c r="C320" s="18" t="n"/>
    </row>
    <row r="321">
      <c r="A321" s="18" t="n"/>
      <c r="B321" s="18" t="n"/>
      <c r="C321" s="18" t="n"/>
    </row>
    <row r="322">
      <c r="A322" s="18" t="n"/>
      <c r="B322" s="18" t="n"/>
      <c r="C322" s="18" t="n"/>
    </row>
    <row r="323">
      <c r="A323" s="18" t="n"/>
      <c r="B323" s="18" t="n"/>
      <c r="C323" s="18" t="n"/>
    </row>
    <row r="324">
      <c r="A324" s="18" t="n"/>
      <c r="B324" s="18" t="n"/>
      <c r="C324" s="18" t="n"/>
    </row>
    <row r="325">
      <c r="A325" s="18" t="n"/>
      <c r="B325" s="18" t="n"/>
      <c r="C325" s="18" t="n"/>
    </row>
    <row r="326">
      <c r="A326" s="18" t="n"/>
      <c r="B326" s="18" t="n"/>
      <c r="C326" s="18" t="n"/>
    </row>
    <row r="327">
      <c r="A327" s="18" t="n"/>
      <c r="B327" s="18" t="n"/>
      <c r="C327" s="18" t="n"/>
    </row>
    <row r="328">
      <c r="A328" s="18" t="n"/>
      <c r="B328" s="18" t="n"/>
      <c r="C328" s="18" t="n"/>
    </row>
    <row r="329">
      <c r="A329" s="18" t="n"/>
      <c r="B329" s="18" t="n"/>
      <c r="C329" s="18" t="n"/>
    </row>
    <row r="330">
      <c r="A330" s="18" t="n"/>
      <c r="B330" s="18" t="n"/>
      <c r="C330" s="18" t="n"/>
    </row>
    <row r="331">
      <c r="A331" s="18" t="n"/>
      <c r="B331" s="18" t="n"/>
      <c r="C331" s="18" t="n"/>
    </row>
    <row r="332">
      <c r="A332" s="18" t="n"/>
      <c r="B332" s="18" t="n"/>
      <c r="C332" s="18" t="n"/>
    </row>
    <row r="333">
      <c r="A333" s="18" t="n"/>
      <c r="B333" s="18" t="n"/>
      <c r="C333" s="18" t="n"/>
    </row>
    <row r="334">
      <c r="A334" s="18" t="n"/>
      <c r="B334" s="18" t="n"/>
      <c r="C334" s="18" t="n"/>
    </row>
    <row r="335">
      <c r="A335" s="18" t="n"/>
      <c r="B335" s="18" t="n"/>
      <c r="C335" s="18" t="n"/>
    </row>
    <row r="336">
      <c r="A336" s="18" t="n"/>
      <c r="B336" s="18" t="n"/>
      <c r="C336" s="18" t="n"/>
    </row>
    <row r="337">
      <c r="A337" s="18" t="n"/>
      <c r="B337" s="18" t="n"/>
      <c r="C337" s="18" t="n"/>
    </row>
    <row r="338">
      <c r="A338" s="18" t="n"/>
      <c r="B338" s="18" t="n"/>
      <c r="C338" s="18" t="n"/>
    </row>
    <row r="339">
      <c r="A339" s="18" t="n"/>
      <c r="B339" s="18" t="n"/>
      <c r="C339" s="18" t="n"/>
    </row>
    <row r="340">
      <c r="A340" s="18" t="n"/>
      <c r="B340" s="18" t="n"/>
      <c r="C340" s="18" t="n"/>
    </row>
    <row r="341">
      <c r="A341" s="18" t="n"/>
      <c r="B341" s="18" t="n"/>
      <c r="C341" s="18" t="n"/>
    </row>
    <row r="342">
      <c r="A342" s="18" t="n"/>
      <c r="B342" s="18" t="n"/>
      <c r="C342" s="18" t="n"/>
    </row>
    <row r="343">
      <c r="A343" s="18" t="n"/>
      <c r="B343" s="18" t="n"/>
      <c r="C343" s="18" t="n"/>
    </row>
    <row r="344">
      <c r="A344" s="18" t="n"/>
      <c r="B344" s="18" t="n"/>
      <c r="C344" s="18" t="n"/>
    </row>
    <row r="345">
      <c r="A345" s="18" t="n"/>
      <c r="B345" s="18" t="n"/>
      <c r="C345" s="18" t="n"/>
    </row>
    <row r="346">
      <c r="A346" s="18" t="n"/>
      <c r="B346" s="18" t="n"/>
      <c r="C346" s="18" t="n"/>
    </row>
    <row r="347">
      <c r="A347" s="18" t="n"/>
      <c r="B347" s="18" t="n"/>
      <c r="C347" s="18" t="n"/>
    </row>
    <row r="348">
      <c r="A348" s="18" t="n"/>
      <c r="B348" s="18" t="n"/>
      <c r="C348" s="18" t="n"/>
    </row>
    <row r="349">
      <c r="A349" s="18" t="n"/>
      <c r="B349" s="18" t="n"/>
      <c r="C349" s="18" t="n"/>
    </row>
    <row r="350">
      <c r="A350" s="18" t="n"/>
      <c r="B350" s="18" t="n"/>
      <c r="C350" s="18" t="n"/>
    </row>
    <row r="351">
      <c r="A351" s="18" t="n"/>
      <c r="B351" s="18" t="n"/>
      <c r="C351" s="18" t="n"/>
    </row>
    <row r="352">
      <c r="A352" s="18" t="n"/>
      <c r="B352" s="18" t="n"/>
      <c r="C352" s="18" t="n"/>
    </row>
    <row r="353">
      <c r="A353" s="18" t="n"/>
      <c r="B353" s="18" t="n"/>
      <c r="C353" s="18" t="n"/>
    </row>
    <row r="354">
      <c r="A354" s="18" t="n"/>
      <c r="B354" s="18" t="n"/>
      <c r="C354" s="18" t="n"/>
    </row>
    <row r="355">
      <c r="A355" s="18" t="n"/>
      <c r="B355" s="18" t="n"/>
      <c r="C355" s="18" t="n"/>
    </row>
    <row r="356">
      <c r="A356" s="18" t="n"/>
      <c r="B356" s="18" t="n"/>
      <c r="C356" s="18" t="n"/>
    </row>
    <row r="357">
      <c r="A357" s="18" t="n"/>
      <c r="B357" s="18" t="n"/>
      <c r="C357" s="18" t="n"/>
    </row>
    <row r="358">
      <c r="A358" s="18" t="n"/>
      <c r="B358" s="18" t="n"/>
      <c r="C358" s="18" t="n"/>
    </row>
    <row r="359">
      <c r="A359" s="18" t="n"/>
      <c r="B359" s="18" t="n"/>
      <c r="C359" s="18" t="n"/>
    </row>
    <row r="360">
      <c r="A360" s="18" t="n"/>
      <c r="B360" s="18" t="n"/>
      <c r="C360" s="18" t="n"/>
    </row>
    <row r="361">
      <c r="A361" s="18" t="n"/>
      <c r="B361" s="18" t="n"/>
      <c r="C361" s="18" t="n"/>
    </row>
    <row r="362">
      <c r="A362" s="18" t="n"/>
      <c r="B362" s="18" t="n"/>
      <c r="C362" s="18" t="n"/>
    </row>
    <row r="363">
      <c r="A363" s="18" t="n"/>
      <c r="B363" s="18" t="n"/>
      <c r="C363" s="18" t="n"/>
    </row>
    <row r="364">
      <c r="A364" s="18" t="n"/>
      <c r="B364" s="18" t="n"/>
      <c r="C364" s="18" t="n"/>
    </row>
    <row r="365">
      <c r="A365" s="18" t="n"/>
      <c r="B365" s="18" t="n"/>
      <c r="C365" s="18" t="n"/>
    </row>
    <row r="366">
      <c r="A366" s="18" t="n"/>
      <c r="B366" s="18" t="n"/>
      <c r="C366" s="18" t="n"/>
    </row>
    <row r="367">
      <c r="A367" s="18" t="n"/>
      <c r="B367" s="18" t="n"/>
      <c r="C367" s="18" t="n"/>
    </row>
    <row r="368">
      <c r="A368" s="18" t="n"/>
      <c r="B368" s="18" t="n"/>
      <c r="C368" s="18" t="n"/>
    </row>
    <row r="369">
      <c r="A369" s="18" t="n"/>
      <c r="B369" s="18" t="n"/>
      <c r="C369" s="18" t="n"/>
    </row>
    <row r="370">
      <c r="A370" s="18" t="n"/>
      <c r="B370" s="18" t="n"/>
      <c r="C370" s="18" t="n"/>
    </row>
    <row r="371">
      <c r="A371" s="18" t="n"/>
      <c r="B371" s="18" t="n"/>
      <c r="C371" s="18" t="n"/>
    </row>
    <row r="372">
      <c r="A372" s="18" t="n"/>
      <c r="B372" s="18" t="n"/>
      <c r="C372" s="18" t="n"/>
    </row>
    <row r="373">
      <c r="A373" s="18" t="n"/>
      <c r="B373" s="18" t="n"/>
      <c r="C373" s="18" t="n"/>
    </row>
    <row r="374">
      <c r="A374" s="18" t="n"/>
      <c r="B374" s="18" t="n"/>
      <c r="C374" s="18" t="n"/>
    </row>
    <row r="375">
      <c r="A375" s="18" t="n"/>
      <c r="B375" s="18" t="n"/>
      <c r="C375" s="18" t="n"/>
    </row>
    <row r="376">
      <c r="A376" s="18" t="n"/>
      <c r="B376" s="18" t="n"/>
      <c r="C376" s="18" t="n"/>
    </row>
    <row r="377">
      <c r="A377" s="18" t="n"/>
      <c r="B377" s="18" t="n"/>
      <c r="C377" s="18" t="n"/>
    </row>
    <row r="378">
      <c r="A378" s="18" t="n"/>
      <c r="B378" s="18" t="n"/>
      <c r="C378" s="18" t="n"/>
    </row>
    <row r="379">
      <c r="A379" s="18" t="n"/>
      <c r="B379" s="18" t="n"/>
      <c r="C379" s="18" t="n"/>
    </row>
    <row r="380">
      <c r="A380" s="18" t="n"/>
      <c r="B380" s="18" t="n"/>
      <c r="C380" s="18" t="n"/>
    </row>
    <row r="381">
      <c r="A381" s="18" t="n"/>
      <c r="B381" s="18" t="n"/>
      <c r="C381" s="18" t="n"/>
    </row>
    <row r="382">
      <c r="A382" s="18" t="n"/>
      <c r="B382" s="18" t="n"/>
      <c r="C382" s="18" t="n"/>
    </row>
    <row r="383">
      <c r="A383" s="18" t="n"/>
      <c r="B383" s="18" t="n"/>
      <c r="C383" s="18" t="n"/>
    </row>
    <row r="384">
      <c r="A384" s="18" t="n"/>
      <c r="B384" s="18" t="n"/>
      <c r="C384" s="18" t="n"/>
    </row>
    <row r="385">
      <c r="A385" s="18" t="n"/>
      <c r="B385" s="18" t="n"/>
      <c r="C385" s="18" t="n"/>
    </row>
    <row r="386">
      <c r="A386" s="18" t="n"/>
      <c r="B386" s="18" t="n"/>
      <c r="C386" s="18" t="n"/>
    </row>
    <row r="387">
      <c r="A387" s="18" t="n"/>
      <c r="B387" s="18" t="n"/>
      <c r="C387" s="18" t="n"/>
    </row>
    <row r="388">
      <c r="A388" s="18" t="n"/>
      <c r="B388" s="18" t="n"/>
      <c r="C388" s="18" t="n"/>
    </row>
    <row r="389">
      <c r="A389" s="18" t="n"/>
      <c r="B389" s="18" t="n"/>
      <c r="C389" s="18" t="n"/>
    </row>
    <row r="390">
      <c r="A390" s="18" t="n"/>
      <c r="B390" s="18" t="n"/>
      <c r="C390" s="18" t="n"/>
    </row>
    <row r="391">
      <c r="A391" s="18" t="n"/>
      <c r="B391" s="18" t="n"/>
      <c r="C391" s="18" t="n"/>
    </row>
    <row r="392">
      <c r="A392" s="18" t="n"/>
      <c r="B392" s="18" t="n"/>
      <c r="C392" s="18" t="n"/>
    </row>
    <row r="393">
      <c r="A393" s="18" t="n"/>
      <c r="B393" s="18" t="n"/>
      <c r="C393" s="18" t="n"/>
    </row>
    <row r="394">
      <c r="A394" s="18" t="n"/>
      <c r="B394" s="18" t="n"/>
      <c r="C394" s="18" t="n"/>
    </row>
    <row r="395">
      <c r="A395" s="18" t="n"/>
      <c r="B395" s="18" t="n"/>
      <c r="C395" s="18" t="n"/>
    </row>
    <row r="396">
      <c r="A396" s="18" t="n"/>
      <c r="B396" s="18" t="n"/>
      <c r="C396" s="18" t="n"/>
    </row>
    <row r="397">
      <c r="A397" s="18" t="n"/>
      <c r="B397" s="18" t="n"/>
      <c r="C397" s="18" t="n"/>
    </row>
    <row r="398">
      <c r="A398" s="18" t="n"/>
      <c r="B398" s="18" t="n"/>
      <c r="C398" s="18" t="n"/>
    </row>
    <row r="399">
      <c r="A399" s="18" t="n"/>
      <c r="B399" s="18" t="n"/>
      <c r="C399" s="18" t="n"/>
    </row>
    <row r="400">
      <c r="A400" s="18" t="n"/>
      <c r="B400" s="18" t="n"/>
      <c r="C400" s="18" t="n"/>
    </row>
    <row r="401">
      <c r="A401" s="18" t="n"/>
      <c r="B401" s="18" t="n"/>
      <c r="C401" s="18" t="n"/>
    </row>
    <row r="402">
      <c r="A402" s="18" t="n"/>
      <c r="B402" s="18" t="n"/>
      <c r="C402" s="18" t="n"/>
    </row>
    <row r="403">
      <c r="A403" s="18" t="n"/>
      <c r="B403" s="18" t="n"/>
      <c r="C403" s="18" t="n"/>
    </row>
    <row r="404">
      <c r="A404" s="18" t="n"/>
      <c r="B404" s="18" t="n"/>
      <c r="C404" s="18" t="n"/>
    </row>
    <row r="405">
      <c r="A405" s="18" t="n"/>
      <c r="B405" s="18" t="n"/>
      <c r="C405" s="18" t="n"/>
    </row>
    <row r="406">
      <c r="A406" s="18" t="n"/>
      <c r="B406" s="18" t="n"/>
      <c r="C406" s="18" t="n"/>
    </row>
    <row r="407">
      <c r="A407" s="18" t="n"/>
      <c r="B407" s="18" t="n"/>
      <c r="C407" s="18" t="n"/>
    </row>
    <row r="408">
      <c r="A408" s="18" t="n"/>
      <c r="B408" s="18" t="n"/>
      <c r="C408" s="18" t="n"/>
    </row>
    <row r="409">
      <c r="A409" s="18" t="n"/>
      <c r="B409" s="18" t="n"/>
      <c r="C409" s="18" t="n"/>
    </row>
    <row r="410">
      <c r="A410" s="18" t="n"/>
      <c r="B410" s="18" t="n"/>
      <c r="C410" s="18" t="n"/>
    </row>
    <row r="411">
      <c r="A411" s="18" t="n"/>
      <c r="B411" s="18" t="n"/>
      <c r="C411" s="18" t="n"/>
    </row>
    <row r="412">
      <c r="A412" s="18" t="n"/>
      <c r="B412" s="18" t="n"/>
      <c r="C412" s="18" t="n"/>
    </row>
    <row r="413">
      <c r="A413" s="18" t="n"/>
      <c r="B413" s="18" t="n"/>
      <c r="C413" s="18" t="n"/>
    </row>
    <row r="414">
      <c r="A414" s="18" t="n"/>
      <c r="B414" s="18" t="n"/>
      <c r="C414" s="18" t="n"/>
    </row>
    <row r="415">
      <c r="A415" s="18" t="n"/>
      <c r="B415" s="18" t="n"/>
      <c r="C415" s="18" t="n"/>
    </row>
    <row r="416">
      <c r="A416" s="18" t="n"/>
      <c r="B416" s="18" t="n"/>
      <c r="C416" s="18" t="n"/>
    </row>
    <row r="417">
      <c r="A417" s="18" t="n"/>
      <c r="B417" s="18" t="n"/>
      <c r="C417" s="18" t="n"/>
    </row>
    <row r="418">
      <c r="A418" s="18" t="n"/>
      <c r="B418" s="18" t="n"/>
      <c r="C418" s="18" t="n"/>
    </row>
    <row r="419">
      <c r="A419" s="18" t="n"/>
      <c r="B419" s="18" t="n"/>
      <c r="C419" s="18" t="n"/>
    </row>
    <row r="420">
      <c r="A420" s="18" t="n"/>
      <c r="B420" s="18" t="n"/>
      <c r="C420" s="18" t="n"/>
    </row>
    <row r="421">
      <c r="A421" s="18" t="n"/>
      <c r="B421" s="18" t="n"/>
      <c r="C421" s="18" t="n"/>
    </row>
    <row r="422">
      <c r="A422" s="18" t="n"/>
      <c r="B422" s="18" t="n"/>
      <c r="C422" s="18" t="n"/>
    </row>
    <row r="423">
      <c r="A423" s="18" t="n"/>
      <c r="B423" s="18" t="n"/>
      <c r="C423" s="18" t="n"/>
    </row>
    <row r="424">
      <c r="A424" s="18" t="n"/>
      <c r="B424" s="18" t="n"/>
      <c r="C424" s="18" t="n"/>
    </row>
    <row r="425">
      <c r="A425" s="18" t="n"/>
      <c r="B425" s="18" t="n"/>
      <c r="C425" s="18" t="n"/>
    </row>
    <row r="426">
      <c r="A426" s="18" t="n"/>
      <c r="B426" s="18" t="n"/>
      <c r="C426" s="18" t="n"/>
    </row>
    <row r="427">
      <c r="A427" s="18" t="n"/>
      <c r="B427" s="18" t="n"/>
      <c r="C427" s="18" t="n"/>
    </row>
    <row r="428">
      <c r="A428" s="18" t="n"/>
      <c r="B428" s="18" t="n"/>
      <c r="C428" s="18" t="n"/>
    </row>
    <row r="429">
      <c r="A429" s="18" t="n"/>
      <c r="B429" s="18" t="n"/>
      <c r="C429" s="18" t="n"/>
    </row>
    <row r="430">
      <c r="A430" s="18" t="n"/>
      <c r="B430" s="18" t="n"/>
      <c r="C430" s="18" t="n"/>
    </row>
    <row r="431">
      <c r="A431" s="18" t="n"/>
      <c r="B431" s="18" t="n"/>
      <c r="C431" s="18" t="n"/>
    </row>
    <row r="432">
      <c r="A432" s="18" t="n"/>
      <c r="B432" s="18" t="n"/>
      <c r="C432" s="18" t="n"/>
    </row>
    <row r="433">
      <c r="A433" s="18" t="n"/>
      <c r="B433" s="18" t="n"/>
      <c r="C433" s="18" t="n"/>
    </row>
    <row r="434">
      <c r="A434" s="18" t="n"/>
      <c r="B434" s="18" t="n"/>
      <c r="C434" s="18" t="n"/>
    </row>
    <row r="435">
      <c r="A435" s="18" t="n"/>
      <c r="B435" s="18" t="n"/>
      <c r="C435" s="18" t="n"/>
    </row>
    <row r="436">
      <c r="A436" s="18" t="n"/>
      <c r="B436" s="18" t="n"/>
      <c r="C436" s="18" t="n"/>
    </row>
    <row r="437">
      <c r="A437" s="18" t="n"/>
      <c r="B437" s="18" t="n"/>
      <c r="C437" s="18" t="n"/>
    </row>
    <row r="438">
      <c r="A438" s="18" t="n"/>
      <c r="B438" s="18" t="n"/>
      <c r="C438" s="18" t="n"/>
    </row>
    <row r="439">
      <c r="A439" s="18" t="n"/>
      <c r="B439" s="18" t="n"/>
      <c r="C439" s="18" t="n"/>
    </row>
    <row r="440">
      <c r="A440" s="18" t="n"/>
      <c r="B440" s="18" t="n"/>
      <c r="C440" s="18" t="n"/>
    </row>
    <row r="441">
      <c r="A441" s="18" t="n"/>
      <c r="B441" s="18" t="n"/>
      <c r="C441" s="18" t="n"/>
    </row>
    <row r="442">
      <c r="A442" s="18" t="n"/>
      <c r="B442" s="18" t="n"/>
      <c r="C442" s="18" t="n"/>
    </row>
    <row r="443">
      <c r="A443" s="18" t="n"/>
      <c r="B443" s="18" t="n"/>
      <c r="C443" s="18" t="n"/>
    </row>
    <row r="444">
      <c r="A444" s="18" t="n"/>
      <c r="B444" s="18" t="n"/>
      <c r="C444" s="18" t="n"/>
    </row>
    <row r="445">
      <c r="A445" s="18" t="n"/>
      <c r="B445" s="18" t="n"/>
      <c r="C445" s="18" t="n"/>
    </row>
    <row r="446">
      <c r="A446" s="18" t="n"/>
      <c r="B446" s="18" t="n"/>
      <c r="C446" s="18" t="n"/>
    </row>
    <row r="447">
      <c r="A447" s="18" t="n"/>
      <c r="B447" s="18" t="n"/>
      <c r="C447" s="18" t="n"/>
    </row>
    <row r="448">
      <c r="A448" s="18" t="n"/>
      <c r="B448" s="18" t="n"/>
      <c r="C448" s="18" t="n"/>
    </row>
    <row r="449">
      <c r="A449" s="18" t="n"/>
      <c r="B449" s="18" t="n"/>
      <c r="C449" s="18" t="n"/>
    </row>
    <row r="450">
      <c r="A450" s="18" t="n"/>
      <c r="B450" s="18" t="n"/>
      <c r="C450" s="18" t="n"/>
    </row>
    <row r="451">
      <c r="A451" s="18" t="n"/>
      <c r="B451" s="18" t="n"/>
      <c r="C451" s="18" t="n"/>
    </row>
    <row r="452">
      <c r="A452" s="18" t="n"/>
      <c r="B452" s="18" t="n"/>
      <c r="C452" s="18" t="n"/>
    </row>
    <row r="453">
      <c r="A453" s="18" t="n"/>
      <c r="B453" s="18" t="n"/>
      <c r="C453" s="18" t="n"/>
    </row>
    <row r="454">
      <c r="A454" s="18" t="n"/>
      <c r="B454" s="18" t="n"/>
      <c r="C454" s="18" t="n"/>
    </row>
    <row r="455">
      <c r="A455" s="18" t="n"/>
      <c r="B455" s="18" t="n"/>
      <c r="C455" s="18" t="n"/>
    </row>
    <row r="456">
      <c r="A456" s="18" t="n"/>
      <c r="B456" s="18" t="n"/>
      <c r="C456" s="18" t="n"/>
    </row>
    <row r="457">
      <c r="A457" s="18" t="n"/>
      <c r="B457" s="18" t="n"/>
      <c r="C457" s="18" t="n"/>
    </row>
    <row r="458">
      <c r="A458" s="18" t="n"/>
      <c r="B458" s="18" t="n"/>
      <c r="C458" s="18" t="n"/>
    </row>
    <row r="459">
      <c r="A459" s="18" t="n"/>
      <c r="B459" s="18" t="n"/>
      <c r="C459" s="18" t="n"/>
    </row>
    <row r="460">
      <c r="A460" s="18" t="n"/>
      <c r="B460" s="18" t="n"/>
      <c r="C460" s="18" t="n"/>
    </row>
    <row r="461">
      <c r="A461" s="18" t="n"/>
      <c r="B461" s="18" t="n"/>
      <c r="C461" s="18" t="n"/>
    </row>
    <row r="462">
      <c r="A462" s="18" t="n"/>
      <c r="B462" s="18" t="n"/>
      <c r="C462" s="18" t="n"/>
    </row>
    <row r="463">
      <c r="A463" s="18" t="n"/>
      <c r="B463" s="18" t="n"/>
      <c r="C463" s="18" t="n"/>
    </row>
    <row r="464">
      <c r="A464" s="18" t="n"/>
      <c r="B464" s="18" t="n"/>
      <c r="C464" s="18" t="n"/>
    </row>
    <row r="465">
      <c r="A465" s="18" t="n"/>
      <c r="B465" s="18" t="n"/>
      <c r="C465" s="18" t="n"/>
    </row>
    <row r="466">
      <c r="A466" s="18" t="n"/>
      <c r="B466" s="18" t="n"/>
      <c r="C466" s="18" t="n"/>
    </row>
    <row r="467">
      <c r="A467" s="18" t="n"/>
      <c r="B467" s="18" t="n"/>
      <c r="C467" s="18" t="n"/>
    </row>
    <row r="468">
      <c r="A468" s="18" t="n"/>
      <c r="B468" s="18" t="n"/>
      <c r="C468" s="18" t="n"/>
    </row>
    <row r="469">
      <c r="A469" s="18" t="n"/>
      <c r="B469" s="18" t="n"/>
      <c r="C469" s="18" t="n"/>
    </row>
    <row r="470">
      <c r="A470" s="18" t="n"/>
      <c r="B470" s="18" t="n"/>
      <c r="C470" s="18" t="n"/>
    </row>
    <row r="471">
      <c r="A471" s="18" t="n"/>
      <c r="B471" s="18" t="n"/>
      <c r="C471" s="18" t="n"/>
    </row>
    <row r="472">
      <c r="A472" s="18" t="n"/>
      <c r="B472" s="18" t="n"/>
      <c r="C472" s="18" t="n"/>
    </row>
    <row r="473">
      <c r="A473" s="18" t="n"/>
      <c r="B473" s="18" t="n"/>
      <c r="C473" s="18" t="n"/>
    </row>
    <row r="474">
      <c r="A474" s="18" t="n"/>
      <c r="B474" s="18" t="n"/>
      <c r="C474" s="18" t="n"/>
    </row>
    <row r="475">
      <c r="A475" s="18" t="n"/>
      <c r="B475" s="18" t="n"/>
      <c r="C475" s="18" t="n"/>
    </row>
    <row r="476">
      <c r="A476" s="18" t="n"/>
      <c r="B476" s="18" t="n"/>
      <c r="C476" s="18" t="n"/>
    </row>
    <row r="477">
      <c r="A477" s="18" t="n"/>
      <c r="B477" s="18" t="n"/>
      <c r="C477" s="18" t="n"/>
    </row>
    <row r="478">
      <c r="A478" s="18" t="n"/>
      <c r="B478" s="18" t="n"/>
      <c r="C478" s="18" t="n"/>
    </row>
    <row r="479">
      <c r="A479" s="18" t="n"/>
      <c r="B479" s="18" t="n"/>
      <c r="C479" s="18" t="n"/>
    </row>
    <row r="480">
      <c r="A480" s="18" t="n"/>
      <c r="B480" s="18" t="n"/>
      <c r="C480" s="18" t="n"/>
    </row>
    <row r="481">
      <c r="A481" s="18" t="n"/>
      <c r="B481" s="18" t="n"/>
      <c r="C481" s="18" t="n"/>
    </row>
    <row r="482">
      <c r="A482" s="18" t="n"/>
      <c r="B482" s="18" t="n"/>
      <c r="C482" s="18" t="n"/>
    </row>
    <row r="483">
      <c r="A483" s="18" t="n"/>
      <c r="B483" s="18" t="n"/>
      <c r="C483" s="18" t="n"/>
    </row>
    <row r="484">
      <c r="A484" s="18" t="n"/>
      <c r="B484" s="18" t="n"/>
      <c r="C484" s="18" t="n"/>
    </row>
    <row r="485">
      <c r="A485" s="18" t="n"/>
      <c r="B485" s="18" t="n"/>
      <c r="C485" s="18" t="n"/>
    </row>
    <row r="486">
      <c r="A486" s="18" t="n"/>
      <c r="B486" s="18" t="n"/>
      <c r="C486" s="18" t="n"/>
    </row>
    <row r="487">
      <c r="A487" s="18" t="n"/>
      <c r="B487" s="18" t="n"/>
      <c r="C487" s="18" t="n"/>
    </row>
    <row r="488">
      <c r="A488" s="18" t="n"/>
      <c r="B488" s="18" t="n"/>
      <c r="C488" s="18" t="n"/>
    </row>
    <row r="489">
      <c r="A489" s="18" t="n"/>
      <c r="B489" s="18" t="n"/>
      <c r="C489" s="18" t="n"/>
    </row>
    <row r="490">
      <c r="A490" s="18" t="n"/>
      <c r="B490" s="18" t="n"/>
      <c r="C490" s="18" t="n"/>
    </row>
    <row r="491">
      <c r="A491" s="18" t="n"/>
      <c r="B491" s="18" t="n"/>
      <c r="C491" s="18" t="n"/>
    </row>
    <row r="492">
      <c r="A492" s="18" t="n"/>
      <c r="B492" s="18" t="n"/>
      <c r="C492" s="18" t="n"/>
    </row>
    <row r="493">
      <c r="A493" s="18" t="n"/>
      <c r="B493" s="18" t="n"/>
      <c r="C493" s="18" t="n"/>
    </row>
    <row r="494">
      <c r="A494" s="18" t="n"/>
      <c r="B494" s="18" t="n"/>
      <c r="C494" s="18" t="n"/>
    </row>
    <row r="495">
      <c r="A495" s="18" t="n"/>
      <c r="B495" s="18" t="n"/>
      <c r="C495" s="18" t="n"/>
    </row>
    <row r="496">
      <c r="A496" s="18" t="n"/>
      <c r="B496" s="18" t="n"/>
      <c r="C496" s="18" t="n"/>
    </row>
    <row r="497">
      <c r="A497" s="18" t="n"/>
      <c r="B497" s="18" t="n"/>
      <c r="C497" s="18" t="n"/>
    </row>
    <row r="498">
      <c r="A498" s="18" t="n"/>
      <c r="B498" s="18" t="n"/>
      <c r="C498" s="18" t="n"/>
    </row>
    <row r="499">
      <c r="A499" s="18" t="n"/>
      <c r="B499" s="18" t="n"/>
      <c r="C499" s="18" t="n"/>
    </row>
    <row r="500">
      <c r="A500" s="18" t="n"/>
      <c r="B500" s="18" t="n"/>
      <c r="C500" s="18" t="n"/>
    </row>
    <row r="501">
      <c r="A501" s="18" t="n"/>
      <c r="B501" s="18" t="n"/>
      <c r="C501" s="18" t="n"/>
    </row>
    <row r="502">
      <c r="A502" s="18" t="n"/>
      <c r="B502" s="18" t="n"/>
      <c r="C502" s="18" t="n"/>
    </row>
    <row r="503">
      <c r="A503" s="18" t="n"/>
      <c r="B503" s="18" t="n"/>
      <c r="C503" s="18" t="n"/>
    </row>
    <row r="504">
      <c r="A504" s="18" t="n"/>
      <c r="B504" s="18" t="n"/>
      <c r="C504" s="18" t="n"/>
    </row>
    <row r="505">
      <c r="A505" s="18" t="n"/>
      <c r="B505" s="18" t="n"/>
      <c r="C505" s="18" t="n"/>
    </row>
    <row r="506">
      <c r="A506" s="18" t="n"/>
      <c r="B506" s="18" t="n"/>
      <c r="C506" s="18" t="n"/>
    </row>
    <row r="507">
      <c r="A507" s="18" t="n"/>
      <c r="B507" s="18" t="n"/>
      <c r="C507" s="18" t="n"/>
    </row>
    <row r="508">
      <c r="A508" s="18" t="n"/>
      <c r="B508" s="18" t="n"/>
      <c r="C508" s="18" t="n"/>
    </row>
    <row r="509">
      <c r="A509" s="18" t="n"/>
      <c r="B509" s="18" t="n"/>
      <c r="C509" s="18" t="n"/>
    </row>
    <row r="510">
      <c r="A510" s="18" t="n"/>
      <c r="B510" s="18" t="n"/>
      <c r="C510" s="18" t="n"/>
    </row>
    <row r="511">
      <c r="A511" s="18" t="n"/>
      <c r="B511" s="18" t="n"/>
      <c r="C511" s="18" t="n"/>
    </row>
    <row r="512">
      <c r="A512" s="18" t="n"/>
      <c r="B512" s="18" t="n"/>
      <c r="C512" s="18" t="n"/>
    </row>
    <row r="513">
      <c r="A513" s="18" t="n"/>
      <c r="B513" s="18" t="n"/>
      <c r="C513" s="18" t="n"/>
    </row>
    <row r="514">
      <c r="A514" s="18" t="n"/>
      <c r="B514" s="18" t="n"/>
      <c r="C514" s="18" t="n"/>
    </row>
    <row r="515">
      <c r="A515" s="18" t="n"/>
      <c r="B515" s="18" t="n"/>
      <c r="C515" s="18" t="n"/>
    </row>
    <row r="516">
      <c r="A516" s="18" t="n"/>
      <c r="B516" s="18" t="n"/>
      <c r="C516" s="18" t="n"/>
    </row>
    <row r="517">
      <c r="A517" s="18" t="n"/>
      <c r="B517" s="18" t="n"/>
      <c r="C517" s="18" t="n"/>
    </row>
    <row r="518">
      <c r="A518" s="18" t="n"/>
      <c r="B518" s="18" t="n"/>
      <c r="C518" s="18" t="n"/>
    </row>
    <row r="519">
      <c r="A519" s="18" t="n"/>
      <c r="B519" s="18" t="n"/>
      <c r="C519" s="18" t="n"/>
    </row>
    <row r="520">
      <c r="A520" s="18" t="n"/>
      <c r="B520" s="18" t="n"/>
      <c r="C520" s="18" t="n"/>
    </row>
    <row r="521">
      <c r="A521" s="18" t="n"/>
      <c r="B521" s="18" t="n"/>
      <c r="C521" s="18" t="n"/>
    </row>
    <row r="522">
      <c r="A522" s="18" t="n"/>
      <c r="B522" s="18" t="n"/>
      <c r="C522" s="18" t="n"/>
    </row>
    <row r="523">
      <c r="A523" s="18" t="n"/>
      <c r="B523" s="18" t="n"/>
      <c r="C523" s="18" t="n"/>
    </row>
    <row r="524">
      <c r="A524" s="18" t="n"/>
      <c r="B524" s="18" t="n"/>
      <c r="C524" s="18" t="n"/>
    </row>
    <row r="525">
      <c r="A525" s="18" t="n"/>
      <c r="B525" s="18" t="n"/>
      <c r="C525" s="18" t="n"/>
    </row>
    <row r="526">
      <c r="A526" s="18" t="n"/>
      <c r="B526" s="18" t="n"/>
      <c r="C526" s="18" t="n"/>
    </row>
    <row r="527">
      <c r="A527" s="18" t="n"/>
      <c r="B527" s="18" t="n"/>
      <c r="C527" s="18" t="n"/>
    </row>
    <row r="528">
      <c r="A528" s="18" t="n"/>
      <c r="B528" s="18" t="n"/>
      <c r="C528" s="18" t="n"/>
    </row>
    <row r="529">
      <c r="A529" s="18" t="n"/>
      <c r="B529" s="18" t="n"/>
      <c r="C529" s="18" t="n"/>
    </row>
    <row r="530">
      <c r="A530" s="18" t="n"/>
      <c r="B530" s="18" t="n"/>
      <c r="C530" s="18" t="n"/>
    </row>
    <row r="531">
      <c r="A531" s="18" t="n"/>
      <c r="B531" s="18" t="n"/>
      <c r="C531" s="18" t="n"/>
    </row>
    <row r="532">
      <c r="A532" s="18" t="n"/>
      <c r="B532" s="18" t="n"/>
      <c r="C532" s="18" t="n"/>
    </row>
    <row r="533">
      <c r="A533" s="18" t="n"/>
      <c r="B533" s="18" t="n"/>
      <c r="C533" s="18" t="n"/>
    </row>
    <row r="534">
      <c r="A534" s="18" t="n"/>
      <c r="B534" s="18" t="n"/>
      <c r="C534" s="18" t="n"/>
    </row>
    <row r="535">
      <c r="A535" s="18" t="n"/>
      <c r="B535" s="18" t="n"/>
      <c r="C535" s="18" t="n"/>
    </row>
    <row r="536">
      <c r="A536" s="18" t="n"/>
      <c r="B536" s="18" t="n"/>
      <c r="C536" s="18" t="n"/>
    </row>
    <row r="537">
      <c r="A537" s="18" t="n"/>
      <c r="B537" s="18" t="n"/>
      <c r="C537" s="18" t="n"/>
    </row>
    <row r="538">
      <c r="A538" s="18" t="n"/>
      <c r="B538" s="18" t="n"/>
      <c r="C538" s="18" t="n"/>
    </row>
    <row r="539">
      <c r="A539" s="18" t="n"/>
      <c r="B539" s="18" t="n"/>
      <c r="C539" s="18" t="n"/>
    </row>
    <row r="540">
      <c r="A540" s="18" t="n"/>
      <c r="B540" s="18" t="n"/>
      <c r="C540" s="18" t="n"/>
    </row>
    <row r="541">
      <c r="A541" s="18" t="n"/>
      <c r="B541" s="18" t="n"/>
      <c r="C541" s="18" t="n"/>
    </row>
    <row r="542">
      <c r="A542" s="18" t="n"/>
      <c r="B542" s="18" t="n"/>
      <c r="C542" s="18" t="n"/>
    </row>
    <row r="543">
      <c r="A543" s="18" t="n"/>
      <c r="B543" s="18" t="n"/>
      <c r="C543" s="18" t="n"/>
    </row>
    <row r="544">
      <c r="A544" s="18" t="n"/>
      <c r="B544" s="18" t="n"/>
      <c r="C544" s="18" t="n"/>
    </row>
    <row r="545">
      <c r="A545" s="18" t="n"/>
      <c r="B545" s="18" t="n"/>
      <c r="C545" s="18" t="n"/>
    </row>
    <row r="546">
      <c r="A546" s="18" t="n"/>
      <c r="B546" s="18" t="n"/>
      <c r="C546" s="18" t="n"/>
    </row>
    <row r="547">
      <c r="A547" s="18" t="n"/>
      <c r="B547" s="18" t="n"/>
      <c r="C547" s="18" t="n"/>
    </row>
    <row r="548">
      <c r="A548" s="18" t="n"/>
      <c r="B548" s="18" t="n"/>
      <c r="C548" s="18" t="n"/>
    </row>
    <row r="549">
      <c r="A549" s="18" t="n"/>
      <c r="B549" s="18" t="n"/>
      <c r="C549" s="18" t="n"/>
    </row>
    <row r="550">
      <c r="A550" s="18" t="n"/>
      <c r="B550" s="18" t="n"/>
      <c r="C550" s="18" t="n"/>
    </row>
    <row r="551">
      <c r="A551" s="18" t="n"/>
      <c r="B551" s="18" t="n"/>
      <c r="C551" s="18" t="n"/>
    </row>
    <row r="552">
      <c r="A552" s="18" t="n"/>
      <c r="B552" s="18" t="n"/>
      <c r="C552" s="18" t="n"/>
    </row>
    <row r="553">
      <c r="A553" s="18" t="n"/>
      <c r="B553" s="18" t="n"/>
      <c r="C553" s="18" t="n"/>
    </row>
    <row r="554">
      <c r="A554" s="18" t="n"/>
      <c r="B554" s="18" t="n"/>
      <c r="C554" s="18" t="n"/>
    </row>
    <row r="555">
      <c r="A555" s="18" t="n"/>
      <c r="B555" s="18" t="n"/>
      <c r="C555" s="18" t="n"/>
    </row>
    <row r="556">
      <c r="A556" s="18" t="n"/>
      <c r="B556" s="18" t="n"/>
      <c r="C556" s="18" t="n"/>
    </row>
    <row r="557">
      <c r="A557" s="18" t="n"/>
      <c r="B557" s="18" t="n"/>
      <c r="C557" s="18" t="n"/>
    </row>
    <row r="558">
      <c r="A558" s="18" t="n"/>
      <c r="B558" s="18" t="n"/>
      <c r="C558" s="18" t="n"/>
    </row>
    <row r="559">
      <c r="A559" s="18" t="n"/>
      <c r="B559" s="18" t="n"/>
      <c r="C559" s="18" t="n"/>
    </row>
    <row r="560">
      <c r="A560" s="18" t="n"/>
      <c r="B560" s="18" t="n"/>
      <c r="C560" s="18" t="n"/>
    </row>
    <row r="561">
      <c r="A561" s="18" t="n"/>
      <c r="B561" s="18" t="n"/>
      <c r="C561" s="18" t="n"/>
    </row>
    <row r="562">
      <c r="A562" s="18" t="n"/>
      <c r="B562" s="18" t="n"/>
      <c r="C562" s="18" t="n"/>
    </row>
    <row r="563">
      <c r="A563" s="18" t="n"/>
      <c r="B563" s="18" t="n"/>
      <c r="C563" s="18" t="n"/>
    </row>
    <row r="564">
      <c r="A564" s="18" t="n"/>
      <c r="B564" s="18" t="n"/>
      <c r="C564" s="18" t="n"/>
    </row>
    <row r="565">
      <c r="A565" s="18" t="n"/>
      <c r="B565" s="18" t="n"/>
      <c r="C565" s="18" t="n"/>
    </row>
    <row r="566">
      <c r="A566" s="18" t="n"/>
      <c r="B566" s="18" t="n"/>
      <c r="C566" s="18" t="n"/>
    </row>
    <row r="567">
      <c r="A567" s="18" t="n"/>
      <c r="B567" s="18" t="n"/>
      <c r="C567" s="18" t="n"/>
    </row>
    <row r="568">
      <c r="A568" s="18" t="n"/>
      <c r="B568" s="18" t="n"/>
      <c r="C568" s="18" t="n"/>
    </row>
    <row r="569">
      <c r="A569" s="18" t="n"/>
      <c r="B569" s="18" t="n"/>
      <c r="C569" s="18" t="n"/>
    </row>
    <row r="570">
      <c r="A570" s="18" t="n"/>
      <c r="B570" s="18" t="n"/>
      <c r="C570" s="18" t="n"/>
    </row>
    <row r="571">
      <c r="A571" s="18" t="n"/>
      <c r="B571" s="18" t="n"/>
      <c r="C571" s="18" t="n"/>
    </row>
    <row r="572">
      <c r="A572" s="18" t="n"/>
      <c r="B572" s="18" t="n"/>
      <c r="C572" s="18" t="n"/>
    </row>
    <row r="573">
      <c r="A573" s="18" t="n"/>
      <c r="B573" s="18" t="n"/>
      <c r="C573" s="18" t="n"/>
    </row>
    <row r="574">
      <c r="A574" s="18" t="n"/>
      <c r="B574" s="18" t="n"/>
      <c r="C574" s="18" t="n"/>
    </row>
    <row r="575">
      <c r="A575" s="18" t="n"/>
      <c r="B575" s="18" t="n"/>
      <c r="C575" s="18" t="n"/>
    </row>
    <row r="576">
      <c r="A576" s="18" t="n"/>
      <c r="B576" s="18" t="n"/>
      <c r="C576" s="18" t="n"/>
    </row>
    <row r="577">
      <c r="A577" s="18" t="n"/>
      <c r="B577" s="18" t="n"/>
      <c r="C577" s="18" t="n"/>
    </row>
    <row r="578">
      <c r="A578" s="18" t="n"/>
      <c r="B578" s="18" t="n"/>
      <c r="C578" s="18" t="n"/>
    </row>
    <row r="579">
      <c r="A579" s="18" t="n"/>
      <c r="B579" s="18" t="n"/>
      <c r="C579" s="18" t="n"/>
    </row>
    <row r="580">
      <c r="A580" s="18" t="n"/>
      <c r="B580" s="18" t="n"/>
      <c r="C580" s="18" t="n"/>
    </row>
    <row r="581">
      <c r="A581" s="18" t="n"/>
      <c r="B581" s="18" t="n"/>
      <c r="C581" s="18" t="n"/>
    </row>
    <row r="582">
      <c r="A582" s="18" t="n"/>
      <c r="B582" s="18" t="n"/>
      <c r="C582" s="18" t="n"/>
    </row>
    <row r="583">
      <c r="A583" s="18" t="n"/>
      <c r="B583" s="18" t="n"/>
      <c r="C583" s="18" t="n"/>
    </row>
    <row r="584">
      <c r="A584" s="18" t="n"/>
      <c r="B584" s="18" t="n"/>
      <c r="C584" s="18" t="n"/>
    </row>
    <row r="585">
      <c r="A585" s="18" t="n"/>
      <c r="B585" s="18" t="n"/>
      <c r="C585" s="18" t="n"/>
    </row>
    <row r="586">
      <c r="A586" s="18" t="n"/>
      <c r="B586" s="18" t="n"/>
      <c r="C586" s="18" t="n"/>
    </row>
    <row r="587">
      <c r="A587" s="18" t="n"/>
      <c r="B587" s="18" t="n"/>
      <c r="C587" s="18" t="n"/>
    </row>
    <row r="588">
      <c r="A588" s="18" t="n"/>
      <c r="B588" s="18" t="n"/>
      <c r="C588" s="18" t="n"/>
    </row>
    <row r="589">
      <c r="A589" s="18" t="n"/>
      <c r="B589" s="18" t="n"/>
      <c r="C589" s="18" t="n"/>
    </row>
    <row r="590">
      <c r="A590" s="18" t="n"/>
      <c r="B590" s="18" t="n"/>
      <c r="C590" s="18" t="n"/>
    </row>
    <row r="591">
      <c r="A591" s="18" t="n"/>
      <c r="B591" s="18" t="n"/>
      <c r="C591" s="18" t="n"/>
    </row>
    <row r="592">
      <c r="A592" s="18" t="n"/>
      <c r="B592" s="18" t="n"/>
      <c r="C592" s="18" t="n"/>
    </row>
    <row r="593">
      <c r="A593" s="18" t="n"/>
      <c r="B593" s="18" t="n"/>
      <c r="C593" s="18" t="n"/>
    </row>
    <row r="594">
      <c r="A594" s="18" t="n"/>
      <c r="B594" s="18" t="n"/>
      <c r="C594" s="18" t="n"/>
    </row>
    <row r="595">
      <c r="A595" s="18" t="n"/>
      <c r="B595" s="18" t="n"/>
      <c r="C595" s="18" t="n"/>
    </row>
    <row r="596">
      <c r="A596" s="18" t="n"/>
      <c r="B596" s="18" t="n"/>
      <c r="C596" s="18" t="n"/>
    </row>
    <row r="597">
      <c r="A597" s="18" t="n"/>
      <c r="B597" s="18" t="n"/>
      <c r="C597" s="18" t="n"/>
    </row>
    <row r="598">
      <c r="A598" s="18" t="n"/>
      <c r="B598" s="18" t="n"/>
      <c r="C598" s="18" t="n"/>
    </row>
    <row r="599">
      <c r="A599" s="18" t="n"/>
      <c r="B599" s="18" t="n"/>
      <c r="C599" s="18" t="n"/>
    </row>
    <row r="600">
      <c r="A600" s="18" t="n"/>
      <c r="B600" s="18" t="n"/>
      <c r="C600" s="18" t="n"/>
    </row>
    <row r="601">
      <c r="A601" s="18" t="n"/>
      <c r="B601" s="18" t="n"/>
      <c r="C601" s="18" t="n"/>
    </row>
    <row r="602">
      <c r="A602" s="18" t="n"/>
      <c r="B602" s="18" t="n"/>
      <c r="C602" s="18" t="n"/>
    </row>
    <row r="603">
      <c r="A603" s="18" t="n"/>
      <c r="B603" s="18" t="n"/>
      <c r="C603" s="18" t="n"/>
    </row>
    <row r="604">
      <c r="A604" s="18" t="n"/>
      <c r="B604" s="18" t="n"/>
      <c r="C604" s="18" t="n"/>
    </row>
    <row r="605">
      <c r="A605" s="18" t="n"/>
      <c r="B605" s="18" t="n"/>
      <c r="C605" s="18" t="n"/>
    </row>
    <row r="606">
      <c r="A606" s="18" t="n"/>
      <c r="B606" s="18" t="n"/>
      <c r="C606" s="18" t="n"/>
    </row>
    <row r="607">
      <c r="A607" s="18" t="n"/>
      <c r="B607" s="18" t="n"/>
      <c r="C607" s="18" t="n"/>
    </row>
    <row r="608">
      <c r="A608" s="18" t="n"/>
      <c r="B608" s="18" t="n"/>
      <c r="C608" s="18" t="n"/>
    </row>
    <row r="609">
      <c r="A609" s="18" t="n"/>
      <c r="B609" s="18" t="n"/>
      <c r="C609" s="18" t="n"/>
    </row>
    <row r="610">
      <c r="A610" s="18" t="n"/>
      <c r="B610" s="18" t="n"/>
      <c r="C610" s="18" t="n"/>
    </row>
    <row r="611">
      <c r="A611" s="18" t="n"/>
      <c r="B611" s="18" t="n"/>
      <c r="C611" s="18" t="n"/>
    </row>
    <row r="612">
      <c r="A612" s="18" t="n"/>
      <c r="B612" s="18" t="n"/>
      <c r="C612" s="18" t="n"/>
    </row>
    <row r="613">
      <c r="A613" s="18" t="n"/>
      <c r="B613" s="18" t="n"/>
      <c r="C613" s="18" t="n"/>
    </row>
    <row r="614">
      <c r="A614" s="18" t="n"/>
      <c r="B614" s="18" t="n"/>
      <c r="C614" s="18" t="n"/>
    </row>
    <row r="615">
      <c r="A615" s="18" t="n"/>
      <c r="B615" s="18" t="n"/>
      <c r="C615" s="18" t="n"/>
    </row>
    <row r="616">
      <c r="A616" s="18" t="n"/>
      <c r="B616" s="18" t="n"/>
      <c r="C616" s="18" t="n"/>
    </row>
    <row r="617">
      <c r="A617" s="18" t="n"/>
      <c r="B617" s="18" t="n"/>
      <c r="C617" s="18" t="n"/>
    </row>
    <row r="618">
      <c r="A618" s="18" t="n"/>
      <c r="B618" s="18" t="n"/>
      <c r="C618" s="18" t="n"/>
    </row>
    <row r="619">
      <c r="A619" s="18" t="n"/>
      <c r="B619" s="18" t="n"/>
      <c r="C619" s="18" t="n"/>
    </row>
    <row r="620">
      <c r="A620" s="18" t="n"/>
      <c r="B620" s="18" t="n"/>
      <c r="C620" s="18" t="n"/>
    </row>
    <row r="621">
      <c r="A621" s="18" t="n"/>
      <c r="B621" s="18" t="n"/>
      <c r="C621" s="18" t="n"/>
    </row>
    <row r="622">
      <c r="A622" s="18" t="n"/>
      <c r="B622" s="18" t="n"/>
      <c r="C622" s="18" t="n"/>
    </row>
    <row r="623">
      <c r="A623" s="18" t="n"/>
      <c r="B623" s="18" t="n"/>
      <c r="C623" s="18" t="n"/>
    </row>
    <row r="624">
      <c r="A624" s="18" t="n"/>
      <c r="B624" s="18" t="n"/>
      <c r="C624" s="18" t="n"/>
    </row>
    <row r="625">
      <c r="A625" s="18" t="n"/>
      <c r="B625" s="18" t="n"/>
      <c r="C625" s="18" t="n"/>
    </row>
    <row r="626">
      <c r="A626" s="18" t="n"/>
      <c r="B626" s="18" t="n"/>
      <c r="C626" s="18" t="n"/>
    </row>
    <row r="627">
      <c r="A627" s="18" t="n"/>
      <c r="B627" s="18" t="n"/>
      <c r="C627" s="18" t="n"/>
    </row>
    <row r="628">
      <c r="A628" s="18" t="n"/>
      <c r="B628" s="18" t="n"/>
      <c r="C628" s="18" t="n"/>
    </row>
    <row r="629">
      <c r="A629" s="18" t="n"/>
      <c r="B629" s="18" t="n"/>
      <c r="C629" s="18" t="n"/>
    </row>
    <row r="630">
      <c r="A630" s="18" t="n"/>
      <c r="B630" s="18" t="n"/>
      <c r="C630" s="18" t="n"/>
    </row>
    <row r="631">
      <c r="A631" s="18" t="n"/>
      <c r="B631" s="18" t="n"/>
      <c r="C631" s="18" t="n"/>
    </row>
    <row r="632">
      <c r="A632" s="18" t="n"/>
      <c r="B632" s="18" t="n"/>
      <c r="C632" s="18" t="n"/>
    </row>
    <row r="633">
      <c r="A633" s="18" t="n"/>
      <c r="B633" s="18" t="n"/>
      <c r="C633" s="18" t="n"/>
    </row>
    <row r="634">
      <c r="A634" s="18" t="n"/>
      <c r="B634" s="18" t="n"/>
      <c r="C634" s="18" t="n"/>
    </row>
    <row r="635">
      <c r="A635" s="18" t="n"/>
      <c r="B635" s="18" t="n"/>
      <c r="C635" s="18" t="n"/>
    </row>
    <row r="636">
      <c r="A636" s="18" t="n"/>
      <c r="B636" s="18" t="n"/>
      <c r="C636" s="18" t="n"/>
    </row>
    <row r="637">
      <c r="A637" s="18" t="n"/>
      <c r="B637" s="18" t="n"/>
      <c r="C637" s="18" t="n"/>
    </row>
    <row r="638">
      <c r="A638" s="18" t="n"/>
      <c r="B638" s="18" t="n"/>
      <c r="C638" s="18" t="n"/>
    </row>
    <row r="639">
      <c r="A639" s="18" t="n"/>
      <c r="B639" s="18" t="n"/>
      <c r="C639" s="18" t="n"/>
    </row>
    <row r="640">
      <c r="A640" s="18" t="n"/>
      <c r="B640" s="18" t="n"/>
      <c r="C640" s="18" t="n"/>
    </row>
    <row r="641">
      <c r="A641" s="18" t="n"/>
      <c r="B641" s="18" t="n"/>
      <c r="C641" s="18" t="n"/>
    </row>
    <row r="642">
      <c r="A642" s="18" t="n"/>
      <c r="B642" s="18" t="n"/>
      <c r="C642" s="18" t="n"/>
    </row>
    <row r="643">
      <c r="A643" s="18" t="n"/>
      <c r="B643" s="18" t="n"/>
      <c r="C643" s="18" t="n"/>
    </row>
    <row r="644">
      <c r="A644" s="18" t="n"/>
      <c r="B644" s="18" t="n"/>
      <c r="C644" s="18" t="n"/>
    </row>
    <row r="645">
      <c r="A645" s="18" t="n"/>
      <c r="B645" s="18" t="n"/>
      <c r="C645" s="18" t="n"/>
    </row>
    <row r="646">
      <c r="A646" s="18" t="n"/>
      <c r="B646" s="18" t="n"/>
      <c r="C646" s="18" t="n"/>
    </row>
    <row r="647">
      <c r="A647" s="18" t="n"/>
      <c r="B647" s="18" t="n"/>
      <c r="C647" s="18" t="n"/>
    </row>
    <row r="648">
      <c r="A648" s="18" t="n"/>
      <c r="B648" s="18" t="n"/>
      <c r="C648" s="18" t="n"/>
    </row>
    <row r="649">
      <c r="A649" s="18" t="n"/>
      <c r="B649" s="18" t="n"/>
      <c r="C649" s="18" t="n"/>
    </row>
    <row r="650">
      <c r="A650" s="18" t="n"/>
      <c r="B650" s="18" t="n"/>
      <c r="C650" s="18" t="n"/>
    </row>
    <row r="651">
      <c r="A651" s="18" t="n"/>
      <c r="B651" s="18" t="n"/>
      <c r="C651" s="18" t="n"/>
    </row>
    <row r="652">
      <c r="A652" s="18" t="n"/>
      <c r="B652" s="18" t="n"/>
      <c r="C652" s="18" t="n"/>
    </row>
    <row r="653">
      <c r="A653" s="18" t="n"/>
      <c r="B653" s="18" t="n"/>
      <c r="C653" s="18" t="n"/>
    </row>
    <row r="654">
      <c r="A654" s="18" t="n"/>
      <c r="B654" s="18" t="n"/>
      <c r="C654" s="18" t="n"/>
    </row>
    <row r="655">
      <c r="A655" s="18" t="n"/>
      <c r="B655" s="18" t="n"/>
      <c r="C655" s="18" t="n"/>
    </row>
    <row r="656">
      <c r="A656" s="18" t="n"/>
      <c r="B656" s="18" t="n"/>
      <c r="C656" s="18" t="n"/>
    </row>
    <row r="657">
      <c r="A657" s="18" t="n"/>
      <c r="B657" s="18" t="n"/>
      <c r="C657" s="18" t="n"/>
    </row>
    <row r="658">
      <c r="A658" s="18" t="n"/>
      <c r="B658" s="18" t="n"/>
      <c r="C658" s="18" t="n"/>
    </row>
    <row r="659">
      <c r="A659" s="18" t="n"/>
      <c r="B659" s="18" t="n"/>
      <c r="C659" s="18" t="n"/>
    </row>
    <row r="660">
      <c r="A660" s="18" t="n"/>
      <c r="B660" s="18" t="n"/>
      <c r="C660" s="18" t="n"/>
    </row>
    <row r="661">
      <c r="A661" s="18" t="n"/>
      <c r="B661" s="18" t="n"/>
      <c r="C661" s="18" t="n"/>
    </row>
    <row r="662">
      <c r="A662" s="18" t="n"/>
      <c r="B662" s="18" t="n"/>
      <c r="C662" s="18" t="n"/>
    </row>
    <row r="663">
      <c r="A663" s="18" t="n"/>
      <c r="B663" s="18" t="n"/>
      <c r="C663" s="18" t="n"/>
    </row>
    <row r="664">
      <c r="A664" s="18" t="n"/>
      <c r="B664" s="18" t="n"/>
      <c r="C664" s="18" t="n"/>
    </row>
    <row r="665">
      <c r="A665" s="18" t="n"/>
      <c r="B665" s="18" t="n"/>
      <c r="C665" s="18" t="n"/>
    </row>
    <row r="666">
      <c r="A666" s="18" t="n"/>
      <c r="B666" s="18" t="n"/>
      <c r="C666" s="18" t="n"/>
    </row>
    <row r="667">
      <c r="A667" s="18" t="n"/>
      <c r="B667" s="18" t="n"/>
      <c r="C667" s="18" t="n"/>
    </row>
    <row r="668">
      <c r="A668" s="18" t="n"/>
      <c r="B668" s="18" t="n"/>
      <c r="C668" s="18" t="n"/>
    </row>
    <row r="669">
      <c r="A669" s="18" t="n"/>
      <c r="B669" s="18" t="n"/>
      <c r="C669" s="18" t="n"/>
    </row>
    <row r="670">
      <c r="A670" s="18" t="n"/>
      <c r="B670" s="18" t="n"/>
      <c r="C670" s="18" t="n"/>
    </row>
    <row r="671">
      <c r="A671" s="18" t="n"/>
      <c r="B671" s="18" t="n"/>
      <c r="C671" s="18" t="n"/>
    </row>
    <row r="672">
      <c r="A672" s="18" t="n"/>
      <c r="B672" s="18" t="n"/>
      <c r="C672" s="18" t="n"/>
    </row>
    <row r="673">
      <c r="A673" s="18" t="n"/>
      <c r="B673" s="18" t="n"/>
      <c r="C673" s="18" t="n"/>
    </row>
    <row r="674">
      <c r="A674" s="18" t="n"/>
      <c r="B674" s="18" t="n"/>
      <c r="C674" s="18" t="n"/>
    </row>
    <row r="675">
      <c r="A675" s="18" t="n"/>
      <c r="B675" s="18" t="n"/>
      <c r="C675" s="18" t="n"/>
    </row>
    <row r="676">
      <c r="A676" s="18" t="n"/>
      <c r="B676" s="18" t="n"/>
      <c r="C676" s="18" t="n"/>
    </row>
    <row r="677">
      <c r="A677" s="18" t="n"/>
      <c r="B677" s="18" t="n"/>
      <c r="C677" s="18" t="n"/>
    </row>
    <row r="678">
      <c r="A678" s="18" t="n"/>
      <c r="B678" s="18" t="n"/>
      <c r="C678" s="18" t="n"/>
    </row>
    <row r="679">
      <c r="A679" s="18" t="n"/>
      <c r="B679" s="18" t="n"/>
      <c r="C679" s="18" t="n"/>
    </row>
    <row r="680">
      <c r="A680" s="18" t="n"/>
      <c r="B680" s="18" t="n"/>
      <c r="C680" s="18" t="n"/>
    </row>
    <row r="681">
      <c r="A681" s="18" t="n"/>
      <c r="B681" s="18" t="n"/>
      <c r="C681" s="18" t="n"/>
    </row>
    <row r="682">
      <c r="A682" s="18" t="n"/>
      <c r="B682" s="18" t="n"/>
      <c r="C682" s="18" t="n"/>
    </row>
    <row r="683">
      <c r="A683" s="18" t="n"/>
      <c r="B683" s="18" t="n"/>
      <c r="C683" s="18" t="n"/>
    </row>
    <row r="684">
      <c r="A684" s="18" t="n"/>
      <c r="B684" s="18" t="n"/>
      <c r="C684" s="18" t="n"/>
    </row>
    <row r="685">
      <c r="A685" s="18" t="n"/>
      <c r="B685" s="18" t="n"/>
      <c r="C685" s="18" t="n"/>
    </row>
    <row r="686">
      <c r="A686" s="18" t="n"/>
      <c r="B686" s="18" t="n"/>
      <c r="C686" s="18" t="n"/>
    </row>
    <row r="687">
      <c r="A687" s="18" t="n"/>
      <c r="B687" s="18" t="n"/>
      <c r="C687" s="18" t="n"/>
    </row>
    <row r="688">
      <c r="A688" s="18" t="n"/>
      <c r="B688" s="18" t="n"/>
      <c r="C688" s="18" t="n"/>
    </row>
    <row r="689">
      <c r="A689" s="18" t="n"/>
      <c r="B689" s="18" t="n"/>
      <c r="C689" s="18" t="n"/>
    </row>
    <row r="690">
      <c r="A690" s="18" t="n"/>
      <c r="B690" s="18" t="n"/>
      <c r="C690" s="18" t="n"/>
    </row>
    <row r="691">
      <c r="A691" s="18" t="n"/>
      <c r="B691" s="18" t="n"/>
      <c r="C691" s="18" t="n"/>
    </row>
    <row r="692">
      <c r="A692" s="18" t="n"/>
      <c r="B692" s="18" t="n"/>
      <c r="C692" s="18" t="n"/>
    </row>
    <row r="693">
      <c r="A693" s="18" t="n"/>
      <c r="B693" s="18" t="n"/>
      <c r="C693" s="18" t="n"/>
    </row>
    <row r="694">
      <c r="A694" s="18" t="n"/>
      <c r="B694" s="18" t="n"/>
      <c r="C694" s="18" t="n"/>
    </row>
    <row r="695">
      <c r="A695" s="18" t="n"/>
      <c r="B695" s="18" t="n"/>
      <c r="C695" s="18" t="n"/>
    </row>
    <row r="696">
      <c r="A696" s="18" t="n"/>
      <c r="B696" s="18" t="n"/>
      <c r="C696" s="18" t="n"/>
    </row>
    <row r="697">
      <c r="A697" s="18" t="n"/>
      <c r="B697" s="18" t="n"/>
      <c r="C697" s="18" t="n"/>
    </row>
    <row r="698">
      <c r="A698" s="18" t="n"/>
      <c r="B698" s="18" t="n"/>
      <c r="C698" s="18" t="n"/>
    </row>
    <row r="699">
      <c r="A699" s="18" t="n"/>
      <c r="B699" s="18" t="n"/>
      <c r="C699" s="18" t="n"/>
    </row>
    <row r="700">
      <c r="A700" s="18" t="n"/>
      <c r="B700" s="18" t="n"/>
      <c r="C700" s="18" t="n"/>
    </row>
    <row r="701">
      <c r="A701" s="18" t="n"/>
      <c r="B701" s="18" t="n"/>
      <c r="C701" s="18" t="n"/>
    </row>
    <row r="702">
      <c r="A702" s="18" t="n"/>
      <c r="B702" s="18" t="n"/>
      <c r="C702" s="18" t="n"/>
    </row>
    <row r="703">
      <c r="A703" s="18" t="n"/>
      <c r="B703" s="18" t="n"/>
      <c r="C703" s="18" t="n"/>
    </row>
    <row r="704">
      <c r="A704" s="18" t="n"/>
      <c r="B704" s="18" t="n"/>
      <c r="C704" s="18" t="n"/>
    </row>
    <row r="705">
      <c r="A705" s="18" t="n"/>
      <c r="B705" s="18" t="n"/>
      <c r="C705" s="18" t="n"/>
    </row>
    <row r="706">
      <c r="A706" s="18" t="n"/>
      <c r="B706" s="18" t="n"/>
      <c r="C706" s="18" t="n"/>
    </row>
    <row r="707">
      <c r="A707" s="18" t="n"/>
      <c r="B707" s="18" t="n"/>
      <c r="C707" s="18" t="n"/>
    </row>
    <row r="708">
      <c r="A708" s="18" t="n"/>
      <c r="B708" s="18" t="n"/>
      <c r="C708" s="18" t="n"/>
    </row>
    <row r="709">
      <c r="A709" s="18" t="n"/>
      <c r="B709" s="18" t="n"/>
      <c r="C709" s="18" t="n"/>
    </row>
    <row r="710">
      <c r="A710" s="18" t="n"/>
      <c r="B710" s="18" t="n"/>
      <c r="C710" s="18" t="n"/>
    </row>
    <row r="711">
      <c r="A711" s="18" t="n"/>
      <c r="B711" s="18" t="n"/>
      <c r="C711" s="18" t="n"/>
    </row>
    <row r="712">
      <c r="A712" s="18" t="n"/>
      <c r="B712" s="18" t="n"/>
      <c r="C712" s="18" t="n"/>
    </row>
    <row r="713">
      <c r="A713" s="18" t="n"/>
      <c r="B713" s="18" t="n"/>
      <c r="C713" s="18" t="n"/>
    </row>
    <row r="714">
      <c r="A714" s="18" t="n"/>
      <c r="B714" s="18" t="n"/>
      <c r="C714" s="18" t="n"/>
    </row>
    <row r="715">
      <c r="A715" s="18" t="n"/>
      <c r="B715" s="18" t="n"/>
      <c r="C715" s="18" t="n"/>
    </row>
    <row r="716">
      <c r="A716" s="18" t="n"/>
      <c r="B716" s="18" t="n"/>
      <c r="C716" s="18" t="n"/>
    </row>
    <row r="717">
      <c r="A717" s="18" t="n"/>
      <c r="B717" s="18" t="n"/>
      <c r="C717" s="18" t="n"/>
    </row>
    <row r="718">
      <c r="A718" s="18" t="n"/>
      <c r="B718" s="18" t="n"/>
      <c r="C718" s="18" t="n"/>
    </row>
    <row r="719">
      <c r="A719" s="18" t="n"/>
      <c r="B719" s="18" t="n"/>
      <c r="C719" s="18" t="n"/>
    </row>
    <row r="720">
      <c r="A720" s="18" t="n"/>
      <c r="B720" s="18" t="n"/>
      <c r="C720" s="18" t="n"/>
    </row>
    <row r="721">
      <c r="A721" s="18" t="n"/>
      <c r="B721" s="18" t="n"/>
      <c r="C721" s="18" t="n"/>
    </row>
    <row r="722">
      <c r="A722" s="18" t="n"/>
      <c r="B722" s="18" t="n"/>
      <c r="C722" s="18" t="n"/>
    </row>
    <row r="723">
      <c r="A723" s="18" t="n"/>
      <c r="B723" s="18" t="n"/>
      <c r="C723" s="18" t="n"/>
    </row>
    <row r="724">
      <c r="A724" s="18" t="n"/>
      <c r="B724" s="18" t="n"/>
      <c r="C724" s="18" t="n"/>
    </row>
    <row r="725">
      <c r="A725" s="18" t="n"/>
      <c r="B725" s="18" t="n"/>
      <c r="C725" s="18" t="n"/>
    </row>
    <row r="726">
      <c r="A726" s="18" t="n"/>
      <c r="B726" s="18" t="n"/>
      <c r="C726" s="18" t="n"/>
    </row>
    <row r="727">
      <c r="A727" s="18" t="n"/>
      <c r="B727" s="18" t="n"/>
      <c r="C727" s="18" t="n"/>
    </row>
    <row r="728">
      <c r="A728" s="18" t="n"/>
      <c r="B728" s="18" t="n"/>
      <c r="C728" s="18" t="n"/>
    </row>
    <row r="729">
      <c r="A729" s="18" t="n"/>
      <c r="B729" s="18" t="n"/>
      <c r="C729" s="18" t="n"/>
    </row>
    <row r="730">
      <c r="A730" s="18" t="n"/>
      <c r="B730" s="18" t="n"/>
      <c r="C730" s="18" t="n"/>
    </row>
    <row r="731">
      <c r="A731" s="18" t="n"/>
      <c r="B731" s="18" t="n"/>
      <c r="C731" s="18" t="n"/>
    </row>
    <row r="732">
      <c r="A732" s="18" t="n"/>
      <c r="B732" s="18" t="n"/>
      <c r="C732" s="18" t="n"/>
    </row>
    <row r="733">
      <c r="A733" s="18" t="n"/>
      <c r="B733" s="18" t="n"/>
      <c r="C733" s="18" t="n"/>
    </row>
    <row r="734">
      <c r="A734" s="18" t="n"/>
      <c r="B734" s="18" t="n"/>
      <c r="C734" s="18" t="n"/>
    </row>
    <row r="735">
      <c r="A735" s="18" t="n"/>
      <c r="B735" s="18" t="n"/>
      <c r="C735" s="18" t="n"/>
    </row>
    <row r="736">
      <c r="A736" s="18" t="n"/>
      <c r="B736" s="18" t="n"/>
      <c r="C736" s="18" t="n"/>
    </row>
    <row r="737">
      <c r="A737" s="18" t="n"/>
      <c r="B737" s="18" t="n"/>
      <c r="C737" s="18" t="n"/>
    </row>
    <row r="738">
      <c r="A738" s="18" t="n"/>
      <c r="B738" s="18" t="n"/>
      <c r="C738" s="18" t="n"/>
    </row>
    <row r="739">
      <c r="A739" s="18" t="n"/>
      <c r="B739" s="18" t="n"/>
      <c r="C739" s="18" t="n"/>
    </row>
    <row r="740">
      <c r="A740" s="18" t="n"/>
      <c r="B740" s="18" t="n"/>
      <c r="C740" s="18" t="n"/>
    </row>
    <row r="741">
      <c r="A741" s="18" t="n"/>
      <c r="B741" s="18" t="n"/>
      <c r="C741" s="18" t="n"/>
    </row>
    <row r="742">
      <c r="A742" s="18" t="n"/>
      <c r="B742" s="18" t="n"/>
      <c r="C742" s="18" t="n"/>
    </row>
    <row r="743">
      <c r="A743" s="18" t="n"/>
      <c r="B743" s="18" t="n"/>
      <c r="C743" s="18" t="n"/>
    </row>
    <row r="744">
      <c r="A744" s="18" t="n"/>
      <c r="B744" s="18" t="n"/>
      <c r="C744" s="18" t="n"/>
    </row>
    <row r="745">
      <c r="A745" s="18" t="n"/>
      <c r="B745" s="18" t="n"/>
      <c r="C745" s="18" t="n"/>
    </row>
    <row r="746">
      <c r="A746" s="18" t="n"/>
      <c r="B746" s="18" t="n"/>
      <c r="C746" s="18" t="n"/>
    </row>
    <row r="747">
      <c r="A747" s="18" t="n"/>
      <c r="B747" s="18" t="n"/>
      <c r="C747" s="18" t="n"/>
    </row>
    <row r="748">
      <c r="A748" s="18" t="n"/>
      <c r="B748" s="18" t="n"/>
      <c r="C748" s="18" t="n"/>
    </row>
    <row r="749">
      <c r="A749" s="18" t="n"/>
      <c r="B749" s="18" t="n"/>
      <c r="C749" s="18" t="n"/>
    </row>
    <row r="750">
      <c r="A750" s="18" t="n"/>
      <c r="B750" s="18" t="n"/>
      <c r="C750" s="18" t="n"/>
    </row>
    <row r="751">
      <c r="A751" s="18" t="n"/>
      <c r="B751" s="18" t="n"/>
      <c r="C751" s="18" t="n"/>
    </row>
    <row r="752">
      <c r="A752" s="18" t="n"/>
      <c r="B752" s="18" t="n"/>
      <c r="C752" s="18" t="n"/>
    </row>
    <row r="753">
      <c r="A753" s="18" t="n"/>
      <c r="B753" s="18" t="n"/>
      <c r="C753" s="18" t="n"/>
    </row>
    <row r="754">
      <c r="A754" s="18" t="n"/>
      <c r="B754" s="18" t="n"/>
      <c r="C754" s="18" t="n"/>
    </row>
    <row r="755">
      <c r="A755" s="18" t="n"/>
      <c r="B755" s="18" t="n"/>
      <c r="C755" s="18" t="n"/>
    </row>
    <row r="756">
      <c r="A756" s="18" t="n"/>
      <c r="B756" s="18" t="n"/>
      <c r="C756" s="18" t="n"/>
    </row>
    <row r="757">
      <c r="A757" s="18" t="n"/>
      <c r="B757" s="18" t="n"/>
      <c r="C757" s="18" t="n"/>
    </row>
    <row r="758">
      <c r="A758" s="18" t="n"/>
      <c r="B758" s="18" t="n"/>
      <c r="C758" s="18" t="n"/>
    </row>
    <row r="759">
      <c r="A759" s="18" t="n"/>
      <c r="B759" s="18" t="n"/>
      <c r="C759" s="18" t="n"/>
    </row>
    <row r="760">
      <c r="A760" s="18" t="n"/>
      <c r="B760" s="18" t="n"/>
      <c r="C760" s="18" t="n"/>
    </row>
    <row r="761">
      <c r="A761" s="18" t="n"/>
      <c r="B761" s="18" t="n"/>
      <c r="C761" s="18" t="n"/>
    </row>
    <row r="762">
      <c r="A762" s="18" t="n"/>
      <c r="B762" s="18" t="n"/>
      <c r="C762" s="18" t="n"/>
    </row>
    <row r="763">
      <c r="A763" s="18" t="n"/>
      <c r="B763" s="18" t="n"/>
      <c r="C763" s="18" t="n"/>
    </row>
    <row r="764">
      <c r="A764" s="18" t="n"/>
      <c r="B764" s="18" t="n"/>
      <c r="C764" s="18" t="n"/>
    </row>
    <row r="765">
      <c r="A765" s="18" t="n"/>
      <c r="B765" s="18" t="n"/>
      <c r="C765" s="18" t="n"/>
    </row>
    <row r="766">
      <c r="A766" s="18" t="n"/>
      <c r="B766" s="18" t="n"/>
      <c r="C766" s="18" t="n"/>
    </row>
    <row r="767">
      <c r="A767" s="18" t="n"/>
      <c r="B767" s="18" t="n"/>
      <c r="C767" s="18" t="n"/>
    </row>
    <row r="768">
      <c r="A768" s="18" t="n"/>
      <c r="B768" s="18" t="n"/>
      <c r="C768" s="18" t="n"/>
    </row>
    <row r="769">
      <c r="A769" s="18" t="n"/>
      <c r="B769" s="18" t="n"/>
      <c r="C769" s="18" t="n"/>
    </row>
    <row r="770">
      <c r="A770" s="18" t="n"/>
      <c r="B770" s="18" t="n"/>
      <c r="C770" s="18" t="n"/>
    </row>
    <row r="771">
      <c r="A771" s="18" t="n"/>
      <c r="B771" s="18" t="n"/>
      <c r="C771" s="18" t="n"/>
    </row>
    <row r="772">
      <c r="A772" s="18" t="n"/>
      <c r="B772" s="18" t="n"/>
      <c r="C772" s="18" t="n"/>
    </row>
    <row r="773">
      <c r="A773" s="18" t="n"/>
      <c r="B773" s="18" t="n"/>
      <c r="C773" s="18" t="n"/>
    </row>
    <row r="774">
      <c r="A774" s="18" t="n"/>
      <c r="B774" s="18" t="n"/>
      <c r="C774" s="18" t="n"/>
    </row>
    <row r="775">
      <c r="A775" s="18" t="n"/>
      <c r="B775" s="18" t="n"/>
      <c r="C775" s="18" t="n"/>
    </row>
    <row r="776">
      <c r="A776" s="18" t="n"/>
      <c r="B776" s="18" t="n"/>
      <c r="C776" s="18" t="n"/>
    </row>
    <row r="777">
      <c r="A777" s="18" t="n"/>
      <c r="B777" s="18" t="n"/>
      <c r="C777" s="18" t="n"/>
    </row>
    <row r="778">
      <c r="A778" s="18" t="n"/>
      <c r="B778" s="18" t="n"/>
      <c r="C778" s="18" t="n"/>
    </row>
    <row r="779">
      <c r="A779" s="18" t="n"/>
      <c r="B779" s="18" t="n"/>
      <c r="C779" s="18" t="n"/>
    </row>
    <row r="780">
      <c r="A780" s="18" t="n"/>
      <c r="B780" s="18" t="n"/>
      <c r="C780" s="18" t="n"/>
    </row>
    <row r="781">
      <c r="A781" s="18" t="n"/>
      <c r="B781" s="18" t="n"/>
      <c r="C781" s="18" t="n"/>
    </row>
    <row r="782">
      <c r="A782" s="18" t="n"/>
      <c r="B782" s="18" t="n"/>
      <c r="C782" s="18" t="n"/>
    </row>
    <row r="783">
      <c r="A783" s="18" t="n"/>
      <c r="B783" s="18" t="n"/>
      <c r="C783" s="18" t="n"/>
    </row>
    <row r="784">
      <c r="A784" s="18" t="n"/>
      <c r="B784" s="18" t="n"/>
      <c r="C784" s="18" t="n"/>
    </row>
    <row r="785">
      <c r="A785" s="18" t="n"/>
      <c r="B785" s="18" t="n"/>
      <c r="C785" s="18" t="n"/>
    </row>
    <row r="786">
      <c r="A786" s="18" t="n"/>
      <c r="B786" s="18" t="n"/>
      <c r="C786" s="18" t="n"/>
    </row>
    <row r="787">
      <c r="A787" s="18" t="n"/>
      <c r="B787" s="18" t="n"/>
      <c r="C787" s="18" t="n"/>
    </row>
    <row r="788">
      <c r="A788" s="18" t="n"/>
      <c r="B788" s="18" t="n"/>
      <c r="C788" s="18" t="n"/>
    </row>
    <row r="789">
      <c r="A789" s="18" t="n"/>
      <c r="B789" s="18" t="n"/>
      <c r="C789" s="18" t="n"/>
    </row>
    <row r="790">
      <c r="A790" s="18" t="n"/>
      <c r="B790" s="18" t="n"/>
      <c r="C790" s="18" t="n"/>
    </row>
    <row r="791">
      <c r="A791" s="18" t="n"/>
      <c r="B791" s="18" t="n"/>
      <c r="C791" s="18" t="n"/>
    </row>
    <row r="792">
      <c r="A792" s="18" t="n"/>
      <c r="B792" s="18" t="n"/>
      <c r="C792" s="18" t="n"/>
    </row>
    <row r="793">
      <c r="A793" s="18" t="n"/>
      <c r="B793" s="18" t="n"/>
      <c r="C793" s="18" t="n"/>
    </row>
    <row r="794">
      <c r="A794" s="18" t="n"/>
      <c r="B794" s="18" t="n"/>
      <c r="C794" s="18" t="n"/>
    </row>
    <row r="795">
      <c r="A795" s="18" t="n"/>
      <c r="B795" s="18" t="n"/>
      <c r="C795" s="18" t="n"/>
    </row>
    <row r="796">
      <c r="A796" s="18" t="n"/>
      <c r="B796" s="18" t="n"/>
      <c r="C796" s="18" t="n"/>
    </row>
    <row r="797">
      <c r="A797" s="18" t="n"/>
      <c r="B797" s="18" t="n"/>
      <c r="C797" s="18" t="n"/>
    </row>
    <row r="798">
      <c r="A798" s="18" t="n"/>
      <c r="B798" s="18" t="n"/>
      <c r="C798" s="18" t="n"/>
    </row>
    <row r="799">
      <c r="A799" s="18" t="n"/>
      <c r="B799" s="18" t="n"/>
      <c r="C799" s="18" t="n"/>
    </row>
    <row r="800">
      <c r="A800" s="18" t="n"/>
      <c r="B800" s="18" t="n"/>
      <c r="C800" s="18" t="n"/>
    </row>
    <row r="801">
      <c r="A801" s="18" t="n"/>
      <c r="B801" s="18" t="n"/>
      <c r="C801" s="18" t="n"/>
    </row>
    <row r="802">
      <c r="A802" s="18" t="n"/>
      <c r="B802" s="18" t="n"/>
      <c r="C802" s="18" t="n"/>
    </row>
    <row r="803">
      <c r="A803" s="18" t="n"/>
      <c r="B803" s="18" t="n"/>
      <c r="C803" s="18" t="n"/>
    </row>
    <row r="804">
      <c r="A804" s="18" t="n"/>
      <c r="B804" s="18" t="n"/>
      <c r="C804" s="18" t="n"/>
    </row>
    <row r="805">
      <c r="A805" s="18" t="n"/>
      <c r="B805" s="18" t="n"/>
      <c r="C805" s="18" t="n"/>
    </row>
    <row r="806">
      <c r="A806" s="18" t="n"/>
      <c r="B806" s="18" t="n"/>
      <c r="C806" s="18" t="n"/>
    </row>
    <row r="807">
      <c r="A807" s="18" t="n"/>
      <c r="B807" s="18" t="n"/>
      <c r="C807" s="18" t="n"/>
    </row>
    <row r="808">
      <c r="A808" s="18" t="n"/>
      <c r="B808" s="18" t="n"/>
      <c r="C808" s="18" t="n"/>
    </row>
    <row r="809">
      <c r="A809" s="18" t="n"/>
      <c r="B809" s="18" t="n"/>
      <c r="C809" s="18" t="n"/>
    </row>
    <row r="810">
      <c r="A810" s="18" t="n"/>
      <c r="B810" s="18" t="n"/>
      <c r="C810" s="18" t="n"/>
    </row>
    <row r="811">
      <c r="A811" s="18" t="n"/>
      <c r="B811" s="18" t="n"/>
      <c r="C811" s="18" t="n"/>
    </row>
    <row r="812">
      <c r="A812" s="18" t="n"/>
      <c r="B812" s="18" t="n"/>
      <c r="C812" s="18" t="n"/>
    </row>
    <row r="813">
      <c r="A813" s="18" t="n"/>
      <c r="B813" s="18" t="n"/>
      <c r="C813" s="18" t="n"/>
    </row>
    <row r="814">
      <c r="A814" s="18" t="n"/>
      <c r="B814" s="18" t="n"/>
      <c r="C814" s="18" t="n"/>
    </row>
    <row r="815">
      <c r="A815" s="18" t="n"/>
      <c r="B815" s="18" t="n"/>
      <c r="C815" s="18" t="n"/>
    </row>
    <row r="816">
      <c r="A816" s="18" t="n"/>
      <c r="B816" s="18" t="n"/>
      <c r="C816" s="18" t="n"/>
    </row>
    <row r="817">
      <c r="A817" s="18" t="n"/>
      <c r="B817" s="18" t="n"/>
      <c r="C817" s="18" t="n"/>
    </row>
    <row r="818">
      <c r="A818" s="18" t="n"/>
      <c r="B818" s="18" t="n"/>
      <c r="C818" s="18" t="n"/>
    </row>
    <row r="819">
      <c r="A819" s="18" t="n"/>
      <c r="B819" s="18" t="n"/>
      <c r="C819" s="18" t="n"/>
    </row>
    <row r="820">
      <c r="A820" s="18" t="n"/>
      <c r="B820" s="18" t="n"/>
      <c r="C820" s="18" t="n"/>
    </row>
    <row r="821">
      <c r="A821" s="18" t="n"/>
      <c r="B821" s="18" t="n"/>
      <c r="C821" s="18" t="n"/>
    </row>
    <row r="822">
      <c r="A822" s="18" t="n"/>
      <c r="B822" s="18" t="n"/>
      <c r="C822" s="18" t="n"/>
    </row>
    <row r="823">
      <c r="A823" s="18" t="n"/>
      <c r="B823" s="18" t="n"/>
      <c r="C823" s="18" t="n"/>
    </row>
    <row r="824">
      <c r="A824" s="18" t="n"/>
      <c r="B824" s="18" t="n"/>
      <c r="C824" s="18" t="n"/>
    </row>
    <row r="825">
      <c r="A825" s="18" t="n"/>
      <c r="B825" s="18" t="n"/>
      <c r="C825" s="18" t="n"/>
    </row>
    <row r="826">
      <c r="A826" s="18" t="n"/>
      <c r="B826" s="18" t="n"/>
      <c r="C826" s="18" t="n"/>
    </row>
    <row r="827">
      <c r="A827" s="18" t="n"/>
      <c r="B827" s="18" t="n"/>
      <c r="C827" s="18" t="n"/>
    </row>
    <row r="828">
      <c r="A828" s="18" t="n"/>
      <c r="B828" s="18" t="n"/>
      <c r="C828" s="18" t="n"/>
    </row>
    <row r="829">
      <c r="A829" s="18" t="n"/>
      <c r="B829" s="18" t="n"/>
      <c r="C829" s="18" t="n"/>
    </row>
    <row r="830">
      <c r="A830" s="18" t="n"/>
      <c r="B830" s="18" t="n"/>
      <c r="C830" s="18" t="n"/>
    </row>
    <row r="831">
      <c r="A831" s="18" t="n"/>
      <c r="B831" s="18" t="n"/>
      <c r="C831" s="18" t="n"/>
    </row>
    <row r="832">
      <c r="A832" s="18" t="n"/>
      <c r="B832" s="18" t="n"/>
      <c r="C832" s="18" t="n"/>
    </row>
    <row r="833">
      <c r="A833" s="18" t="n"/>
      <c r="B833" s="18" t="n"/>
      <c r="C833" s="18" t="n"/>
    </row>
    <row r="834">
      <c r="A834" s="18" t="n"/>
      <c r="B834" s="18" t="n"/>
      <c r="C834" s="18" t="n"/>
    </row>
    <row r="835">
      <c r="A835" s="18" t="n"/>
      <c r="B835" s="18" t="n"/>
      <c r="C835" s="18" t="n"/>
    </row>
    <row r="836">
      <c r="A836" s="18" t="n"/>
      <c r="B836" s="18" t="n"/>
      <c r="C836" s="18" t="n"/>
    </row>
    <row r="837">
      <c r="A837" s="18" t="n"/>
      <c r="B837" s="18" t="n"/>
      <c r="C837" s="18" t="n"/>
    </row>
    <row r="838">
      <c r="A838" s="18" t="n"/>
      <c r="B838" s="18" t="n"/>
      <c r="C838" s="18" t="n"/>
    </row>
    <row r="839">
      <c r="A839" s="18" t="n"/>
      <c r="B839" s="18" t="n"/>
      <c r="C839" s="18" t="n"/>
    </row>
    <row r="840">
      <c r="A840" s="18" t="n"/>
      <c r="B840" s="18" t="n"/>
      <c r="C840" s="18" t="n"/>
    </row>
    <row r="841">
      <c r="A841" s="18" t="n"/>
      <c r="B841" s="18" t="n"/>
      <c r="C841" s="18" t="n"/>
    </row>
    <row r="842">
      <c r="A842" s="18" t="n"/>
      <c r="B842" s="18" t="n"/>
      <c r="C842" s="18" t="n"/>
    </row>
    <row r="843">
      <c r="A843" s="18" t="n"/>
      <c r="B843" s="18" t="n"/>
      <c r="C843" s="18" t="n"/>
    </row>
    <row r="844">
      <c r="A844" s="18" t="n"/>
      <c r="B844" s="18" t="n"/>
      <c r="C844" s="18" t="n"/>
    </row>
    <row r="845">
      <c r="A845" s="18" t="n"/>
      <c r="B845" s="18" t="n"/>
      <c r="C845" s="18" t="n"/>
    </row>
    <row r="846">
      <c r="A846" s="18" t="n"/>
      <c r="B846" s="18" t="n"/>
      <c r="C846" s="18" t="n"/>
    </row>
    <row r="847">
      <c r="A847" s="18" t="n"/>
      <c r="B847" s="18" t="n"/>
      <c r="C847" s="18" t="n"/>
    </row>
    <row r="848">
      <c r="A848" s="18" t="n"/>
      <c r="B848" s="18" t="n"/>
      <c r="C848" s="18" t="n"/>
    </row>
    <row r="849">
      <c r="A849" s="18" t="n"/>
      <c r="B849" s="18" t="n"/>
      <c r="C849" s="18" t="n"/>
    </row>
    <row r="850">
      <c r="A850" s="18" t="n"/>
      <c r="B850" s="18" t="n"/>
      <c r="C850" s="18" t="n"/>
    </row>
    <row r="851">
      <c r="A851" s="18" t="n"/>
      <c r="B851" s="18" t="n"/>
      <c r="C851" s="18" t="n"/>
    </row>
    <row r="852">
      <c r="A852" s="18" t="n"/>
      <c r="B852" s="18" t="n"/>
      <c r="C852" s="18" t="n"/>
    </row>
    <row r="853">
      <c r="A853" s="18" t="n"/>
      <c r="B853" s="18" t="n"/>
      <c r="C853" s="18" t="n"/>
    </row>
    <row r="854">
      <c r="A854" s="18" t="n"/>
      <c r="B854" s="18" t="n"/>
      <c r="C854" s="18" t="n"/>
    </row>
    <row r="855">
      <c r="A855" s="18" t="n"/>
      <c r="B855" s="18" t="n"/>
      <c r="C855" s="18" t="n"/>
    </row>
    <row r="856">
      <c r="A856" s="18" t="n"/>
      <c r="B856" s="18" t="n"/>
      <c r="C856" s="18" t="n"/>
    </row>
    <row r="857">
      <c r="A857" s="18" t="n"/>
      <c r="B857" s="18" t="n"/>
      <c r="C857" s="18" t="n"/>
    </row>
    <row r="858">
      <c r="A858" s="18" t="n"/>
      <c r="B858" s="18" t="n"/>
      <c r="C858" s="18" t="n"/>
    </row>
    <row r="859">
      <c r="A859" s="18" t="n"/>
      <c r="B859" s="18" t="n"/>
      <c r="C859" s="18" t="n"/>
    </row>
    <row r="860">
      <c r="A860" s="18" t="n"/>
      <c r="B860" s="18" t="n"/>
      <c r="C860" s="18" t="n"/>
    </row>
    <row r="861">
      <c r="A861" s="18" t="n"/>
      <c r="B861" s="18" t="n"/>
      <c r="C861" s="18" t="n"/>
    </row>
    <row r="862">
      <c r="A862" s="18" t="n"/>
      <c r="B862" s="18" t="n"/>
      <c r="C862" s="18" t="n"/>
    </row>
    <row r="863">
      <c r="A863" s="18" t="n"/>
      <c r="B863" s="18" t="n"/>
      <c r="C863" s="18" t="n"/>
    </row>
    <row r="864">
      <c r="A864" s="18" t="n"/>
      <c r="B864" s="18" t="n"/>
      <c r="C864" s="18" t="n"/>
    </row>
    <row r="865">
      <c r="A865" s="18" t="n"/>
      <c r="B865" s="18" t="n"/>
      <c r="C865" s="18" t="n"/>
    </row>
    <row r="866">
      <c r="A866" s="18" t="n"/>
      <c r="B866" s="18" t="n"/>
      <c r="C866" s="18" t="n"/>
    </row>
    <row r="867">
      <c r="A867" s="18" t="n"/>
      <c r="B867" s="18" t="n"/>
      <c r="C867" s="18" t="n"/>
    </row>
    <row r="868">
      <c r="A868" s="18" t="n"/>
      <c r="B868" s="18" t="n"/>
      <c r="C868" s="18" t="n"/>
    </row>
    <row r="869">
      <c r="A869" s="18" t="n"/>
      <c r="B869" s="18" t="n"/>
      <c r="C869" s="18" t="n"/>
    </row>
    <row r="870">
      <c r="A870" s="18" t="n"/>
      <c r="B870" s="18" t="n"/>
      <c r="C870" s="18" t="n"/>
    </row>
    <row r="871">
      <c r="A871" s="18" t="n"/>
      <c r="B871" s="18" t="n"/>
      <c r="C871" s="18" t="n"/>
    </row>
    <row r="872">
      <c r="A872" s="18" t="n"/>
      <c r="B872" s="18" t="n"/>
      <c r="C872" s="18" t="n"/>
    </row>
    <row r="873">
      <c r="A873" s="18" t="n"/>
      <c r="B873" s="18" t="n"/>
      <c r="C873" s="18" t="n"/>
    </row>
    <row r="874">
      <c r="A874" s="18" t="n"/>
      <c r="B874" s="18" t="n"/>
      <c r="C874" s="18" t="n"/>
    </row>
    <row r="875">
      <c r="A875" s="18" t="n"/>
      <c r="B875" s="18" t="n"/>
      <c r="C875" s="18" t="n"/>
    </row>
    <row r="876">
      <c r="A876" s="18" t="n"/>
      <c r="B876" s="18" t="n"/>
      <c r="C876" s="18" t="n"/>
    </row>
    <row r="877">
      <c r="A877" s="18" t="n"/>
      <c r="B877" s="18" t="n"/>
      <c r="C877" s="18" t="n"/>
    </row>
    <row r="878">
      <c r="A878" s="18" t="n"/>
      <c r="B878" s="18" t="n"/>
      <c r="C878" s="18" t="n"/>
    </row>
    <row r="879">
      <c r="A879" s="18" t="n"/>
      <c r="B879" s="18" t="n"/>
      <c r="C879" s="18" t="n"/>
    </row>
    <row r="880">
      <c r="A880" s="18" t="n"/>
      <c r="B880" s="18" t="n"/>
      <c r="C880" s="18" t="n"/>
    </row>
    <row r="881">
      <c r="A881" s="18" t="n"/>
      <c r="B881" s="18" t="n"/>
      <c r="C881" s="18" t="n"/>
    </row>
    <row r="882">
      <c r="A882" s="18" t="n"/>
      <c r="B882" s="18" t="n"/>
      <c r="C882" s="18" t="n"/>
    </row>
    <row r="883">
      <c r="A883" s="18" t="n"/>
      <c r="B883" s="18" t="n"/>
      <c r="C883" s="18" t="n"/>
    </row>
    <row r="884">
      <c r="A884" s="18" t="n"/>
      <c r="B884" s="18" t="n"/>
      <c r="C884" s="18" t="n"/>
    </row>
    <row r="885">
      <c r="A885" s="18" t="n"/>
      <c r="B885" s="18" t="n"/>
      <c r="C885" s="18" t="n"/>
    </row>
    <row r="886">
      <c r="A886" s="18" t="n"/>
      <c r="B886" s="18" t="n"/>
      <c r="C886" s="18" t="n"/>
    </row>
    <row r="887">
      <c r="A887" s="18" t="n"/>
      <c r="B887" s="18" t="n"/>
      <c r="C887" s="18" t="n"/>
    </row>
    <row r="888">
      <c r="A888" s="18" t="n"/>
      <c r="B888" s="18" t="n"/>
      <c r="C888" s="18" t="n"/>
    </row>
    <row r="889">
      <c r="A889" s="18" t="n"/>
      <c r="B889" s="18" t="n"/>
      <c r="C889" s="18" t="n"/>
    </row>
    <row r="890">
      <c r="A890" s="18" t="n"/>
      <c r="B890" s="18" t="n"/>
      <c r="C890" s="18" t="n"/>
    </row>
    <row r="891">
      <c r="A891" s="18" t="n"/>
      <c r="B891" s="18" t="n"/>
      <c r="C891" s="18" t="n"/>
    </row>
    <row r="892">
      <c r="A892" s="18" t="n"/>
      <c r="B892" s="18" t="n"/>
      <c r="C892" s="18" t="n"/>
    </row>
    <row r="893">
      <c r="A893" s="18" t="n"/>
      <c r="B893" s="18" t="n"/>
      <c r="C893" s="18" t="n"/>
    </row>
    <row r="894">
      <c r="A894" s="18" t="n"/>
      <c r="B894" s="18" t="n"/>
      <c r="C894" s="18" t="n"/>
    </row>
    <row r="895">
      <c r="A895" s="18" t="n"/>
      <c r="B895" s="18" t="n"/>
      <c r="C895" s="18" t="n"/>
    </row>
    <row r="896">
      <c r="A896" s="18" t="n"/>
      <c r="B896" s="18" t="n"/>
      <c r="C896" s="18" t="n"/>
    </row>
    <row r="897">
      <c r="A897" s="18" t="n"/>
      <c r="B897" s="18" t="n"/>
      <c r="C897" s="18" t="n"/>
    </row>
    <row r="898">
      <c r="A898" s="18" t="n"/>
      <c r="B898" s="18" t="n"/>
      <c r="C898" s="18" t="n"/>
    </row>
    <row r="899">
      <c r="A899" s="18" t="n"/>
      <c r="B899" s="18" t="n"/>
      <c r="C899" s="18" t="n"/>
    </row>
    <row r="900">
      <c r="A900" s="18" t="n"/>
      <c r="B900" s="18" t="n"/>
      <c r="C900" s="18" t="n"/>
    </row>
    <row r="901">
      <c r="A901" s="18" t="n"/>
      <c r="B901" s="18" t="n"/>
      <c r="C901" s="18" t="n"/>
    </row>
    <row r="902">
      <c r="A902" s="18" t="n"/>
      <c r="B902" s="18" t="n"/>
      <c r="C902" s="18" t="n"/>
    </row>
    <row r="903">
      <c r="A903" s="18" t="n"/>
      <c r="B903" s="18" t="n"/>
      <c r="C903" s="18" t="n"/>
    </row>
    <row r="904">
      <c r="A904" s="18" t="n"/>
      <c r="B904" s="18" t="n"/>
      <c r="C904" s="18" t="n"/>
    </row>
    <row r="905">
      <c r="A905" s="18" t="n"/>
      <c r="B905" s="18" t="n"/>
      <c r="C905" s="18" t="n"/>
    </row>
    <row r="906">
      <c r="A906" s="18" t="n"/>
      <c r="B906" s="18" t="n"/>
      <c r="C906" s="18" t="n"/>
    </row>
    <row r="907">
      <c r="A907" s="18" t="n"/>
      <c r="B907" s="18" t="n"/>
      <c r="C907" s="18" t="n"/>
    </row>
    <row r="908">
      <c r="A908" s="18" t="n"/>
      <c r="B908" s="18" t="n"/>
      <c r="C908" s="18" t="n"/>
    </row>
    <row r="909">
      <c r="A909" s="18" t="n"/>
      <c r="B909" s="18" t="n"/>
      <c r="C909" s="18" t="n"/>
    </row>
    <row r="910">
      <c r="A910" s="18" t="n"/>
      <c r="B910" s="18" t="n"/>
      <c r="C910" s="18" t="n"/>
    </row>
    <row r="911">
      <c r="A911" s="18" t="n"/>
      <c r="B911" s="18" t="n"/>
      <c r="C911" s="18" t="n"/>
    </row>
    <row r="912">
      <c r="A912" s="18" t="n"/>
      <c r="B912" s="18" t="n"/>
      <c r="C912" s="18" t="n"/>
    </row>
    <row r="913">
      <c r="A913" s="18" t="n"/>
      <c r="B913" s="18" t="n"/>
      <c r="C913" s="18" t="n"/>
    </row>
    <row r="914">
      <c r="A914" s="18" t="n"/>
      <c r="B914" s="18" t="n"/>
      <c r="C914" s="18" t="n"/>
    </row>
    <row r="915">
      <c r="A915" s="18" t="n"/>
      <c r="B915" s="18" t="n"/>
      <c r="C915" s="18" t="n"/>
    </row>
    <row r="916">
      <c r="A916" s="18" t="n"/>
      <c r="B916" s="18" t="n"/>
      <c r="C916" s="18" t="n"/>
    </row>
    <row r="917">
      <c r="A917" s="18" t="n"/>
      <c r="B917" s="18" t="n"/>
      <c r="C917" s="18" t="n"/>
    </row>
    <row r="918">
      <c r="A918" s="18" t="n"/>
      <c r="B918" s="18" t="n"/>
      <c r="C918" s="18" t="n"/>
    </row>
    <row r="919">
      <c r="A919" s="18" t="n"/>
      <c r="B919" s="18" t="n"/>
      <c r="C919" s="18" t="n"/>
    </row>
    <row r="920">
      <c r="A920" s="18" t="n"/>
      <c r="B920" s="18" t="n"/>
      <c r="C920" s="18" t="n"/>
    </row>
    <row r="921">
      <c r="A921" s="18" t="n"/>
      <c r="B921" s="18" t="n"/>
      <c r="C921" s="18" t="n"/>
    </row>
    <row r="922">
      <c r="A922" s="18" t="n"/>
      <c r="B922" s="18" t="n"/>
      <c r="C922" s="18" t="n"/>
    </row>
    <row r="923">
      <c r="A923" s="18" t="n"/>
      <c r="B923" s="18" t="n"/>
      <c r="C923" s="18" t="n"/>
    </row>
    <row r="924">
      <c r="A924" s="18" t="n"/>
      <c r="B924" s="18" t="n"/>
      <c r="C924" s="18" t="n"/>
    </row>
    <row r="925">
      <c r="A925" s="18" t="n"/>
      <c r="B925" s="18" t="n"/>
      <c r="C925" s="18" t="n"/>
    </row>
    <row r="926">
      <c r="A926" s="18" t="n"/>
      <c r="B926" s="18" t="n"/>
      <c r="C926" s="18" t="n"/>
    </row>
    <row r="927">
      <c r="A927" s="18" t="n"/>
      <c r="B927" s="18" t="n"/>
      <c r="C927" s="18" t="n"/>
    </row>
    <row r="928">
      <c r="A928" s="18" t="n"/>
      <c r="B928" s="18" t="n"/>
      <c r="C928" s="18" t="n"/>
    </row>
    <row r="929">
      <c r="A929" s="18" t="n"/>
      <c r="B929" s="18" t="n"/>
      <c r="C929" s="18" t="n"/>
    </row>
    <row r="930">
      <c r="A930" s="18" t="n"/>
      <c r="B930" s="18" t="n"/>
      <c r="C930" s="18" t="n"/>
    </row>
    <row r="931">
      <c r="A931" s="18" t="n"/>
      <c r="B931" s="18" t="n"/>
      <c r="C931" s="18" t="n"/>
    </row>
    <row r="932">
      <c r="A932" s="18" t="n"/>
      <c r="B932" s="18" t="n"/>
      <c r="C932" s="18" t="n"/>
    </row>
    <row r="933">
      <c r="A933" s="18" t="n"/>
      <c r="B933" s="18" t="n"/>
      <c r="C933" s="18" t="n"/>
    </row>
    <row r="934">
      <c r="A934" s="18" t="n"/>
      <c r="B934" s="18" t="n"/>
      <c r="C934" s="18" t="n"/>
    </row>
    <row r="935">
      <c r="A935" s="18" t="n"/>
      <c r="B935" s="18" t="n"/>
      <c r="C935" s="18" t="n"/>
    </row>
    <row r="936">
      <c r="A936" s="18" t="n"/>
      <c r="B936" s="18" t="n"/>
      <c r="C936" s="18" t="n"/>
    </row>
    <row r="937">
      <c r="A937" s="18" t="n"/>
      <c r="B937" s="18" t="n"/>
      <c r="C937" s="18" t="n"/>
    </row>
    <row r="938">
      <c r="A938" s="18" t="n"/>
      <c r="B938" s="18" t="n"/>
      <c r="C938" s="18" t="n"/>
    </row>
    <row r="939">
      <c r="A939" s="18" t="n"/>
      <c r="B939" s="18" t="n"/>
      <c r="C939" s="18" t="n"/>
    </row>
    <row r="940">
      <c r="A940" s="18" t="n"/>
      <c r="B940" s="18" t="n"/>
      <c r="C940" s="18" t="n"/>
    </row>
    <row r="941">
      <c r="A941" s="18" t="n"/>
      <c r="B941" s="18" t="n"/>
      <c r="C941" s="18" t="n"/>
    </row>
    <row r="942">
      <c r="A942" s="18" t="n"/>
      <c r="B942" s="18" t="n"/>
      <c r="C942" s="18" t="n"/>
    </row>
    <row r="943">
      <c r="A943" s="18" t="n"/>
      <c r="B943" s="18" t="n"/>
      <c r="C943" s="18" t="n"/>
    </row>
    <row r="944">
      <c r="A944" s="18" t="n"/>
      <c r="B944" s="18" t="n"/>
      <c r="C944" s="18" t="n"/>
    </row>
    <row r="945">
      <c r="A945" s="18" t="n"/>
      <c r="B945" s="18" t="n"/>
      <c r="C945" s="18" t="n"/>
    </row>
    <row r="946">
      <c r="A946" s="18" t="n"/>
      <c r="B946" s="18" t="n"/>
      <c r="C946" s="18" t="n"/>
    </row>
    <row r="947">
      <c r="A947" s="18" t="n"/>
      <c r="B947" s="18" t="n"/>
      <c r="C947" s="18" t="n"/>
    </row>
    <row r="948">
      <c r="A948" s="18" t="n"/>
      <c r="B948" s="18" t="n"/>
      <c r="C948" s="18" t="n"/>
    </row>
    <row r="949">
      <c r="A949" s="18" t="n"/>
      <c r="B949" s="18" t="n"/>
      <c r="C949" s="18" t="n"/>
    </row>
    <row r="950">
      <c r="A950" s="18" t="n"/>
      <c r="B950" s="18" t="n"/>
      <c r="C950" s="18" t="n"/>
    </row>
    <row r="951">
      <c r="A951" s="18" t="n"/>
      <c r="B951" s="18" t="n"/>
      <c r="C951" s="18" t="n"/>
    </row>
    <row r="952">
      <c r="A952" s="18" t="n"/>
      <c r="B952" s="18" t="n"/>
      <c r="C952" s="18" t="n"/>
    </row>
    <row r="953">
      <c r="A953" s="18" t="n"/>
      <c r="B953" s="18" t="n"/>
      <c r="C953" s="18" t="n"/>
    </row>
    <row r="954">
      <c r="A954" s="18" t="n"/>
      <c r="B954" s="18" t="n"/>
      <c r="C954" s="18" t="n"/>
    </row>
    <row r="955">
      <c r="A955" s="18" t="n"/>
      <c r="B955" s="18" t="n"/>
      <c r="C955" s="18" t="n"/>
    </row>
    <row r="956">
      <c r="A956" s="18" t="n"/>
      <c r="B956" s="18" t="n"/>
      <c r="C956" s="18" t="n"/>
    </row>
    <row r="957">
      <c r="A957" s="18" t="n"/>
      <c r="B957" s="18" t="n"/>
      <c r="C957" s="18" t="n"/>
    </row>
    <row r="958">
      <c r="A958" s="18" t="n"/>
      <c r="B958" s="18" t="n"/>
      <c r="C958" s="18" t="n"/>
    </row>
    <row r="959">
      <c r="A959" s="18" t="n"/>
      <c r="B959" s="18" t="n"/>
      <c r="C959" s="18" t="n"/>
    </row>
    <row r="960">
      <c r="A960" s="18" t="n"/>
      <c r="B960" s="18" t="n"/>
      <c r="C960" s="18" t="n"/>
    </row>
    <row r="961">
      <c r="A961" s="18" t="n"/>
      <c r="B961" s="18" t="n"/>
      <c r="C961" s="18" t="n"/>
    </row>
    <row r="962">
      <c r="A962" s="18" t="n"/>
      <c r="B962" s="18" t="n"/>
      <c r="C962" s="18" t="n"/>
    </row>
    <row r="963">
      <c r="A963" s="18" t="n"/>
      <c r="B963" s="18" t="n"/>
      <c r="C963" s="18" t="n"/>
    </row>
    <row r="964">
      <c r="A964" s="18" t="n"/>
      <c r="B964" s="18" t="n"/>
      <c r="C964" s="18" t="n"/>
    </row>
    <row r="965">
      <c r="A965" s="18" t="n"/>
      <c r="B965" s="18" t="n"/>
      <c r="C965" s="18" t="n"/>
    </row>
    <row r="966">
      <c r="A966" s="18" t="n"/>
      <c r="B966" s="18" t="n"/>
      <c r="C966" s="18" t="n"/>
    </row>
    <row r="967">
      <c r="A967" s="18" t="n"/>
      <c r="B967" s="18" t="n"/>
      <c r="C967" s="18" t="n"/>
    </row>
    <row r="968">
      <c r="A968" s="18" t="n"/>
      <c r="B968" s="18" t="n"/>
      <c r="C968" s="18" t="n"/>
    </row>
    <row r="969">
      <c r="A969" s="18" t="n"/>
      <c r="B969" s="18" t="n"/>
      <c r="C969" s="18" t="n"/>
    </row>
    <row r="970">
      <c r="A970" s="18" t="n"/>
      <c r="B970" s="18" t="n"/>
      <c r="C970" s="18" t="n"/>
    </row>
    <row r="971">
      <c r="A971" s="18" t="n"/>
      <c r="B971" s="18" t="n"/>
      <c r="C971" s="18" t="n"/>
    </row>
    <row r="972">
      <c r="A972" s="18" t="n"/>
      <c r="B972" s="18" t="n"/>
      <c r="C972" s="18" t="n"/>
    </row>
    <row r="973">
      <c r="A973" s="18" t="n"/>
      <c r="B973" s="18" t="n"/>
      <c r="C973" s="18" t="n"/>
    </row>
    <row r="974">
      <c r="A974" s="18" t="n"/>
      <c r="B974" s="18" t="n"/>
      <c r="C974" s="18" t="n"/>
    </row>
    <row r="975">
      <c r="A975" s="18" t="n"/>
      <c r="B975" s="18" t="n"/>
      <c r="C975" s="18" t="n"/>
    </row>
    <row r="976">
      <c r="A976" s="18" t="n"/>
      <c r="B976" s="18" t="n"/>
      <c r="C976" s="18" t="n"/>
    </row>
    <row r="977">
      <c r="A977" s="18" t="n"/>
      <c r="B977" s="18" t="n"/>
      <c r="C977" s="18" t="n"/>
    </row>
    <row r="978">
      <c r="A978" s="18" t="n"/>
      <c r="B978" s="18" t="n"/>
      <c r="C978" s="18" t="n"/>
    </row>
    <row r="979">
      <c r="A979" s="18" t="n"/>
      <c r="B979" s="18" t="n"/>
      <c r="C979" s="18" t="n"/>
    </row>
    <row r="980">
      <c r="A980" s="18" t="n"/>
      <c r="B980" s="18" t="n"/>
      <c r="C980" s="18" t="n"/>
    </row>
    <row r="981">
      <c r="A981" s="18" t="n"/>
      <c r="B981" s="18" t="n"/>
      <c r="C981" s="18" t="n"/>
    </row>
    <row r="982">
      <c r="A982" s="18" t="n"/>
      <c r="B982" s="18" t="n"/>
      <c r="C982" s="18" t="n"/>
    </row>
    <row r="983">
      <c r="A983" s="18" t="n"/>
      <c r="B983" s="18" t="n"/>
      <c r="C983" s="18" t="n"/>
    </row>
    <row r="984">
      <c r="A984" s="18" t="n"/>
      <c r="B984" s="18" t="n"/>
      <c r="C984" s="18" t="n"/>
    </row>
    <row r="985">
      <c r="A985" s="18" t="n"/>
      <c r="B985" s="18" t="n"/>
      <c r="C985" s="18" t="n"/>
    </row>
    <row r="986">
      <c r="A986" s="18" t="n"/>
      <c r="B986" s="18" t="n"/>
      <c r="C986" s="18" t="n"/>
    </row>
    <row r="987">
      <c r="A987" s="18" t="n"/>
      <c r="B987" s="18" t="n"/>
      <c r="C987" s="18" t="n"/>
    </row>
    <row r="988">
      <c r="A988" s="18" t="n"/>
      <c r="B988" s="18" t="n"/>
      <c r="C988" s="18" t="n"/>
    </row>
    <row r="989">
      <c r="A989" s="18" t="n"/>
      <c r="B989" s="18" t="n"/>
      <c r="C989" s="18" t="n"/>
    </row>
    <row r="990">
      <c r="A990" s="18" t="n"/>
      <c r="B990" s="18" t="n"/>
      <c r="C990" s="18" t="n"/>
    </row>
    <row r="991">
      <c r="A991" s="18" t="n"/>
      <c r="B991" s="18" t="n"/>
      <c r="C991" s="18" t="n"/>
    </row>
    <row r="992">
      <c r="A992" s="18" t="n"/>
      <c r="B992" s="18" t="n"/>
      <c r="C992" s="18" t="n"/>
    </row>
    <row r="993">
      <c r="A993" s="18" t="n"/>
      <c r="B993" s="18" t="n"/>
      <c r="C993" s="18" t="n"/>
    </row>
    <row r="994">
      <c r="A994" s="18" t="n"/>
      <c r="B994" s="18" t="n"/>
      <c r="C994" s="18" t="n"/>
    </row>
    <row r="995">
      <c r="A995" s="18" t="n"/>
      <c r="B995" s="18" t="n"/>
      <c r="C995" s="18" t="n"/>
    </row>
    <row r="996">
      <c r="A996" s="18" t="n"/>
      <c r="B996" s="18" t="n"/>
      <c r="C996" s="18" t="n"/>
    </row>
    <row r="997">
      <c r="A997" s="18" t="n"/>
      <c r="B997" s="18" t="n"/>
      <c r="C997" s="18" t="n"/>
    </row>
    <row r="998">
      <c r="A998" s="18" t="n"/>
      <c r="B998" s="18" t="n"/>
      <c r="C998" s="18" t="n"/>
    </row>
    <row r="999">
      <c r="A999" s="18" t="n"/>
      <c r="B999" s="18" t="n"/>
      <c r="C999" s="18" t="n"/>
    </row>
    <row r="1000">
      <c r="A1000" s="18" t="n"/>
      <c r="B1000" s="18" t="n"/>
      <c r="C1000" s="18" t="n"/>
    </row>
    <row r="1001">
      <c r="A1001" s="18" t="n"/>
      <c r="B1001" s="18" t="n"/>
      <c r="C1001" s="18"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G1000"/>
  <sheetViews>
    <sheetView workbookViewId="0">
      <pane ySplit="1" topLeftCell="A2" activePane="bottomLeft" state="frozen"/>
      <selection pane="bottomLeft" activeCell="B3" sqref="B3"/>
    </sheetView>
  </sheetViews>
  <sheetFormatPr baseColWidth="8" defaultColWidth="12.63" defaultRowHeight="15.75" customHeight="1"/>
  <cols>
    <col width="24.5" customWidth="1" style="20" min="1" max="1"/>
    <col width="37.63" customWidth="1" style="20" min="2" max="2"/>
    <col width="22.63" customWidth="1" style="20" min="3" max="3"/>
    <col width="11.5" customWidth="1" style="20" min="4" max="4"/>
    <col width="27.75" customWidth="1" style="20" min="14" max="14"/>
    <col width="28.13" customWidth="1" style="20" min="15" max="15"/>
    <col width="27.88" customWidth="1" style="20" min="16" max="16"/>
    <col width="25" customWidth="1" style="20" min="23" max="23"/>
    <col width="29.38" customWidth="1" style="20" min="31" max="31"/>
  </cols>
  <sheetData>
    <row r="1">
      <c r="A1" s="9" t="inlineStr">
        <is>
          <t>item_name</t>
        </is>
      </c>
      <c r="B1" s="9" t="inlineStr">
        <is>
          <t>description</t>
        </is>
      </c>
      <c r="C1" s="9" t="inlineStr">
        <is>
          <t>github</t>
        </is>
      </c>
      <c r="D1" s="9" t="inlineStr">
        <is>
          <t>gist</t>
        </is>
      </c>
      <c r="E1" s="9" t="inlineStr">
        <is>
          <t>gitlab</t>
        </is>
      </c>
      <c r="F1" s="9" t="inlineStr">
        <is>
          <t>bitbucket</t>
        </is>
      </c>
      <c r="G1" s="9" t="inlineStr">
        <is>
          <t>launchpad</t>
        </is>
      </c>
      <c r="H1" s="9" t="inlineStr">
        <is>
          <t>twitter</t>
        </is>
      </c>
      <c r="I1" s="9" t="inlineStr">
        <is>
          <t>youtube</t>
        </is>
      </c>
      <c r="J1" s="9" t="inlineStr">
        <is>
          <t>blogpost</t>
        </is>
      </c>
      <c r="K1" s="9" t="inlineStr">
        <is>
          <t>cran</t>
        </is>
      </c>
      <c r="L1" s="9" t="inlineStr">
        <is>
          <t>pypi</t>
        </is>
      </c>
      <c r="M1" s="9" t="inlineStr">
        <is>
          <t>codeberg</t>
        </is>
      </c>
      <c r="N1" s="9" t="inlineStr">
        <is>
          <t>website</t>
        </is>
      </c>
      <c r="O1" s="9" t="inlineStr">
        <is>
          <t>publication</t>
        </is>
      </c>
      <c r="P1" s="9" t="inlineStr">
        <is>
          <t>DOI</t>
        </is>
      </c>
      <c r="Q1" s="9" t="inlineStr">
        <is>
          <t>author1_name</t>
        </is>
      </c>
      <c r="R1" s="9" t="inlineStr">
        <is>
          <t>author2_name</t>
        </is>
      </c>
      <c r="S1" s="9" t="inlineStr">
        <is>
          <t>author3_name</t>
        </is>
      </c>
      <c r="T1" s="9" t="inlineStr">
        <is>
          <t>author4_name</t>
        </is>
      </c>
      <c r="U1" s="9" t="inlineStr">
        <is>
          <t>author5_name</t>
        </is>
      </c>
      <c r="V1" s="9" t="inlineStr">
        <is>
          <t>author6_name</t>
        </is>
      </c>
      <c r="W1" s="9" t="inlineStr">
        <is>
          <t>category</t>
        </is>
      </c>
      <c r="X1" s="9" t="inlineStr">
        <is>
          <t>platform</t>
        </is>
      </c>
      <c r="Y1" s="9" t="inlineStr">
        <is>
          <t>tag1</t>
        </is>
      </c>
      <c r="Z1" s="9" t="inlineStr">
        <is>
          <t>tag2</t>
        </is>
      </c>
      <c r="AA1" s="9" t="inlineStr">
        <is>
          <t>tag3</t>
        </is>
      </c>
      <c r="AB1" s="9" t="inlineStr">
        <is>
          <t>tag4</t>
        </is>
      </c>
      <c r="AC1" s="9" t="inlineStr">
        <is>
          <t>tag5</t>
        </is>
      </c>
      <c r="AD1" s="9" t="inlineStr">
        <is>
          <t>notes</t>
        </is>
      </c>
      <c r="AE1" s="9" t="inlineStr">
        <is>
          <t>internetarchive</t>
        </is>
      </c>
      <c r="AF1" s="9" t="n"/>
      <c r="AG1" s="9" t="n"/>
    </row>
    <row r="2">
      <c r="A2" s="9" t="inlineStr">
        <is>
          <t>14C-power-sensitivity</t>
        </is>
      </c>
      <c r="B2" s="9" t="inlineStr">
        <is>
          <t>How wrong is wrong and how good can it get? 14C chronological model power and sensitivity analyses with OxCal and R.</t>
        </is>
      </c>
      <c r="C2" s="10" t="inlineStr">
        <is>
          <t>https://github.com/pete-jacobsson/14C-power-sensitivity</t>
        </is>
      </c>
      <c r="D2" s="9" t="n"/>
      <c r="E2" s="9" t="n"/>
      <c r="F2" s="9" t="n"/>
      <c r="G2" s="9" t="n"/>
      <c r="H2" s="9" t="n"/>
      <c r="I2" s="9" t="n"/>
      <c r="J2" s="9" t="n"/>
      <c r="K2" s="9" t="n"/>
      <c r="L2" s="9" t="n"/>
      <c r="M2" s="9" t="n"/>
      <c r="N2" s="9" t="n"/>
      <c r="O2" s="9" t="n"/>
      <c r="P2" s="9" t="n"/>
      <c r="Q2" s="9" t="inlineStr">
        <is>
          <t>pete-jacobsson</t>
        </is>
      </c>
      <c r="R2" s="9" t="n"/>
      <c r="S2" s="9" t="n"/>
      <c r="T2" s="9" t="n"/>
      <c r="U2" s="9" t="n"/>
      <c r="V2" s="9" t="n"/>
      <c r="W2" s="9" t="inlineStr">
        <is>
          <t>Packages and libraries</t>
        </is>
      </c>
      <c r="X2" s="9" t="inlineStr">
        <is>
          <t>R</t>
        </is>
      </c>
      <c r="Y2" s="9" t="inlineStr">
        <is>
          <t>Radiocarbon dating, calibration and sequencing</t>
        </is>
      </c>
      <c r="Z2" s="9" t="n"/>
      <c r="AA2" s="9" t="n"/>
      <c r="AB2" s="9" t="n"/>
      <c r="AC2" s="9" t="n"/>
      <c r="AD2" s="9" t="n"/>
      <c r="AE2" s="9" t="n"/>
      <c r="AF2" s="9" t="n"/>
      <c r="AG2" s="9" t="n"/>
    </row>
    <row r="3">
      <c r="A3" s="9" t="inlineStr">
        <is>
          <t>3D libraries of ships</t>
        </is>
      </c>
      <c r="B3" s="9" t="inlineStr">
        <is>
          <t>A 3D library of ancient (classical era) ships.</t>
        </is>
      </c>
      <c r="C3" s="9" t="n"/>
      <c r="D3" s="9" t="n"/>
      <c r="E3" s="9" t="n"/>
      <c r="F3" s="9" t="n"/>
      <c r="G3" s="9" t="n"/>
      <c r="H3" s="9" t="n"/>
      <c r="I3" s="9" t="n"/>
      <c r="J3" s="9" t="n"/>
      <c r="K3" s="9" t="n"/>
      <c r="L3" s="9" t="n"/>
      <c r="M3" s="9" t="n"/>
      <c r="N3" s="10" t="inlineStr">
        <is>
          <t>https://imareculture.eu/downloads/project-tools/3d-libraries-of-ships/</t>
        </is>
      </c>
      <c r="O3" s="9" t="n"/>
      <c r="P3" s="9" t="n"/>
      <c r="Q3" s="9" t="inlineStr">
        <is>
          <t>iMare Culture</t>
        </is>
      </c>
      <c r="R3" s="9" t="n"/>
      <c r="S3" s="9" t="n"/>
      <c r="T3" s="9" t="n"/>
      <c r="U3" s="9" t="n"/>
      <c r="V3" s="9" t="n"/>
      <c r="W3" s="9" t="inlineStr">
        <is>
          <t>Lists and datasets</t>
        </is>
      </c>
      <c r="X3" s="9" t="n"/>
      <c r="Y3" s="9" t="inlineStr">
        <is>
          <t>3D modelling</t>
        </is>
      </c>
      <c r="Z3" s="9" t="inlineStr">
        <is>
          <t>Datasets</t>
        </is>
      </c>
      <c r="AA3" s="9" t="n"/>
      <c r="AB3" s="9" t="n"/>
      <c r="AC3" s="9" t="n"/>
      <c r="AD3" s="9" t="n"/>
      <c r="AE3" s="9" t="n"/>
      <c r="AF3" s="9" t="n"/>
      <c r="AG3" s="9" t="n"/>
    </row>
    <row r="4">
      <c r="A4" s="9" t="inlineStr">
        <is>
          <t>3D_EdgeAngle</t>
        </is>
      </c>
      <c r="B4" s="9" t="inlineStr">
        <is>
          <t>Semi-automated 3D digital method to systematically quantify stone tool edge angle and design.</t>
        </is>
      </c>
      <c r="C4" s="10" t="inlineStr">
        <is>
          <t>https://github.com/lschunk/3D_EdgeAngle</t>
        </is>
      </c>
      <c r="D4" s="9" t="n"/>
      <c r="E4" s="9" t="n"/>
      <c r="F4" s="9" t="n"/>
      <c r="G4" s="9" t="n"/>
      <c r="H4" s="9" t="n"/>
      <c r="I4" s="9" t="n"/>
      <c r="J4" s="9" t="n"/>
      <c r="K4" s="9" t="n"/>
      <c r="L4" s="9" t="n"/>
      <c r="M4" s="9" t="n"/>
      <c r="N4" s="9" t="n"/>
      <c r="O4" s="9" t="n"/>
      <c r="P4" s="9" t="inlineStr">
        <is>
          <t>10.5281/zenodo.7956767</t>
        </is>
      </c>
      <c r="Q4" s="9" t="inlineStr">
        <is>
          <t>lschunk</t>
        </is>
      </c>
      <c r="R4" s="9" t="inlineStr">
        <is>
          <t>Ivan Calandra</t>
        </is>
      </c>
      <c r="S4" s="9" t="inlineStr">
        <is>
          <t>Konstantin Bob</t>
        </is>
      </c>
      <c r="T4" s="9" t="n"/>
      <c r="U4" s="9" t="n"/>
      <c r="V4" s="9" t="n"/>
      <c r="W4" s="9" t="inlineStr">
        <is>
          <t>Packages and libraries</t>
        </is>
      </c>
      <c r="X4" s="9" t="inlineStr">
        <is>
          <t>Python</t>
        </is>
      </c>
      <c r="Y4" s="9" t="inlineStr">
        <is>
          <t>Artefact morphology</t>
        </is>
      </c>
      <c r="Z4" s="9" t="inlineStr">
        <is>
          <t>3D modelling</t>
        </is>
      </c>
      <c r="AA4" s="9" t="n"/>
      <c r="AB4" s="9" t="n"/>
      <c r="AC4" s="9" t="n"/>
      <c r="AD4" s="9" t="n"/>
      <c r="AE4" s="9" t="n"/>
      <c r="AF4" s="9" t="n"/>
      <c r="AG4" s="9" t="n"/>
    </row>
    <row r="5">
      <c r="A5" s="9" t="inlineStr">
        <is>
          <t>3d_spatial_ripley_analyses</t>
        </is>
      </c>
      <c r="B5" s="9" t="inlineStr">
        <is>
          <t>Test spatial associations of objects in three dimensions by using the Ripley's K function.</t>
        </is>
      </c>
      <c r="C5" s="10" t="inlineStr">
        <is>
          <t>https://github.com/marchaeologist/3d_spatial_ripley_analyses</t>
        </is>
      </c>
      <c r="D5" s="9" t="n"/>
      <c r="E5" s="9" t="n"/>
      <c r="F5" s="9" t="n"/>
      <c r="G5" s="9" t="n"/>
      <c r="H5" s="9" t="n"/>
      <c r="I5" s="9" t="n"/>
      <c r="J5" s="9" t="n"/>
      <c r="K5" s="9" t="n"/>
      <c r="L5" s="9" t="n"/>
      <c r="M5" s="9" t="n"/>
      <c r="N5" s="9" t="n"/>
      <c r="O5" s="9" t="n"/>
      <c r="P5" s="9" t="n"/>
      <c r="Q5" s="9" t="inlineStr">
        <is>
          <t>marchaeologist</t>
        </is>
      </c>
      <c r="R5" s="9" t="n"/>
      <c r="S5" s="9" t="n"/>
      <c r="T5" s="9" t="n"/>
      <c r="U5" s="9" t="n"/>
      <c r="V5" s="9" t="n"/>
      <c r="W5" s="9" t="inlineStr">
        <is>
          <t>Scripts</t>
        </is>
      </c>
      <c r="X5" s="9" t="inlineStr">
        <is>
          <t>R</t>
        </is>
      </c>
      <c r="Y5" s="9" t="inlineStr">
        <is>
          <t>Site mapping</t>
        </is>
      </c>
      <c r="Z5" s="9" t="inlineStr">
        <is>
          <t>Spatial analysis</t>
        </is>
      </c>
      <c r="AA5" s="9" t="n"/>
      <c r="AB5" s="9" t="n"/>
      <c r="AC5" s="9" t="n"/>
      <c r="AD5" s="9" t="n"/>
      <c r="AE5" s="9" t="n"/>
      <c r="AF5" s="9" t="n"/>
      <c r="AG5" s="9" t="n"/>
    </row>
    <row r="6">
      <c r="A6" s="9" t="inlineStr">
        <is>
          <t>3d-ceramics</t>
        </is>
      </c>
      <c r="B6" s="9" t="inlineStr">
        <is>
          <t>3d models of archaeological ceramics.</t>
        </is>
      </c>
      <c r="C6" s="10" t="inlineStr">
        <is>
          <t>https://github.com/sfsheath/3d-ceramics</t>
        </is>
      </c>
      <c r="D6" s="9" t="n"/>
      <c r="E6" s="9" t="n"/>
      <c r="F6" s="9" t="n"/>
      <c r="G6" s="9" t="n"/>
      <c r="H6" s="9" t="n"/>
      <c r="I6" s="9" t="n"/>
      <c r="J6" s="9" t="n"/>
      <c r="K6" s="9" t="n"/>
      <c r="L6" s="9" t="n"/>
      <c r="M6" s="9" t="n"/>
      <c r="N6" s="9" t="n"/>
      <c r="O6" s="9" t="n"/>
      <c r="P6" s="9" t="n"/>
      <c r="Q6" s="9" t="inlineStr">
        <is>
          <t>sfsheath</t>
        </is>
      </c>
      <c r="R6" s="9" t="n"/>
      <c r="S6" s="9" t="n"/>
      <c r="T6" s="9" t="n"/>
      <c r="U6" s="9" t="n"/>
      <c r="V6" s="9" t="n"/>
      <c r="W6" s="9" t="inlineStr">
        <is>
          <t>Lists and datasets</t>
        </is>
      </c>
      <c r="X6" s="9" t="n"/>
      <c r="Y6" s="9" t="inlineStr">
        <is>
          <t>3D modelling</t>
        </is>
      </c>
      <c r="Z6" s="9" t="inlineStr">
        <is>
          <t>Ceramic analysis</t>
        </is>
      </c>
      <c r="AA6" s="9" t="n"/>
      <c r="AB6" s="9" t="n"/>
      <c r="AC6" s="9" t="n"/>
      <c r="AD6" s="9" t="n"/>
      <c r="AE6" s="10" t="inlineStr">
        <is>
          <t>https://archive.org/details/github.com-sfsheath-3d-ceramics_-_2014-11-19_20-50-10</t>
        </is>
      </c>
      <c r="AF6" s="9" t="n"/>
      <c r="AG6" s="9" t="n"/>
    </row>
    <row r="7">
      <c r="A7" s="9" t="inlineStr">
        <is>
          <t>3D-ORGAN</t>
        </is>
      </c>
      <c r="B7" s="9" t="inlineStr">
        <is>
          <t>3D reconstruction of incomplete archaeological objects using a generative adversarial network (GAN).</t>
        </is>
      </c>
      <c r="C7" s="10" t="inlineStr">
        <is>
          <t>https://github.com/renato145/3D-ORGAN</t>
        </is>
      </c>
      <c r="D7" s="9" t="n"/>
      <c r="E7" s="9" t="n"/>
      <c r="F7" s="9" t="n"/>
      <c r="G7" s="9" t="n"/>
      <c r="H7" s="9" t="n"/>
      <c r="I7" s="9" t="n"/>
      <c r="J7" s="9" t="n"/>
      <c r="K7" s="9" t="n"/>
      <c r="L7" s="9" t="n"/>
      <c r="M7" s="9" t="n"/>
      <c r="N7" s="9" t="n"/>
      <c r="O7" s="10" t="inlineStr">
        <is>
          <t>https://dl.acm.org/doi/abs/10.1145/3208159.3208173</t>
        </is>
      </c>
      <c r="P7" s="9" t="inlineStr">
        <is>
          <t>10.1145/3208159.3208173</t>
        </is>
      </c>
      <c r="Q7" s="9" t="inlineStr">
        <is>
          <t>Renato Hermoza</t>
        </is>
      </c>
      <c r="R7" s="9" t="inlineStr">
        <is>
          <t>Ivan Sipiran</t>
        </is>
      </c>
      <c r="S7" s="9" t="n"/>
      <c r="T7" s="9" t="n"/>
      <c r="U7" s="9" t="n"/>
      <c r="V7" s="9" t="n"/>
      <c r="W7" s="9" t="inlineStr">
        <is>
          <t>Scripts</t>
        </is>
      </c>
      <c r="X7" s="9" t="inlineStr">
        <is>
          <t>Python</t>
        </is>
      </c>
      <c r="Y7" s="9" t="inlineStr">
        <is>
          <t>3D modelling</t>
        </is>
      </c>
      <c r="Z7" s="9" t="n"/>
      <c r="AA7" s="9" t="n"/>
      <c r="AB7" s="9" t="n"/>
      <c r="AC7" s="9" t="n"/>
      <c r="AD7" s="9" t="n"/>
      <c r="AE7" s="10" t="inlineStr">
        <is>
          <t>https://archive.org/details/github.com-renato145-3D-ORGAN_-_2020-02-20_02-43-58</t>
        </is>
      </c>
      <c r="AF7" s="9" t="n"/>
      <c r="AG7" s="9" t="n"/>
    </row>
    <row r="8">
      <c r="A8" s="9" t="inlineStr">
        <is>
          <t>3D-survey-collection</t>
        </is>
      </c>
      <c r="B8" s="9" t="inlineStr">
        <is>
          <t>Blender addon that simplifies the tasks involved in the management and optimization of the archaeological and architectonic 3D record.</t>
        </is>
      </c>
      <c r="C8" s="10" t="inlineStr">
        <is>
          <t>https://github.com/zalmoxes-laran/3D-survey-collection</t>
        </is>
      </c>
      <c r="D8" s="9" t="n"/>
      <c r="E8" s="9" t="n"/>
      <c r="F8" s="9" t="n"/>
      <c r="G8" s="9" t="n"/>
      <c r="H8" s="9" t="n"/>
      <c r="I8" s="9" t="n"/>
      <c r="J8" s="9" t="n"/>
      <c r="K8" s="9" t="n"/>
      <c r="L8" s="9" t="n"/>
      <c r="M8" s="9" t="n"/>
      <c r="N8" s="9" t="n"/>
      <c r="O8" s="9" t="n"/>
      <c r="P8" s="9" t="n"/>
      <c r="Q8" s="9" t="inlineStr">
        <is>
          <t>zalmoxes-laran</t>
        </is>
      </c>
      <c r="R8" s="9" t="n"/>
      <c r="S8" s="9" t="n"/>
      <c r="T8" s="9" t="n"/>
      <c r="U8" s="9" t="n"/>
      <c r="V8" s="9" t="n"/>
      <c r="W8" s="9" t="inlineStr">
        <is>
          <t>Packages and libraries</t>
        </is>
      </c>
      <c r="X8" s="9" t="inlineStr">
        <is>
          <t>Blender</t>
        </is>
      </c>
      <c r="Y8" s="9" t="inlineStr">
        <is>
          <t>3D modelling</t>
        </is>
      </c>
      <c r="Z8" s="9" t="n"/>
      <c r="AA8" s="9" t="n"/>
      <c r="AB8" s="9" t="n"/>
      <c r="AC8" s="9" t="n"/>
      <c r="AD8" s="9" t="n"/>
      <c r="AE8" s="9" t="n"/>
      <c r="AF8" s="9" t="n"/>
      <c r="AG8" s="9" t="n"/>
    </row>
    <row r="9">
      <c r="A9" s="9" t="inlineStr">
        <is>
          <t>A bibliography of public archaeology and archaeological heritage management in the Mediterranean</t>
        </is>
      </c>
      <c r="B9" s="9" t="inlineStr">
        <is>
          <t>A collection of references about public archaeology and archaeological heritage management in/from the Mediterranean.</t>
        </is>
      </c>
      <c r="C9" s="9" t="n"/>
      <c r="D9" s="9" t="n"/>
      <c r="E9" s="9" t="n"/>
      <c r="F9" s="9" t="n"/>
      <c r="G9" s="9" t="n"/>
      <c r="H9" s="9" t="n"/>
      <c r="I9" s="9" t="n"/>
      <c r="J9" s="9" t="n"/>
      <c r="K9" s="9" t="n"/>
      <c r="L9" s="9" t="n"/>
      <c r="M9" s="9" t="n"/>
      <c r="N9" s="10" t="inlineStr">
        <is>
          <t>https://digital.csic.es/handle/10261/223340</t>
        </is>
      </c>
      <c r="O9" s="10" t="inlineStr">
        <is>
          <t>https://doi.org/10.20350/digitalCSIC/12720</t>
        </is>
      </c>
      <c r="P9" s="9" t="n"/>
      <c r="Q9" s="9" t="inlineStr">
        <is>
          <t>Jaime Almansa Sánchez</t>
        </is>
      </c>
      <c r="R9" s="9" t="n"/>
      <c r="S9" s="9" t="n"/>
      <c r="T9" s="9" t="n"/>
      <c r="U9" s="9" t="n"/>
      <c r="V9" s="9" t="n"/>
      <c r="W9" s="9" t="inlineStr">
        <is>
          <t>Lists and datasets</t>
        </is>
      </c>
      <c r="X9" s="9" t="n"/>
      <c r="Y9" s="9" t="inlineStr">
        <is>
          <t>Bibliography</t>
        </is>
      </c>
      <c r="Z9" s="9" t="inlineStr">
        <is>
          <t>Public archaeology</t>
        </is>
      </c>
      <c r="AA9" s="9" t="n"/>
      <c r="AB9" s="9" t="n"/>
      <c r="AC9" s="9" t="n"/>
      <c r="AD9" s="9" t="n"/>
      <c r="AE9" s="9" t="n"/>
      <c r="AF9" s="9" t="n"/>
      <c r="AG9" s="9" t="n"/>
    </row>
    <row r="10">
      <c r="A10" s="9" t="inlineStr">
        <is>
          <t>A Mobile Data-Collection Workflow for Archaeologists</t>
        </is>
      </c>
      <c r="B10" s="9" t="inlineStr">
        <is>
          <t>A list of tools and resource for data collection and processing in the field.</t>
        </is>
      </c>
      <c r="C10" s="9" t="n"/>
      <c r="D10" s="9" t="n"/>
      <c r="E10" s="9" t="n"/>
      <c r="F10" s="9" t="n"/>
      <c r="G10" s="9" t="n"/>
      <c r="H10" s="9" t="n"/>
      <c r="I10" s="9" t="n"/>
      <c r="J10" s="10" t="inlineStr">
        <is>
          <t>http://isaacullah.github.io/A-mobile-field-data-collection-workflow/</t>
        </is>
      </c>
      <c r="K10" s="9" t="n"/>
      <c r="L10" s="9" t="n"/>
      <c r="M10" s="9" t="n"/>
      <c r="N10" s="9" t="n"/>
      <c r="O10" s="9" t="n"/>
      <c r="P10" s="9" t="n"/>
      <c r="Q10" s="9" t="inlineStr">
        <is>
          <t>isaacullah</t>
        </is>
      </c>
      <c r="R10" s="9" t="n"/>
      <c r="S10" s="9" t="n"/>
      <c r="T10" s="9" t="n"/>
      <c r="U10" s="9" t="n"/>
      <c r="V10" s="9" t="n"/>
      <c r="W10" s="9" t="inlineStr">
        <is>
          <t>Guides</t>
        </is>
      </c>
      <c r="X10" s="9" t="n"/>
      <c r="Y10" s="9" t="inlineStr">
        <is>
          <t>Educational resources and practical guides</t>
        </is>
      </c>
      <c r="Z10" s="9" t="n"/>
      <c r="AA10" s="9" t="n"/>
      <c r="AB10" s="9" t="n"/>
      <c r="AC10" s="9" t="n"/>
      <c r="AD10" s="9" t="n"/>
      <c r="AE10" s="9" t="n"/>
      <c r="AF10" s="9" t="n"/>
      <c r="AG10" s="9" t="n"/>
    </row>
    <row r="11">
      <c r="A11" s="9" t="inlineStr">
        <is>
          <t>a-scientific-computing-environment-for-archaeology.txt</t>
        </is>
      </c>
      <c r="B11" s="9" t="inlineStr">
        <is>
          <t>Scientific Computing Environment for archaeology: Installing R, Rstudio and other things on a lightweight Linux in a VirtualBox virtual machine</t>
        </is>
      </c>
      <c r="C11" s="9" t="n"/>
      <c r="D11" s="10" t="inlineStr">
        <is>
          <t>https://gist.github.com/benmarwick/11204658</t>
        </is>
      </c>
      <c r="E11" s="9" t="n"/>
      <c r="F11" s="9" t="n"/>
      <c r="G11" s="9" t="n"/>
      <c r="H11" s="9" t="n"/>
      <c r="I11" s="9" t="n"/>
      <c r="J11" s="9" t="n"/>
      <c r="K11" s="9" t="n"/>
      <c r="L11" s="9" t="n"/>
      <c r="M11" s="9" t="n"/>
      <c r="N11" s="9" t="n"/>
      <c r="O11" s="9" t="n"/>
      <c r="P11" s="9" t="n"/>
      <c r="Q11" s="9" t="inlineStr">
        <is>
          <t>benmarwick</t>
        </is>
      </c>
      <c r="R11" s="9" t="n"/>
      <c r="S11" s="9" t="n"/>
      <c r="T11" s="9" t="n"/>
      <c r="U11" s="9" t="n"/>
      <c r="V11" s="9" t="n"/>
      <c r="W11" s="9" t="inlineStr">
        <is>
          <t>Guides</t>
        </is>
      </c>
      <c r="X11" s="9" t="n"/>
      <c r="Y11" s="9" t="inlineStr">
        <is>
          <t>Educational resources and practical guides</t>
        </is>
      </c>
      <c r="Z11" s="9" t="n"/>
      <c r="AA11" s="9" t="n"/>
      <c r="AB11" s="9" t="n"/>
      <c r="AC11" s="9" t="n"/>
      <c r="AD11" s="9" t="n"/>
      <c r="AE11" s="10" t="inlineStr">
        <is>
          <t>https://archive.org/details/gist.github.com-11204658_-_2018-05-14_19-32-35</t>
        </is>
      </c>
      <c r="AF11" s="9" t="n"/>
      <c r="AG11" s="9" t="n"/>
    </row>
    <row r="12">
      <c r="A12" s="9" t="inlineStr">
        <is>
          <t>ABC of Archaeobotanical Open Science</t>
        </is>
      </c>
      <c r="B12" s="9" t="inlineStr">
        <is>
          <t>A list of terms related to open archaeobotanical science.</t>
        </is>
      </c>
      <c r="C12" s="9" t="n"/>
      <c r="D12" s="9" t="n"/>
      <c r="E12" s="9" t="n"/>
      <c r="F12" s="9" t="n"/>
      <c r="G12" s="9" t="n"/>
      <c r="H12" s="9" t="n"/>
      <c r="I12" s="9" t="n"/>
      <c r="J12" s="10" t="inlineStr">
        <is>
          <t>https://ekaroune.github.io/The-Open-Archaeobotanist/abcofarchaeobotanicalopenscience/</t>
        </is>
      </c>
      <c r="K12" s="9" t="n"/>
      <c r="L12" s="9" t="n"/>
      <c r="M12" s="9" t="n"/>
      <c r="N12" s="9" t="n"/>
      <c r="O12" s="9" t="n"/>
      <c r="P12" s="9" t="n"/>
      <c r="Q12" s="9" t="inlineStr">
        <is>
          <t>ekaroune</t>
        </is>
      </c>
      <c r="R12" s="9" t="n"/>
      <c r="S12" s="9" t="n"/>
      <c r="T12" s="9" t="n"/>
      <c r="U12" s="9" t="n"/>
      <c r="V12" s="9" t="n"/>
      <c r="W12" s="9" t="inlineStr">
        <is>
          <t>Lists and datasets</t>
        </is>
      </c>
      <c r="X12" s="9" t="n"/>
      <c r="Y12" s="9" t="inlineStr">
        <is>
          <t>Lists</t>
        </is>
      </c>
      <c r="Z12" s="9" t="inlineStr">
        <is>
          <t>Educational resources and practical guides</t>
        </is>
      </c>
      <c r="AA12" s="9" t="n"/>
      <c r="AB12" s="9" t="n"/>
      <c r="AC12" s="9" t="n"/>
      <c r="AD12" s="9" t="n"/>
      <c r="AE12" s="9" t="n"/>
      <c r="AF12" s="9" t="n"/>
      <c r="AG12" s="9" t="n"/>
    </row>
    <row r="13">
      <c r="A13" s="9" t="inlineStr">
        <is>
          <t>ABM tutorials</t>
        </is>
      </c>
      <c r="B13" s="9" t="inlineStr">
        <is>
          <t>A collection of tutorial on agent-based modelling for archaeologists.</t>
        </is>
      </c>
      <c r="C13" s="10" t="inlineStr">
        <is>
          <t>https://github.com/izaromanowska/ABM_tutorials</t>
        </is>
      </c>
      <c r="D13" s="9" t="n"/>
      <c r="E13" s="9" t="n"/>
      <c r="F13" s="9" t="n"/>
      <c r="G13" s="9" t="n"/>
      <c r="H13" s="9" t="n"/>
      <c r="I13" s="9" t="n"/>
      <c r="J13" s="9" t="n"/>
      <c r="K13" s="9" t="n"/>
      <c r="L13" s="9" t="n"/>
      <c r="M13" s="9" t="n"/>
      <c r="N13" s="9" t="n"/>
      <c r="O13" s="9" t="n"/>
      <c r="P13" s="9" t="n"/>
      <c r="Q13" s="9" t="inlineStr">
        <is>
          <t>izaromanowska</t>
        </is>
      </c>
      <c r="R13" s="9" t="n"/>
      <c r="S13" s="9" t="n"/>
      <c r="T13" s="9" t="n"/>
      <c r="U13" s="9" t="n"/>
      <c r="V13" s="9" t="n"/>
      <c r="W13" s="9" t="inlineStr">
        <is>
          <t>Lists and datasets</t>
        </is>
      </c>
      <c r="X13" s="9" t="n"/>
      <c r="Y13" s="9" t="inlineStr">
        <is>
          <t>Educational resources and practical guides</t>
        </is>
      </c>
      <c r="Z13" s="9" t="inlineStr">
        <is>
          <t>Simulation</t>
        </is>
      </c>
      <c r="AA13" s="9" t="n"/>
      <c r="AB13" s="9" t="n"/>
      <c r="AC13" s="9" t="n"/>
      <c r="AD13" s="9" t="n"/>
      <c r="AE13" s="10" t="inlineStr">
        <is>
          <t>https://archive.org/details/github.com-izaromanowska-ABM_tutorials_-_2019-06-21_13-17-40</t>
        </is>
      </c>
      <c r="AF13" s="9" t="n"/>
      <c r="AG13" s="9" t="n"/>
    </row>
    <row r="14">
      <c r="A14" s="9" t="inlineStr">
        <is>
          <t>ABMA</t>
        </is>
      </c>
      <c r="B14" s="9" t="inlineStr">
        <is>
          <t>Code repository and website for Agent-Based Modeling for Archaeology.</t>
        </is>
      </c>
      <c r="C14" s="10" t="inlineStr">
        <is>
          <t>https://github.com/SantaFeInstitute/ABMA</t>
        </is>
      </c>
      <c r="D14" s="9" t="n"/>
      <c r="E14" s="9" t="n"/>
      <c r="F14" s="9" t="n"/>
      <c r="G14" s="9" t="n"/>
      <c r="H14" s="9" t="n"/>
      <c r="I14" s="9" t="n"/>
      <c r="J14" s="9" t="n"/>
      <c r="K14" s="9" t="n"/>
      <c r="L14" s="9" t="n"/>
      <c r="M14" s="9" t="n"/>
      <c r="N14" s="9" t="n"/>
      <c r="O14" s="9" t="n"/>
      <c r="P14" s="9" t="n"/>
      <c r="Q14" s="9" t="inlineStr">
        <is>
          <t>SantaFeInstitute</t>
        </is>
      </c>
      <c r="R14" s="9" t="n"/>
      <c r="S14" s="9" t="n"/>
      <c r="T14" s="9" t="n"/>
      <c r="U14" s="9" t="n"/>
      <c r="V14" s="9" t="n"/>
      <c r="W14" s="9" t="inlineStr">
        <is>
          <t>Guides</t>
        </is>
      </c>
      <c r="X14" s="9" t="n"/>
      <c r="Y14" s="9" t="inlineStr">
        <is>
          <t>Educational resources and practical guides</t>
        </is>
      </c>
      <c r="Z14" s="9" t="inlineStr">
        <is>
          <t>Simulation</t>
        </is>
      </c>
      <c r="AA14" s="9" t="n"/>
      <c r="AB14" s="9" t="n"/>
      <c r="AC14" s="9" t="n"/>
      <c r="AD14" s="9" t="n"/>
      <c r="AE14" s="9" t="n"/>
      <c r="AF14" s="9" t="n"/>
      <c r="AG14" s="9" t="n"/>
    </row>
    <row r="15">
      <c r="A15" s="9" t="inlineStr">
        <is>
          <t>ABMA_tutorials</t>
        </is>
      </c>
      <c r="B15" s="9" t="inlineStr">
        <is>
          <t>A set of interactive tutorials to build agent-based models and how to use them in your work as archaeologist. These tutorials are both suitable for beginners and people who want to brush up their modelling skills.</t>
        </is>
      </c>
      <c r="C15" s="10" t="inlineStr">
        <is>
          <t>https://github.com/ABMArchaeologists/ABMA_tutorials</t>
        </is>
      </c>
      <c r="D15" s="9" t="n"/>
      <c r="E15" s="9" t="n"/>
      <c r="F15" s="9" t="n"/>
      <c r="G15" s="9" t="n"/>
      <c r="H15" s="9" t="n"/>
      <c r="I15" s="9" t="n"/>
      <c r="J15" s="9" t="n"/>
      <c r="K15" s="9" t="n"/>
      <c r="L15" s="9" t="n"/>
      <c r="M15" s="9" t="n"/>
      <c r="N15" s="10" t="inlineStr">
        <is>
          <t>https://abmarchaeologists.github.io/ABMA_website/</t>
        </is>
      </c>
      <c r="O15" s="9" t="n"/>
      <c r="P15" s="9" t="n"/>
      <c r="Q15" s="9" t="inlineStr">
        <is>
          <t>ABMArchaeologists</t>
        </is>
      </c>
      <c r="R15" s="9" t="inlineStr">
        <is>
          <t>RonaldVisser</t>
        </is>
      </c>
      <c r="S15" s="9" t="inlineStr">
        <is>
          <t>drocks13</t>
        </is>
      </c>
      <c r="T15" s="9" t="n"/>
      <c r="U15" s="9" t="n"/>
      <c r="V15" s="9" t="n"/>
      <c r="W15" s="9" t="inlineStr">
        <is>
          <t>Standalone software</t>
        </is>
      </c>
      <c r="X15" s="9" t="inlineStr">
        <is>
          <t>NetLogo</t>
        </is>
      </c>
      <c r="Y15" s="9" t="inlineStr">
        <is>
          <t>Educational resources and practical guides</t>
        </is>
      </c>
      <c r="Z15" s="9" t="inlineStr">
        <is>
          <t>Simulation</t>
        </is>
      </c>
      <c r="AA15" s="9" t="n"/>
      <c r="AB15" s="9" t="n"/>
      <c r="AC15" s="9" t="n"/>
      <c r="AD15" s="9" t="inlineStr">
        <is>
          <t>Need to add more author columns and revise the way these columns are parsed. Additional authors not currently represented include: Doug Rocks-Macqueen, Laura van der Knaap, Annemarie Jutte, , Ronald Visser, Jeroen Linssen, Tom Brughmans, Iza Romanowska, Kenneth Aitchison, Karsten Lambers.</t>
        </is>
      </c>
      <c r="AE15" s="9" t="n"/>
      <c r="AF15" s="9" t="n"/>
      <c r="AG15" s="9" t="n"/>
    </row>
    <row r="16">
      <c r="A16" s="9" t="inlineStr">
        <is>
          <t>aca_data_collection</t>
        </is>
      </c>
      <c r="B16" s="9" t="inlineStr">
        <is>
          <t>collection of archaeological data for training purposes.</t>
        </is>
      </c>
      <c r="C16" s="10" t="inlineStr">
        <is>
          <t>https://github.com/archca/aca_data_collection</t>
        </is>
      </c>
      <c r="D16" s="9" t="n"/>
      <c r="E16" s="9" t="n"/>
      <c r="F16" s="9" t="n"/>
      <c r="G16" s="9" t="n"/>
      <c r="H16" s="9" t="n"/>
      <c r="I16" s="9" t="n"/>
      <c r="J16" s="9" t="n"/>
      <c r="K16" s="9" t="n"/>
      <c r="L16" s="9" t="n"/>
      <c r="M16" s="9" t="n"/>
      <c r="N16" s="9" t="n"/>
      <c r="O16" s="9" t="n"/>
      <c r="P16" s="9" t="n"/>
      <c r="Q16" s="9" t="inlineStr">
        <is>
          <t>archca</t>
        </is>
      </c>
      <c r="R16" s="9" t="n"/>
      <c r="S16" s="9" t="n"/>
      <c r="T16" s="9" t="n"/>
      <c r="U16" s="9" t="n"/>
      <c r="V16" s="9" t="n"/>
      <c r="W16" s="9" t="inlineStr">
        <is>
          <t>Lists and datasets</t>
        </is>
      </c>
      <c r="X16" s="9" t="n"/>
      <c r="Y16" s="9" t="inlineStr">
        <is>
          <t>Datasets</t>
        </is>
      </c>
      <c r="Z16" s="9" t="n"/>
      <c r="AA16" s="9" t="n"/>
      <c r="AB16" s="9" t="n"/>
      <c r="AC16" s="9" t="n"/>
      <c r="AD16" s="9" t="n"/>
      <c r="AE16" s="10" t="inlineStr">
        <is>
          <t>https://archive.org/details/github.com-archca-aca_data_collection_-_2019-08-13_12-25-24</t>
        </is>
      </c>
      <c r="AF16" s="9" t="n"/>
      <c r="AG16" s="9" t="n"/>
    </row>
    <row r="17">
      <c r="A17" s="9" t="inlineStr">
        <is>
          <t>ADMUR</t>
        </is>
      </c>
      <c r="B17" s="9" t="inlineStr">
        <is>
          <t>Tools to directly model underlying population dynamics using chronological datasets (radiocarbon and other) with a variety of models, including Continuous Piecewise Linear (CPL) model framework, and model comparison framework using BIC. Package also calibrates 14C samples, and generates Summed Probability Distributions (SPD). CPL modelling directly estimates the most likely population trajectory given a dataset, using SPD simulation analysis to generate a Goodness-of-fit test for the best selected model.</t>
        </is>
      </c>
      <c r="C17" s="10" t="inlineStr">
        <is>
          <t>https://github.com/UCL/ADMUR</t>
        </is>
      </c>
      <c r="D17" s="9" t="n"/>
      <c r="E17" s="9" t="n"/>
      <c r="F17" s="9" t="n"/>
      <c r="G17" s="9" t="n"/>
      <c r="H17" s="9" t="n"/>
      <c r="I17" s="9" t="n"/>
      <c r="J17" s="9" t="n"/>
      <c r="K17" s="9" t="n"/>
      <c r="L17" s="9" t="n"/>
      <c r="M17" s="9" t="n"/>
      <c r="N17" s="9" t="n"/>
      <c r="O17" s="10" t="inlineStr">
        <is>
          <t>https://royalsocietypublishing.org/doi/10.1098/rstb.2019.0723</t>
        </is>
      </c>
      <c r="P17" s="9" t="inlineStr">
        <is>
          <t>10.1098/rstb.2019.0723</t>
        </is>
      </c>
      <c r="Q17" s="9" t="inlineStr">
        <is>
          <t>Adrian Timpson</t>
        </is>
      </c>
      <c r="R17" s="9" t="inlineStr">
        <is>
          <t>Ramiro Barberena</t>
        </is>
      </c>
      <c r="S17" s="9" t="inlineStr">
        <is>
          <t>Mark G. Thomas</t>
        </is>
      </c>
      <c r="T17" s="9" t="inlineStr">
        <is>
          <t>César Méndez</t>
        </is>
      </c>
      <c r="U17" s="9" t="inlineStr">
        <is>
          <t>Katie Manning</t>
        </is>
      </c>
      <c r="V17" s="9" t="n"/>
      <c r="W17" s="9" t="inlineStr">
        <is>
          <t>Packages and libraries</t>
        </is>
      </c>
      <c r="X17" s="9" t="inlineStr">
        <is>
          <t>R</t>
        </is>
      </c>
      <c r="Y17" s="9" t="inlineStr">
        <is>
          <t>Chronological modelling</t>
        </is>
      </c>
      <c r="Z17" s="9" t="n"/>
      <c r="AA17" s="9" t="n"/>
      <c r="AB17" s="9" t="n"/>
      <c r="AC17" s="9" t="n"/>
      <c r="AD17" s="9" t="n"/>
      <c r="AE17" s="10" t="inlineStr">
        <is>
          <t>https://archive.org/details/github.com-UCL-ADMUR_-_2021-01-27_11-48-18</t>
        </is>
      </c>
      <c r="AF17" s="9" t="n"/>
      <c r="AG17" s="9" t="n"/>
    </row>
    <row r="18">
      <c r="A18" s="9" t="inlineStr">
        <is>
          <t>aDRAC</t>
        </is>
      </c>
      <c r="B18" s="9" t="inlineStr">
        <is>
          <t>The Archive des datations radiocarbones d'Afrique centrale (archive for radiocarbon datings from Central Africa, aDRAC) provides a catalogue of available radiocarbon dates from Central Africa. The data cover published radiocarbon dates and essential metadata for each date as well as available references.</t>
        </is>
      </c>
      <c r="C18" s="10" t="inlineStr">
        <is>
          <t>https://github.com/dirkseidensticker/aDRAC</t>
        </is>
      </c>
      <c r="D18" s="9" t="n"/>
      <c r="E18" s="9" t="n"/>
      <c r="F18" s="9" t="n"/>
      <c r="G18" s="9" t="n"/>
      <c r="H18" s="9" t="n"/>
      <c r="I18" s="9" t="n"/>
      <c r="J18" s="9" t="n"/>
      <c r="K18" s="9" t="n"/>
      <c r="L18" s="9" t="n"/>
      <c r="M18" s="9" t="n"/>
      <c r="N18" s="9" t="n"/>
      <c r="O18" s="9" t="n"/>
      <c r="P18" s="9" t="n"/>
      <c r="Q18" s="9" t="inlineStr">
        <is>
          <t>dirkseidensticker</t>
        </is>
      </c>
      <c r="R18" s="9" t="n"/>
      <c r="S18" s="9" t="n"/>
      <c r="T18" s="9" t="n"/>
      <c r="U18" s="9" t="n"/>
      <c r="V18" s="9" t="n"/>
      <c r="W18" s="9" t="inlineStr">
        <is>
          <t>Lists and datasets</t>
        </is>
      </c>
      <c r="X18" s="9" t="n"/>
      <c r="Y18" s="9" t="inlineStr">
        <is>
          <t>Datasets</t>
        </is>
      </c>
      <c r="Z18" s="9" t="inlineStr">
        <is>
          <t>Radiocarbon dating, calibration and sequencing</t>
        </is>
      </c>
      <c r="AA18" s="9" t="n"/>
      <c r="AB18" s="9" t="n"/>
      <c r="AC18" s="9" t="n"/>
      <c r="AD18" s="9" t="n"/>
      <c r="AE18" s="10" t="inlineStr">
        <is>
          <t>https://archive.org/details/github.com-dirkseidensticker-aDRAC_-_2021-05-20_10-57-33</t>
        </is>
      </c>
      <c r="AF18" s="9" t="n"/>
      <c r="AG18" s="9" t="n"/>
    </row>
    <row r="19">
      <c r="A19" s="9" t="inlineStr">
        <is>
          <t>AIDA</t>
        </is>
      </c>
      <c r="B19" s="9" t="inlineStr">
        <is>
          <t>Dataset of 4,010 radiocarbon dates from Italy from Late Mesolithic until Late Antiquity.</t>
        </is>
      </c>
      <c r="C19" s="10" t="inlineStr">
        <is>
          <t>https://github.com/apalmisano82/AIDA</t>
        </is>
      </c>
      <c r="D19" s="9" t="n"/>
      <c r="E19" s="9" t="n"/>
      <c r="F19" s="9" t="n"/>
      <c r="G19" s="9" t="n"/>
      <c r="H19" s="9" t="n"/>
      <c r="I19" s="9" t="n"/>
      <c r="J19" s="9" t="n"/>
      <c r="K19" s="9" t="n"/>
      <c r="L19" s="9" t="n"/>
      <c r="M19" s="9" t="n"/>
      <c r="N19" s="9" t="n"/>
      <c r="O19" s="9" t="n"/>
      <c r="P19" s="9" t="n"/>
      <c r="Q19" s="9" t="inlineStr">
        <is>
          <t>apalmisano82</t>
        </is>
      </c>
      <c r="R19" s="9" t="n"/>
      <c r="S19" s="9" t="n"/>
      <c r="T19" s="9" t="n"/>
      <c r="U19" s="9" t="n"/>
      <c r="V19" s="9" t="n"/>
      <c r="W19" s="9" t="inlineStr">
        <is>
          <t>Lists and datasets</t>
        </is>
      </c>
      <c r="X19" s="9" t="n"/>
      <c r="Y19" s="9" t="inlineStr">
        <is>
          <t>Radiocarbon dating, calibration and sequencing</t>
        </is>
      </c>
      <c r="Z19" s="9" t="inlineStr">
        <is>
          <t>Datasets</t>
        </is>
      </c>
      <c r="AA19" s="9" t="n"/>
      <c r="AB19" s="9" t="n"/>
      <c r="AC19" s="9" t="n"/>
      <c r="AD19" s="9" t="n"/>
      <c r="AE19" s="9" t="n"/>
      <c r="AF19" s="9" t="n"/>
      <c r="AG19" s="9" t="n"/>
    </row>
    <row r="20">
      <c r="A20" s="9" t="inlineStr">
        <is>
          <t>aion</t>
        </is>
      </c>
      <c r="B20" s="9" t="inlineStr">
        <is>
          <t>Provides a system of classes and methods to represent and work with archaeological time-series.</t>
        </is>
      </c>
      <c r="C20" s="10" t="inlineStr">
        <is>
          <t>https://github.com/tesselle/aion</t>
        </is>
      </c>
      <c r="D20" s="9" t="n"/>
      <c r="E20" s="9" t="n"/>
      <c r="F20" s="9" t="n"/>
      <c r="G20" s="9" t="n"/>
      <c r="H20" s="9" t="n"/>
      <c r="I20" s="9" t="n"/>
      <c r="J20" s="9" t="n"/>
      <c r="K20" s="10" t="inlineStr">
        <is>
          <t>https://cran.r-project.org/package=aion</t>
        </is>
      </c>
      <c r="L20" s="9" t="n"/>
      <c r="M20" s="9" t="n"/>
      <c r="N20" s="10" t="inlineStr">
        <is>
          <t>https://packages.tesselle.org/aion/</t>
        </is>
      </c>
      <c r="O20" s="10" t="inlineStr">
        <is>
          <t>https://doi.org/10.21105/joss.06210</t>
        </is>
      </c>
      <c r="P20" s="9" t="inlineStr">
        <is>
          <t>10.5281/zenodo.8032278</t>
        </is>
      </c>
      <c r="Q20" s="9" t="inlineStr">
        <is>
          <t>tesselle</t>
        </is>
      </c>
      <c r="R20" s="9" t="n"/>
      <c r="S20" s="9" t="n"/>
      <c r="T20" s="9" t="n"/>
      <c r="U20" s="9" t="n"/>
      <c r="V20" s="9" t="n"/>
      <c r="W20" s="9" t="inlineStr">
        <is>
          <t>Packages and libraries</t>
        </is>
      </c>
      <c r="X20" s="9" t="inlineStr">
        <is>
          <t>R</t>
        </is>
      </c>
      <c r="Y20" s="9" t="inlineStr">
        <is>
          <t>Chronological modelling</t>
        </is>
      </c>
      <c r="Z20" s="9" t="n"/>
      <c r="AA20" s="9" t="n"/>
      <c r="AB20" s="9" t="n"/>
      <c r="AC20" s="9" t="n"/>
      <c r="AD20" s="9" t="n"/>
      <c r="AE20" s="9" t="n"/>
      <c r="AF20" s="9" t="n"/>
      <c r="AG20" s="9" t="n"/>
    </row>
    <row r="21">
      <c r="A21" s="9" t="inlineStr">
        <is>
          <t>AIS</t>
        </is>
      </c>
      <c r="B21" s="9" t="inlineStr">
        <is>
          <t>Archaeological Information System</t>
        </is>
      </c>
      <c r="C21" s="10" t="inlineStr">
        <is>
          <t>https://github.com/andredebuisne/AIS</t>
        </is>
      </c>
      <c r="D21" s="9" t="n"/>
      <c r="E21" s="9" t="n"/>
      <c r="F21" s="9" t="n"/>
      <c r="G21" s="9" t="n"/>
      <c r="H21" s="9" t="n"/>
      <c r="I21" s="9" t="n"/>
      <c r="J21" s="9" t="n"/>
      <c r="K21" s="9" t="n"/>
      <c r="L21" s="9" t="n"/>
      <c r="M21" s="9" t="n"/>
      <c r="N21" s="9" t="n"/>
      <c r="O21" s="9" t="n"/>
      <c r="P21" s="9" t="n"/>
      <c r="Q21" s="9" t="inlineStr">
        <is>
          <t>andredebuisne</t>
        </is>
      </c>
      <c r="R21" s="9" t="n"/>
      <c r="S21" s="9" t="n"/>
      <c r="T21" s="9" t="n"/>
      <c r="U21" s="9" t="n"/>
      <c r="V21" s="9" t="n"/>
      <c r="W21" s="9" t="inlineStr">
        <is>
          <t>Standalone software</t>
        </is>
      </c>
      <c r="X21" s="9" t="n"/>
      <c r="Y21" s="9" t="inlineStr">
        <is>
          <t>Data management</t>
        </is>
      </c>
      <c r="Z21" s="9" t="n"/>
      <c r="AA21" s="9" t="n"/>
      <c r="AB21" s="9" t="n"/>
      <c r="AC21" s="9" t="n"/>
      <c r="AD21" s="9" t="n"/>
      <c r="AE21" s="10" t="inlineStr">
        <is>
          <t>https://archive.org/details/github.com-andredebuisne-AIS_-_2017-12-24_11-44-22</t>
        </is>
      </c>
      <c r="AF21" s="9" t="n"/>
      <c r="AG21" s="9" t="n"/>
    </row>
    <row r="22">
      <c r="A22" s="9" t="inlineStr">
        <is>
          <t>Akkademia</t>
        </is>
      </c>
      <c r="B22" s="9" t="inlineStr">
        <is>
          <t>Translating Akkadian signs to transcriptions using NLP techniques such as HMM, MEMM and BiLSTM neural networks.</t>
        </is>
      </c>
      <c r="C22" s="10" t="inlineStr">
        <is>
          <t>https://github.com/gaigutherz/Akkademia</t>
        </is>
      </c>
      <c r="D22" s="9" t="n"/>
      <c r="E22" s="9" t="n"/>
      <c r="F22" s="9" t="n"/>
      <c r="G22" s="9" t="n"/>
      <c r="H22" s="9" t="n"/>
      <c r="I22" s="9" t="n"/>
      <c r="J22" s="9" t="n"/>
      <c r="K22" s="9" t="n"/>
      <c r="L22" s="9" t="n"/>
      <c r="M22" s="9" t="n"/>
      <c r="N22" s="9" t="n"/>
      <c r="O22" s="9" t="n"/>
      <c r="P22" s="9" t="n"/>
      <c r="Q22" s="9" t="inlineStr">
        <is>
          <t>gaigutherz</t>
        </is>
      </c>
      <c r="R22" s="9" t="inlineStr">
        <is>
          <t>arielazary</t>
        </is>
      </c>
      <c r="S22" s="9" t="inlineStr">
        <is>
          <t>ARomach</t>
        </is>
      </c>
      <c r="T22" s="9" t="inlineStr">
        <is>
          <t>ireman</t>
        </is>
      </c>
      <c r="U22" s="9" t="n"/>
      <c r="V22" s="9" t="n"/>
      <c r="W22" s="9" t="inlineStr">
        <is>
          <t>Packages and libraries</t>
        </is>
      </c>
      <c r="X22" s="9" t="inlineStr">
        <is>
          <t>Python</t>
        </is>
      </c>
      <c r="Y22" s="9" t="inlineStr">
        <is>
          <t>Machine learning</t>
        </is>
      </c>
      <c r="Z22" s="9" t="inlineStr">
        <is>
          <t>Literary analysis and epigraphy</t>
        </is>
      </c>
      <c r="AA22" s="9" t="n"/>
      <c r="AB22" s="9" t="n"/>
      <c r="AC22" s="9" t="n"/>
      <c r="AD22" s="9" t="n"/>
      <c r="AE22" s="9" t="n"/>
      <c r="AF22" s="9" t="n"/>
      <c r="AG22" s="9" t="n"/>
    </row>
    <row r="23">
      <c r="A23" s="9" t="inlineStr">
        <is>
          <t>Al2O3_AnalysisApp</t>
        </is>
      </c>
      <c r="B23" s="9" t="inlineStr">
        <is>
          <t>Shiny app to analyse Al2O3:C measurements</t>
        </is>
      </c>
      <c r="C23" s="10" t="inlineStr">
        <is>
          <t>https://github.com/crp2a/Al2O3_AnalysisApp</t>
        </is>
      </c>
      <c r="D23" s="9" t="n"/>
      <c r="E23" s="9" t="n"/>
      <c r="F23" s="9" t="n"/>
      <c r="G23" s="9" t="n"/>
      <c r="H23" s="9" t="n"/>
      <c r="I23" s="9" t="n"/>
      <c r="J23" s="9" t="n"/>
      <c r="K23" s="9" t="n"/>
      <c r="L23" s="9" t="n"/>
      <c r="M23" s="9" t="n"/>
      <c r="N23" s="9" t="n"/>
      <c r="O23" s="9" t="n"/>
      <c r="P23" s="9" t="n"/>
      <c r="Q23" s="9" t="inlineStr">
        <is>
          <t>RLumSK</t>
        </is>
      </c>
      <c r="R23" s="9" t="n"/>
      <c r="S23" s="9" t="n"/>
      <c r="T23" s="9" t="n"/>
      <c r="U23" s="9" t="n"/>
      <c r="V23" s="9" t="n"/>
      <c r="W23" s="9" t="inlineStr">
        <is>
          <t>Scripts</t>
        </is>
      </c>
      <c r="X23" s="9" t="inlineStr">
        <is>
          <t>R</t>
        </is>
      </c>
      <c r="Y23" s="9" t="inlineStr">
        <is>
          <t>Luminescence dating</t>
        </is>
      </c>
      <c r="Z23" s="9" t="n"/>
      <c r="AA23" s="9" t="n"/>
      <c r="AB23" s="9" t="n"/>
      <c r="AC23" s="9" t="n"/>
      <c r="AD23" s="9" t="n"/>
      <c r="AE23" s="10" t="inlineStr">
        <is>
          <t>https://archive.org/details/github.com-crp2a-Al2O3_AnalysisApp_-_2019-08-16_14-29-35</t>
        </is>
      </c>
      <c r="AF23" s="9" t="n"/>
      <c r="AG23" s="9" t="n"/>
    </row>
    <row r="24">
      <c r="A24" s="9" t="inlineStr">
        <is>
          <t>alkahest</t>
        </is>
      </c>
      <c r="B24" s="9" t="inlineStr">
        <is>
          <t>Pre-Processing XY Data from Experimental Methods.</t>
        </is>
      </c>
      <c r="C24" s="10" t="inlineStr">
        <is>
          <t>https://github.com/tesselle/alkahest</t>
        </is>
      </c>
      <c r="D24" s="9" t="n"/>
      <c r="E24" s="9" t="n"/>
      <c r="F24" s="9" t="n"/>
      <c r="G24" s="9" t="n"/>
      <c r="H24" s="9" t="n"/>
      <c r="I24" s="9" t="n"/>
      <c r="J24" s="9" t="n"/>
      <c r="K24" s="10" t="inlineStr">
        <is>
          <t>https://cran.r-project.org/package=alkahest</t>
        </is>
      </c>
      <c r="L24" s="9" t="n"/>
      <c r="M24" s="9" t="n"/>
      <c r="N24" s="10" t="inlineStr">
        <is>
          <t>https://packages.tesselle.org/alkahest/</t>
        </is>
      </c>
      <c r="O24" s="9" t="n"/>
      <c r="P24" s="9" t="inlineStr">
        <is>
          <t>10.5281/zenodo.7081524</t>
        </is>
      </c>
      <c r="Q24" s="9" t="inlineStr">
        <is>
          <t>tesselle</t>
        </is>
      </c>
      <c r="R24" s="9" t="n"/>
      <c r="S24" s="9" t="n"/>
      <c r="T24" s="9" t="n"/>
      <c r="U24" s="9" t="n"/>
      <c r="V24" s="9" t="n"/>
      <c r="W24" s="9" t="inlineStr">
        <is>
          <t>Packages and libraries</t>
        </is>
      </c>
      <c r="X24" s="9" t="inlineStr">
        <is>
          <t>R</t>
        </is>
      </c>
      <c r="Y24" s="9" t="inlineStr">
        <is>
          <t>Statistical analysis</t>
        </is>
      </c>
      <c r="Z24" s="9" t="n"/>
      <c r="AA24" s="9" t="n"/>
      <c r="AB24" s="9" t="n"/>
      <c r="AC24" s="9" t="n"/>
      <c r="AD24" s="9" t="n"/>
      <c r="AE24" s="9" t="n"/>
      <c r="AF24" s="9" t="n"/>
      <c r="AG24" s="9" t="n"/>
    </row>
    <row r="25">
      <c r="A25" s="9" t="inlineStr">
        <is>
          <t>allen-relations</t>
        </is>
      </c>
      <c r="B25" s="9" t="inlineStr">
        <is>
          <t>Allen relations from Bayesian calibration: R function to compare two indefinite intervals produced by a Bayesian calibration using the Allen algebra.</t>
        </is>
      </c>
      <c r="C25" s="10" t="inlineStr">
        <is>
          <t>https://github.com/tsdye/allen-relations</t>
        </is>
      </c>
      <c r="D25" s="9" t="n"/>
      <c r="E25" s="9" t="n"/>
      <c r="F25" s="9" t="n"/>
      <c r="G25" s="9" t="n"/>
      <c r="H25" s="9" t="n"/>
      <c r="I25" s="9" t="n"/>
      <c r="J25" s="10" t="inlineStr">
        <is>
          <t>http://tsdye.online/tsdye/posts/allen-relations/</t>
        </is>
      </c>
      <c r="K25" s="9" t="n"/>
      <c r="L25" s="9" t="n"/>
      <c r="M25" s="9" t="n"/>
      <c r="N25" s="9" t="n"/>
      <c r="O25" s="9" t="n"/>
      <c r="P25" s="9" t="n"/>
      <c r="Q25" s="9" t="inlineStr">
        <is>
          <t>tsdye</t>
        </is>
      </c>
      <c r="R25" s="9" t="n"/>
      <c r="S25" s="9" t="n"/>
      <c r="T25" s="9" t="n"/>
      <c r="U25" s="9" t="n"/>
      <c r="V25" s="9" t="n"/>
      <c r="W25" s="9" t="inlineStr">
        <is>
          <t>Packages and libraries</t>
        </is>
      </c>
      <c r="X25" s="9" t="inlineStr">
        <is>
          <t>R</t>
        </is>
      </c>
      <c r="Y25" s="9" t="inlineStr">
        <is>
          <t>Chronological modelling</t>
        </is>
      </c>
      <c r="Z25" s="9" t="n"/>
      <c r="AA25" s="9" t="n"/>
      <c r="AB25" s="9" t="n"/>
      <c r="AC25" s="9" t="n"/>
      <c r="AD25" s="9" t="n"/>
      <c r="AE25" s="10" t="inlineStr">
        <is>
          <t>https://archive.org/details/github.com-tsdye-allen-relations_-_2019-07-07_02-55-15</t>
        </is>
      </c>
      <c r="AF25" s="9" t="n"/>
      <c r="AG25" s="9" t="n"/>
    </row>
    <row r="26">
      <c r="A26" s="9" t="inlineStr">
        <is>
          <t>allen.archaeology</t>
        </is>
      </c>
      <c r="B26" s="9" t="inlineStr">
        <is>
          <t>Allen's Interval Algebra for Archaeologists.</t>
        </is>
      </c>
      <c r="C26" s="10" t="inlineStr">
        <is>
          <t>https://github.com/tsdye/allen.archaeology</t>
        </is>
      </c>
      <c r="D26" s="9" t="n"/>
      <c r="E26" s="9" t="n"/>
      <c r="F26" s="9" t="n"/>
      <c r="G26" s="9" t="n"/>
      <c r="H26" s="9" t="n"/>
      <c r="I26" s="9" t="n"/>
      <c r="J26" s="9" t="n"/>
      <c r="K26" s="9" t="n"/>
      <c r="L26" s="9" t="n"/>
      <c r="M26" s="9" t="n"/>
      <c r="N26" s="9" t="n"/>
      <c r="O26" s="9" t="n"/>
      <c r="P26" s="9" t="n"/>
      <c r="Q26" s="9" t="inlineStr">
        <is>
          <t>tsdye</t>
        </is>
      </c>
      <c r="R26" s="9" t="n"/>
      <c r="S26" s="9" t="n"/>
      <c r="T26" s="9" t="n"/>
      <c r="U26" s="9" t="n"/>
      <c r="V26" s="9" t="n"/>
      <c r="W26" s="9" t="inlineStr">
        <is>
          <t>Packages and libraries</t>
        </is>
      </c>
      <c r="X26" s="9" t="inlineStr">
        <is>
          <t>R</t>
        </is>
      </c>
      <c r="Y26" s="9" t="inlineStr">
        <is>
          <t>Statistical analysis</t>
        </is>
      </c>
      <c r="Z26" s="9" t="n"/>
      <c r="AA26" s="9" t="n"/>
      <c r="AB26" s="9" t="n"/>
      <c r="AC26" s="9" t="n"/>
      <c r="AD26" s="9" t="n"/>
      <c r="AE26" s="10" t="inlineStr">
        <is>
          <t>https://archive.org/details/github.com-tsdye-allen.archaeology_-_2021-01-08_18-37-11</t>
        </is>
      </c>
      <c r="AF26" s="9" t="n"/>
      <c r="AG26" s="9" t="n"/>
    </row>
    <row r="27">
      <c r="A27" s="9" t="inlineStr">
        <is>
          <t>Alligator</t>
        </is>
      </c>
      <c r="B27" s="9" t="inlineStr">
        <is>
          <t>A Web tool for converting CAs with dating information to relative time intervals as RDF.</t>
        </is>
      </c>
      <c r="C27" s="10" t="inlineStr">
        <is>
          <t>https://github.com/RGZM/alligator</t>
        </is>
      </c>
      <c r="D27" s="9" t="n"/>
      <c r="E27" s="9" t="n"/>
      <c r="F27" s="9" t="n"/>
      <c r="G27" s="9" t="n"/>
      <c r="H27" s="9" t="n"/>
      <c r="I27" s="9" t="n"/>
      <c r="J27" s="9" t="n"/>
      <c r="K27" s="9" t="n"/>
      <c r="L27" s="9" t="n"/>
      <c r="M27" s="9" t="n"/>
      <c r="N27" s="10" t="inlineStr">
        <is>
          <t>https://java-dev.rgzm.de/webapp_alligator/</t>
        </is>
      </c>
      <c r="O27" s="9" t="n"/>
      <c r="P27" s="9" t="n"/>
      <c r="Q27" s="9" t="inlineStr">
        <is>
          <t>florianthiery</t>
        </is>
      </c>
      <c r="R27" s="9" t="inlineStr">
        <is>
          <t>Allard Mees</t>
        </is>
      </c>
      <c r="S27" s="9" t="n"/>
      <c r="T27" s="9" t="n"/>
      <c r="U27" s="9" t="n"/>
      <c r="V27" s="9" t="n"/>
      <c r="W27" s="9" t="inlineStr">
        <is>
          <t>Standalone software</t>
        </is>
      </c>
      <c r="X27" s="9" t="n"/>
      <c r="Y27" s="9" t="inlineStr">
        <is>
          <t>Statistical analysis</t>
        </is>
      </c>
      <c r="Z27" s="9" t="inlineStr">
        <is>
          <t>Schemas and ontologies</t>
        </is>
      </c>
      <c r="AA27" s="9" t="n"/>
      <c r="AB27" s="9" t="n"/>
      <c r="AC27" s="9" t="n"/>
      <c r="AD27" s="9" t="n"/>
      <c r="AE27" s="10" t="inlineStr">
        <is>
          <t>https://archive.org/details/github.com-RGZM-alligator_-_2021-06-04_01-29-28</t>
        </is>
      </c>
      <c r="AF27" s="9" t="n"/>
      <c r="AG27" s="9" t="n"/>
    </row>
    <row r="28">
      <c r="A28" s="9" t="inlineStr">
        <is>
          <t>Analysing Stable Isotope Data</t>
        </is>
      </c>
      <c r="B28" s="9" t="inlineStr">
        <is>
          <t>Tutorial on how to visualise, analyse and interpret  stable isotope data</t>
        </is>
      </c>
      <c r="C28" s="9" t="n"/>
      <c r="D28" s="9" t="n"/>
      <c r="E28" s="9" t="n"/>
      <c r="F28" s="9" t="n"/>
      <c r="G28" s="9" t="n"/>
      <c r="H28" s="9" t="n"/>
      <c r="I28" s="9" t="n"/>
      <c r="J28" s="9" t="n"/>
      <c r="K28" s="9" t="n"/>
      <c r="L28" s="9" t="n"/>
      <c r="M28" s="9" t="n"/>
      <c r="N28" s="10" t="inlineStr">
        <is>
          <t>https://sites.google.com/view/brianhayden/teaching/analyzing-stable-isotope-data</t>
        </is>
      </c>
      <c r="O28" s="9" t="n"/>
      <c r="P28" s="9" t="n"/>
      <c r="Q28" s="9" t="inlineStr">
        <is>
          <t>Brian Hayden</t>
        </is>
      </c>
      <c r="R28" s="9" t="n"/>
      <c r="S28" s="9" t="n"/>
      <c r="T28" s="9" t="n"/>
      <c r="U28" s="9" t="n"/>
      <c r="V28" s="9" t="n"/>
      <c r="W28" s="9" t="inlineStr">
        <is>
          <t>Guides</t>
        </is>
      </c>
      <c r="X28" s="9" t="n"/>
      <c r="Y28" s="9" t="inlineStr">
        <is>
          <t>Educational resources and practical guides</t>
        </is>
      </c>
      <c r="Z28" s="9" t="inlineStr">
        <is>
          <t>Stable isotope analysis</t>
        </is>
      </c>
      <c r="AA28" s="9" t="inlineStr">
        <is>
          <t>Diagrams and visualizations</t>
        </is>
      </c>
      <c r="AB28" s="9" t="n"/>
      <c r="AC28" s="9" t="n"/>
      <c r="AD28" s="9" t="n"/>
      <c r="AE28" s="9" t="n"/>
      <c r="AF28" s="9" t="n"/>
      <c r="AG28" s="9" t="n"/>
    </row>
    <row r="29">
      <c r="A29" s="9" t="inlineStr">
        <is>
          <t>Analysing-Archaeological-Radiocabon-Ages-Using-R</t>
        </is>
      </c>
      <c r="B29" s="9" t="inlineStr">
        <is>
          <t>Practice some techniques for analysing archaeological radiocabon ages using R.</t>
        </is>
      </c>
      <c r="C29" s="10" t="inlineStr">
        <is>
          <t>https://github.com/benmarwick/Analysing-Archaeological-Radiocabon-Ages-Using-R</t>
        </is>
      </c>
      <c r="D29" s="9" t="n"/>
      <c r="E29" s="9" t="n"/>
      <c r="F29" s="9" t="n"/>
      <c r="G29" s="9" t="n"/>
      <c r="H29" s="9" t="n"/>
      <c r="I29" s="9" t="n"/>
      <c r="J29" s="9" t="n"/>
      <c r="K29" s="9" t="n"/>
      <c r="L29" s="9" t="n"/>
      <c r="M29" s="9" t="n"/>
      <c r="N29" s="9" t="n"/>
      <c r="O29" s="9" t="n"/>
      <c r="P29" s="9" t="n"/>
      <c r="Q29" s="9" t="inlineStr">
        <is>
          <t>benmarwick</t>
        </is>
      </c>
      <c r="R29" s="9" t="n"/>
      <c r="S29" s="9" t="n"/>
      <c r="T29" s="9" t="n"/>
      <c r="U29" s="9" t="n"/>
      <c r="V29" s="9" t="n"/>
      <c r="W29" s="9" t="inlineStr">
        <is>
          <t>Guides</t>
        </is>
      </c>
      <c r="X29" s="9" t="n"/>
      <c r="Y29" s="9" t="inlineStr">
        <is>
          <t>Radiocarbon dating, calibration and sequencing</t>
        </is>
      </c>
      <c r="Z29" s="9" t="inlineStr">
        <is>
          <t>Educational resources and practical guides</t>
        </is>
      </c>
      <c r="AA29" s="9" t="n"/>
      <c r="AB29" s="9" t="n"/>
      <c r="AC29" s="9" t="n"/>
      <c r="AD29" s="9" t="n"/>
      <c r="AE29" s="10" t="inlineStr">
        <is>
          <t>https://archive.org/details/github.com-benmarwick-Analysing-Archaeological-Radiocabon-Ages-Using-R_-_2020-07-19_00-54-45</t>
        </is>
      </c>
      <c r="AF29" s="9" t="n"/>
      <c r="AG29" s="9" t="n"/>
    </row>
    <row r="30">
      <c r="A30" s="9" t="inlineStr">
        <is>
          <t>anatolia-bibliography-map</t>
        </is>
      </c>
      <c r="B30" s="9" t="inlineStr">
        <is>
          <t>The goal of this project is to spatially locate bibliographic resources regarding the archaeology of Anatolia (modern Turkey). This takes the bibliography of archaeology to the next level by showing not only the topics and authors, but where the archaeological research is being done.</t>
        </is>
      </c>
      <c r="C30" s="10" t="inlineStr">
        <is>
          <t>https://github.com/anatolian/anatolia-bibliography-map</t>
        </is>
      </c>
      <c r="D30" s="9" t="n"/>
      <c r="E30" s="9" t="n"/>
      <c r="F30" s="9" t="n"/>
      <c r="G30" s="9" t="n"/>
      <c r="H30" s="9" t="n"/>
      <c r="I30" s="9" t="n"/>
      <c r="J30" s="9" t="n"/>
      <c r="K30" s="9" t="n"/>
      <c r="L30" s="9" t="n"/>
      <c r="M30" s="9" t="n"/>
      <c r="N30" s="9" t="n"/>
      <c r="O30" s="9" t="n"/>
      <c r="P30" s="9" t="n"/>
      <c r="Q30" s="9" t="inlineStr">
        <is>
          <t>anatolian</t>
        </is>
      </c>
      <c r="R30" s="9" t="n"/>
      <c r="S30" s="9" t="n"/>
      <c r="T30" s="9" t="n"/>
      <c r="U30" s="9" t="n"/>
      <c r="V30" s="9" t="n"/>
      <c r="W30" s="9" t="inlineStr">
        <is>
          <t>Standalone software</t>
        </is>
      </c>
      <c r="X30" s="9" t="n"/>
      <c r="Y30" s="9" t="inlineStr">
        <is>
          <t>Writing</t>
        </is>
      </c>
      <c r="Z30" s="9" t="n"/>
      <c r="AA30" s="9" t="n"/>
      <c r="AB30" s="9" t="n"/>
      <c r="AC30" s="9" t="n"/>
      <c r="AD30" s="9" t="n"/>
      <c r="AE30" s="10" t="inlineStr">
        <is>
          <t>https://archive.org/details/github.com-anatolian-anatolia-bibliography-map_-_2017-01-11_17-57-08</t>
        </is>
      </c>
      <c r="AF30" s="9" t="n"/>
      <c r="AG30" s="9" t="n"/>
    </row>
    <row r="31">
      <c r="A31" s="9" t="inlineStr">
        <is>
          <t>ancient-artifacts</t>
        </is>
      </c>
      <c r="B31" s="9" t="inlineStr">
        <is>
          <t>Dynamic image analysis to identify ancient artifacts in soil samples.</t>
        </is>
      </c>
      <c r="C31" s="10" t="inlineStr">
        <is>
          <t>https://github.com/vanderbilt-data-science/ancient-artifacts</t>
        </is>
      </c>
      <c r="D31" s="9" t="n"/>
      <c r="E31" s="9" t="n"/>
      <c r="F31" s="9" t="n"/>
      <c r="G31" s="9" t="n"/>
      <c r="H31" s="9" t="n"/>
      <c r="I31" s="9" t="n"/>
      <c r="J31" s="9" t="n"/>
      <c r="K31" s="9" t="n"/>
      <c r="L31" s="9" t="n"/>
      <c r="M31" s="9" t="n"/>
      <c r="N31" s="9" t="n"/>
      <c r="O31" s="9" t="n"/>
      <c r="P31" s="9" t="n"/>
      <c r="Q31" s="9" t="inlineStr">
        <is>
          <t>vanderbilt-data-science</t>
        </is>
      </c>
      <c r="R31" s="9" t="n"/>
      <c r="S31" s="9" t="n"/>
      <c r="T31" s="9" t="n"/>
      <c r="U31" s="9" t="n"/>
      <c r="V31" s="9" t="n"/>
      <c r="W31" s="9" t="inlineStr">
        <is>
          <t>Packages and libraries</t>
        </is>
      </c>
      <c r="X31" s="9" t="inlineStr">
        <is>
          <t>R</t>
        </is>
      </c>
      <c r="Y31" s="9" t="inlineStr">
        <is>
          <t>Shape recognition</t>
        </is>
      </c>
      <c r="Z31" s="9" t="inlineStr">
        <is>
          <t>Spatial analysis</t>
        </is>
      </c>
      <c r="AA31" s="9" t="n"/>
      <c r="AB31" s="9" t="n"/>
      <c r="AC31" s="9" t="n"/>
      <c r="AD31" s="9" t="n"/>
      <c r="AE31" s="9" t="n"/>
      <c r="AF31" s="9" t="n"/>
      <c r="AG31" s="9" t="n"/>
    </row>
    <row r="32">
      <c r="A32" s="9" t="inlineStr">
        <is>
          <t>ancient-ceramic-kilns</t>
        </is>
      </c>
      <c r="B32" s="9" t="inlineStr">
        <is>
          <t>GeoJSON files for ceramic kilns of the ancient world, no chronological/spatial boundaries</t>
        </is>
      </c>
      <c r="C32" s="9" t="n"/>
      <c r="D32" s="9" t="n"/>
      <c r="E32" s="9" t="n"/>
      <c r="F32" s="9" t="n"/>
      <c r="G32" s="9" t="n"/>
      <c r="H32" s="9" t="n"/>
      <c r="I32" s="9" t="n"/>
      <c r="J32" s="9" t="n"/>
      <c r="K32" s="9" t="n"/>
      <c r="L32" s="9" t="n"/>
      <c r="M32" s="10" t="inlineStr">
        <is>
          <t>https://codeberg.org/steko/ancient-ceramic-kilns</t>
        </is>
      </c>
      <c r="N32" s="9" t="n"/>
      <c r="O32" s="9" t="n"/>
      <c r="P32" s="9" t="n"/>
      <c r="Q32" s="9" t="inlineStr">
        <is>
          <t>steko</t>
        </is>
      </c>
      <c r="R32" s="9" t="n"/>
      <c r="S32" s="9" t="n"/>
      <c r="T32" s="9" t="n"/>
      <c r="U32" s="9" t="n"/>
      <c r="V32" s="9" t="n"/>
      <c r="W32" s="9" t="inlineStr">
        <is>
          <t>Lists and datasets</t>
        </is>
      </c>
      <c r="X32" s="9" t="n"/>
      <c r="Y32" s="9" t="inlineStr">
        <is>
          <t>Datasets</t>
        </is>
      </c>
      <c r="Z32" s="9" t="inlineStr">
        <is>
          <t>Ceramic analysis</t>
        </is>
      </c>
      <c r="AA32" s="9" t="n"/>
      <c r="AB32" s="9" t="n"/>
      <c r="AC32" s="9" t="n"/>
      <c r="AD32" s="9" t="n"/>
      <c r="AE32" s="10" t="inlineStr">
        <is>
          <t>https://archive.org/details/codeberg.org-steko-ancient-ceramic-kilns_-_2020-04-18_22-52-07</t>
        </is>
      </c>
      <c r="AF32" s="9" t="n"/>
      <c r="AG32" s="9" t="n"/>
    </row>
    <row r="33">
      <c r="A33" s="9" t="inlineStr">
        <is>
          <t>AncientMetagenomeDir</t>
        </is>
      </c>
      <c r="B33" s="9" t="inlineStr">
        <is>
          <t>Repository containing lists of all published ancient metagenome samples (and related).</t>
        </is>
      </c>
      <c r="C33" s="10" t="inlineStr">
        <is>
          <t>https://github.com/SPAAM-community/AncientMetagenomeDir</t>
        </is>
      </c>
      <c r="D33" s="9" t="n"/>
      <c r="E33" s="9" t="n"/>
      <c r="F33" s="9" t="n"/>
      <c r="G33" s="9" t="n"/>
      <c r="H33" s="9" t="n"/>
      <c r="I33" s="9" t="n"/>
      <c r="J33" s="9" t="n"/>
      <c r="K33" s="9" t="n"/>
      <c r="L33" s="9" t="n"/>
      <c r="M33" s="9" t="n"/>
      <c r="N33" s="9" t="n"/>
      <c r="O33" s="9" t="n"/>
      <c r="P33" s="9" t="n"/>
      <c r="Q33" s="9" t="inlineStr">
        <is>
          <t>SPAAM-community</t>
        </is>
      </c>
      <c r="R33" s="9" t="n"/>
      <c r="S33" s="9" t="n"/>
      <c r="T33" s="9" t="n"/>
      <c r="U33" s="9" t="n"/>
      <c r="V33" s="9" t="n"/>
      <c r="W33" s="9" t="inlineStr">
        <is>
          <t>Lists and datasets</t>
        </is>
      </c>
      <c r="X33" s="9" t="n"/>
      <c r="Y33" s="9" t="inlineStr">
        <is>
          <t>Archaeogenetics</t>
        </is>
      </c>
      <c r="Z33" s="9" t="inlineStr">
        <is>
          <t>Palaeobotany</t>
        </is>
      </c>
      <c r="AA33" s="9" t="inlineStr">
        <is>
          <t>Lists</t>
        </is>
      </c>
      <c r="AB33" s="9" t="n"/>
      <c r="AC33" s="9" t="n"/>
      <c r="AD33" s="9" t="n"/>
      <c r="AE33" s="10" t="inlineStr">
        <is>
          <t>https://archive.org/details/github.com-SPAAM-community-AncientMetagenomeDir_-_2021-02-02_19-45-27</t>
        </is>
      </c>
      <c r="AF33" s="9" t="n"/>
      <c r="AG33" s="9" t="n"/>
    </row>
    <row r="34">
      <c r="A34" s="9" t="inlineStr">
        <is>
          <t>anthroFun</t>
        </is>
      </c>
      <c r="B34" s="9" t="inlineStr">
        <is>
          <t>Functions to help with the preprocessing steps in anthropological research.</t>
        </is>
      </c>
      <c r="C34" s="10" t="inlineStr">
        <is>
          <t>https://github.com/ElaineYChu/anthroFun</t>
        </is>
      </c>
      <c r="D34" s="9" t="n"/>
      <c r="E34" s="9" t="n"/>
      <c r="F34" s="9" t="n"/>
      <c r="G34" s="9" t="n"/>
      <c r="H34" s="9" t="n"/>
      <c r="I34" s="9" t="n"/>
      <c r="J34" s="9" t="n"/>
      <c r="K34" s="9" t="n"/>
      <c r="L34" s="9" t="n"/>
      <c r="M34" s="9" t="n"/>
      <c r="N34" s="9" t="n"/>
      <c r="O34" s="9" t="n"/>
      <c r="P34" s="9" t="n"/>
      <c r="Q34" s="9" t="inlineStr">
        <is>
          <t>ElaineYChu</t>
        </is>
      </c>
      <c r="R34" s="9" t="n"/>
      <c r="S34" s="9" t="n"/>
      <c r="T34" s="9" t="n"/>
      <c r="U34" s="9" t="n"/>
      <c r="V34" s="9" t="n"/>
      <c r="W34" s="9" t="inlineStr">
        <is>
          <t>Scripts</t>
        </is>
      </c>
      <c r="X34" s="9" t="inlineStr">
        <is>
          <t>R</t>
        </is>
      </c>
      <c r="Y34" s="9" t="inlineStr">
        <is>
          <t>Bits and bobs</t>
        </is>
      </c>
      <c r="Z34" s="9" t="n"/>
      <c r="AA34" s="9" t="n"/>
      <c r="AB34" s="9" t="n"/>
      <c r="AC34" s="9" t="n"/>
      <c r="AD34" s="9" t="n"/>
      <c r="AE34" s="9" t="n"/>
      <c r="AF34" s="9" t="n"/>
      <c r="AG34" s="9" t="n"/>
    </row>
    <row r="35">
      <c r="A35" s="9" t="inlineStr">
        <is>
          <t>anthropmmd</t>
        </is>
      </c>
      <c r="B35" s="9" t="inlineStr">
        <is>
          <t>An R package for Smith's Mean Measure of Divergence (MMD), with a graphical user interface, facilities for trait selection and graphical representations.</t>
        </is>
      </c>
      <c r="C35" s="10" t="inlineStr">
        <is>
          <t>https://github.com/frederic-santos/anthropmmd</t>
        </is>
      </c>
      <c r="D35" s="9" t="n"/>
      <c r="E35" s="9" t="n"/>
      <c r="F35" s="9" t="n"/>
      <c r="G35" s="9" t="n"/>
      <c r="H35" s="9" t="n"/>
      <c r="I35" s="9" t="n"/>
      <c r="J35" s="9" t="n"/>
      <c r="K35" s="9" t="n"/>
      <c r="L35" s="9" t="n"/>
      <c r="M35" s="9" t="n"/>
      <c r="N35" s="9" t="n"/>
      <c r="O35" s="9" t="n"/>
      <c r="P35" s="9" t="inlineStr">
        <is>
          <t>10.1002/ajpa.23336</t>
        </is>
      </c>
      <c r="Q35" s="9" t="inlineStr">
        <is>
          <t>frederic-santos</t>
        </is>
      </c>
      <c r="R35" s="9" t="n"/>
      <c r="S35" s="9" t="n"/>
      <c r="T35" s="9" t="n"/>
      <c r="U35" s="9" t="n"/>
      <c r="V35" s="9" t="n"/>
      <c r="W35" s="9" t="inlineStr">
        <is>
          <t>Packages and libraries</t>
        </is>
      </c>
      <c r="X35" s="9" t="inlineStr">
        <is>
          <t>R</t>
        </is>
      </c>
      <c r="Y35" s="9" t="inlineStr">
        <is>
          <t>Cultural evolution</t>
        </is>
      </c>
      <c r="Z35" s="9" t="inlineStr">
        <is>
          <t>Statistical analysis</t>
        </is>
      </c>
      <c r="AA35" s="9" t="n"/>
      <c r="AB35" s="9" t="n"/>
      <c r="AC35" s="9" t="n"/>
      <c r="AD35" s="9" t="n"/>
      <c r="AE35" s="10" t="inlineStr">
        <is>
          <t>https://archive.org/details/github.com-frederic-santos-anthropmmd_-_2020-09-22_11-43-32</t>
        </is>
      </c>
      <c r="AF35" s="9" t="n"/>
      <c r="AG35" s="9" t="n"/>
    </row>
    <row r="36">
      <c r="A36" s="9" t="inlineStr">
        <is>
          <t>aoristAAR</t>
        </is>
      </c>
      <c r="B36" s="9" t="inlineStr">
        <is>
          <t>A R package for the aoristic analysis of archaeological data.</t>
        </is>
      </c>
      <c r="C36" s="10" t="inlineStr">
        <is>
          <t>https://github.com/ISAAKiel/aoristAAR</t>
        </is>
      </c>
      <c r="D36" s="9" t="n"/>
      <c r="E36" s="9" t="n"/>
      <c r="F36" s="9" t="n"/>
      <c r="G36" s="9" t="n"/>
      <c r="H36" s="9" t="n"/>
      <c r="I36" s="9" t="n"/>
      <c r="J36" s="9" t="n"/>
      <c r="K36" s="9" t="n"/>
      <c r="L36" s="9" t="n"/>
      <c r="M36" s="9" t="n"/>
      <c r="N36" s="9" t="n"/>
      <c r="O36" s="9" t="n"/>
      <c r="P36" s="9" t="n"/>
      <c r="Q36" s="9" t="inlineStr">
        <is>
          <t>ISAAKiel</t>
        </is>
      </c>
      <c r="R36" s="9" t="n"/>
      <c r="S36" s="9" t="n"/>
      <c r="T36" s="9" t="n"/>
      <c r="U36" s="9" t="n"/>
      <c r="V36" s="9" t="n"/>
      <c r="W36" s="9" t="inlineStr">
        <is>
          <t>Packages and libraries</t>
        </is>
      </c>
      <c r="X36" s="9" t="inlineStr">
        <is>
          <t>R</t>
        </is>
      </c>
      <c r="Y36" s="9" t="inlineStr">
        <is>
          <t>Chronological modelling</t>
        </is>
      </c>
      <c r="Z36" s="9" t="n"/>
      <c r="AA36" s="9" t="n"/>
      <c r="AB36" s="9" t="n"/>
      <c r="AC36" s="9" t="n"/>
      <c r="AD36" s="9" t="n"/>
      <c r="AE36" s="10" t="inlineStr">
        <is>
          <t>https://archive.org/details/github.com-ISAAKiel-aoristAAR_-_2020-07-09_13-13-06</t>
        </is>
      </c>
      <c r="AF36" s="9" t="n"/>
      <c r="AG36" s="9" t="n"/>
    </row>
    <row r="37">
      <c r="A37" s="9" t="inlineStr">
        <is>
          <t>aoristic</t>
        </is>
      </c>
      <c r="B37" s="9" t="inlineStr">
        <is>
          <t>R package for aoristic analysis; the goal of aoristic is to make sense of temporally vague data.</t>
        </is>
      </c>
      <c r="C37" s="10" t="inlineStr">
        <is>
          <t>https://github.com/jerryratcliffe/aoristic</t>
        </is>
      </c>
      <c r="D37" s="9" t="n"/>
      <c r="E37" s="9" t="n"/>
      <c r="F37" s="9" t="n"/>
      <c r="G37" s="9" t="n"/>
      <c r="H37" s="9" t="n"/>
      <c r="I37" s="9" t="n"/>
      <c r="J37" s="9" t="n"/>
      <c r="K37" s="10" t="inlineStr">
        <is>
          <t>https://cran.r-project.org/package=aoristic</t>
        </is>
      </c>
      <c r="L37" s="9" t="n"/>
      <c r="M37" s="9" t="n"/>
      <c r="N37" s="9" t="n"/>
      <c r="O37" s="9" t="n"/>
      <c r="P37" s="9" t="n"/>
      <c r="Q37" s="9" t="inlineStr">
        <is>
          <t>jerryratcliffe</t>
        </is>
      </c>
      <c r="R37" s="9" t="n"/>
      <c r="S37" s="9" t="n"/>
      <c r="T37" s="9" t="n"/>
      <c r="U37" s="9" t="n"/>
      <c r="V37" s="9" t="n"/>
      <c r="W37" s="9" t="inlineStr">
        <is>
          <t>Packages and libraries</t>
        </is>
      </c>
      <c r="X37" s="9" t="inlineStr">
        <is>
          <t>R</t>
        </is>
      </c>
      <c r="Y37" s="9" t="inlineStr">
        <is>
          <t>Chronological modelling</t>
        </is>
      </c>
      <c r="Z37" s="9" t="n"/>
      <c r="AA37" s="9" t="n"/>
      <c r="AB37" s="9" t="n"/>
      <c r="AC37" s="9" t="n"/>
      <c r="AD37" s="9" t="n"/>
      <c r="AE37" s="10" t="inlineStr">
        <is>
          <t>https://archive.org/details/github.com-jerryratcliffe-aoristic_-_2021-01-31_22-30-35</t>
        </is>
      </c>
      <c r="AF37" s="9" t="n"/>
      <c r="AG37" s="9" t="n"/>
    </row>
    <row r="38">
      <c r="A38" s="9" t="inlineStr">
        <is>
          <t>aoristic-analysis</t>
        </is>
      </c>
      <c r="B38" s="9" t="inlineStr">
        <is>
          <t>Estimate probabilities of find numbers per period.</t>
        </is>
      </c>
      <c r="C38" s="10" t="inlineStr">
        <is>
          <t>https://github.com/LimesLimits/aoristic-analysis</t>
        </is>
      </c>
      <c r="D38" s="9" t="n"/>
      <c r="E38" s="9" t="n"/>
      <c r="F38" s="9" t="n"/>
      <c r="G38" s="9" t="n"/>
      <c r="H38" s="9" t="n"/>
      <c r="I38" s="9" t="n"/>
      <c r="J38" s="9" t="n"/>
      <c r="K38" s="9" t="n"/>
      <c r="L38" s="9" t="n"/>
      <c r="M38" s="9" t="n"/>
      <c r="N38" s="9" t="n"/>
      <c r="O38" s="9" t="n"/>
      <c r="P38" s="9" t="inlineStr">
        <is>
          <t>10.1016/j.jasrep.2016.10.006</t>
        </is>
      </c>
      <c r="Q38" s="9" t="inlineStr">
        <is>
          <t>LimesLimits</t>
        </is>
      </c>
      <c r="R38" s="9" t="n"/>
      <c r="S38" s="9" t="n"/>
      <c r="T38" s="9" t="n"/>
      <c r="U38" s="9" t="n"/>
      <c r="V38" s="9" t="n"/>
      <c r="W38" s="9" t="inlineStr">
        <is>
          <t>Packages and libraries</t>
        </is>
      </c>
      <c r="X38" s="9" t="inlineStr">
        <is>
          <t>Python</t>
        </is>
      </c>
      <c r="Y38" s="9" t="inlineStr">
        <is>
          <t>Statistical analysis</t>
        </is>
      </c>
      <c r="Z38" s="9" t="n"/>
      <c r="AA38" s="9" t="n"/>
      <c r="AB38" s="9" t="n"/>
      <c r="AC38" s="9" t="n"/>
      <c r="AD38" s="9" t="n"/>
      <c r="AE38" s="9" t="n"/>
      <c r="AF38" s="9" t="n"/>
      <c r="AG38" s="9" t="n"/>
    </row>
    <row r="39">
      <c r="A39" s="9" t="inlineStr">
        <is>
          <t>ArboDat</t>
        </is>
      </c>
      <c r="B39" s="9" t="inlineStr">
        <is>
          <t>A program package for registering and importing data of archaeobotanical analyses including contexts of samples as well as evaluation tools.</t>
        </is>
      </c>
      <c r="C39" s="9" t="n"/>
      <c r="D39" s="9" t="n"/>
      <c r="E39" s="9" t="n"/>
      <c r="F39" s="9" t="n"/>
      <c r="G39" s="9" t="n"/>
      <c r="H39" s="9" t="n"/>
      <c r="I39" s="9" t="n"/>
      <c r="J39" s="9" t="n"/>
      <c r="K39" s="9" t="n"/>
      <c r="L39" s="9" t="n"/>
      <c r="M39" s="9" t="n"/>
      <c r="N39" s="10" t="inlineStr">
        <is>
          <t>https://nihk.de/en/research/current-projects/arbodat-ape</t>
        </is>
      </c>
      <c r="O39" s="9" t="n"/>
      <c r="P39" s="9" t="n"/>
      <c r="Q39" s="9" t="inlineStr">
        <is>
          <t>Angela Kreuz</t>
        </is>
      </c>
      <c r="R39" s="9" t="n"/>
      <c r="S39" s="9" t="n"/>
      <c r="T39" s="9" t="n"/>
      <c r="U39" s="9" t="n"/>
      <c r="V39" s="9" t="n"/>
      <c r="W39" s="9" t="inlineStr">
        <is>
          <t>Standalone software</t>
        </is>
      </c>
      <c r="X39" s="9" t="n"/>
      <c r="Y39" s="9" t="inlineStr">
        <is>
          <t>Palaeobotany</t>
        </is>
      </c>
      <c r="Z39" s="9" t="inlineStr">
        <is>
          <t>Data management</t>
        </is>
      </c>
      <c r="AA39" s="9" t="n"/>
      <c r="AB39" s="9" t="n"/>
      <c r="AC39" s="9" t="n"/>
      <c r="AD39" s="9" t="n"/>
      <c r="AE39" s="9" t="n"/>
      <c r="AF39" s="9" t="n"/>
      <c r="AG39" s="9" t="n"/>
    </row>
    <row r="40">
      <c r="A40" s="9" t="inlineStr">
        <is>
          <t>archaeo-CRF</t>
        </is>
      </c>
      <c r="B40" s="9" t="inlineStr">
        <is>
          <t>Conditional Random Fields model for NER in Dutch Archaeology.</t>
        </is>
      </c>
      <c r="C40" s="10" t="inlineStr">
        <is>
          <t>https://github.com/alexbrandsen/archaeo-CRF</t>
        </is>
      </c>
      <c r="D40" s="9" t="n"/>
      <c r="E40" s="9" t="n"/>
      <c r="F40" s="9" t="n"/>
      <c r="G40" s="9" t="n"/>
      <c r="H40" s="9" t="n"/>
      <c r="I40" s="9" t="n"/>
      <c r="J40" s="9" t="n"/>
      <c r="K40" s="9" t="n"/>
      <c r="L40" s="9" t="n"/>
      <c r="M40" s="9" t="n"/>
      <c r="N40" s="9" t="n"/>
      <c r="O40" s="9" t="n"/>
      <c r="P40" s="9" t="n"/>
      <c r="Q40" s="9" t="inlineStr">
        <is>
          <t>alexbrandsen</t>
        </is>
      </c>
      <c r="R40" s="9" t="n"/>
      <c r="S40" s="9" t="n"/>
      <c r="T40" s="9" t="n"/>
      <c r="U40" s="9" t="n"/>
      <c r="V40" s="9" t="n"/>
      <c r="W40" s="9" t="inlineStr">
        <is>
          <t>Packages and libraries</t>
        </is>
      </c>
      <c r="X40" s="9" t="inlineStr">
        <is>
          <t>Python</t>
        </is>
      </c>
      <c r="Y40" s="9" t="inlineStr">
        <is>
          <t>Machine learning</t>
        </is>
      </c>
      <c r="Z40" s="9" t="inlineStr">
        <is>
          <t>Schemas and ontologies</t>
        </is>
      </c>
      <c r="AA40" s="9" t="n"/>
      <c r="AB40" s="9" t="n"/>
      <c r="AC40" s="9" t="n"/>
      <c r="AD40" s="9" t="n"/>
      <c r="AE40" s="9" t="n"/>
      <c r="AF40" s="9" t="n"/>
      <c r="AG40" s="9" t="n"/>
    </row>
    <row r="41">
      <c r="A41" s="9" t="inlineStr">
        <is>
          <t>archaeo-db-workshop</t>
        </is>
      </c>
      <c r="B41" s="9" t="inlineStr">
        <is>
          <t>Information and guidelines for a workshop about managing archaeological databases</t>
        </is>
      </c>
      <c r="C41" s="10" t="inlineStr">
        <is>
          <t>https://github.com/zackbatist/archaeo-db-workshop</t>
        </is>
      </c>
      <c r="D41" s="9" t="n"/>
      <c r="E41" s="9" t="n"/>
      <c r="F41" s="9" t="n"/>
      <c r="G41" s="9" t="n"/>
      <c r="H41" s="9" t="n"/>
      <c r="I41" s="9" t="n"/>
      <c r="J41" s="9" t="n"/>
      <c r="K41" s="9" t="n"/>
      <c r="L41" s="9" t="n"/>
      <c r="M41" s="9" t="n"/>
      <c r="N41" s="9" t="n"/>
      <c r="O41" s="9" t="n"/>
      <c r="P41" s="9" t="n"/>
      <c r="Q41" s="9" t="inlineStr">
        <is>
          <t>zackbatist</t>
        </is>
      </c>
      <c r="R41" s="9" t="n"/>
      <c r="S41" s="9" t="n"/>
      <c r="T41" s="9" t="n"/>
      <c r="U41" s="9" t="n"/>
      <c r="V41" s="9" t="n"/>
      <c r="W41" s="9" t="inlineStr">
        <is>
          <t>Guides</t>
        </is>
      </c>
      <c r="X41" s="9" t="n"/>
      <c r="Y41" s="9" t="inlineStr">
        <is>
          <t>Educational resources and practical guides</t>
        </is>
      </c>
      <c r="Z41" s="9" t="n"/>
      <c r="AA41" s="9" t="n"/>
      <c r="AB41" s="9" t="n"/>
      <c r="AC41" s="9" t="n"/>
      <c r="AD41" s="9" t="n"/>
      <c r="AE41" s="10" t="inlineStr">
        <is>
          <t>https://archive.org/details/github.com-zackbatist-archaeo-db-workshop_-_2019-01-27_20-31-39</t>
        </is>
      </c>
      <c r="AF41" s="9" t="n"/>
      <c r="AG41" s="9" t="n"/>
    </row>
    <row r="42">
      <c r="A42" s="9" t="inlineStr">
        <is>
          <t>Archaeo-Term</t>
        </is>
      </c>
      <c r="B42" s="9" t="inlineStr">
        <is>
          <t>Multilingual glossary designed to enhance access to archaeological data.</t>
        </is>
      </c>
      <c r="C42" s="9" t="n"/>
      <c r="D42" s="9" t="n"/>
      <c r="E42" s="9" t="n"/>
      <c r="F42" s="9" t="n"/>
      <c r="G42" s="9" t="n"/>
      <c r="H42" s="9" t="n"/>
      <c r="I42" s="9" t="n"/>
      <c r="J42" s="9" t="n"/>
      <c r="K42" s="9" t="n"/>
      <c r="L42" s="9" t="n"/>
      <c r="M42" s="9" t="n"/>
      <c r="N42" s="10" t="inlineStr">
        <is>
          <t>https://docs.google.com/spreadsheets/d/1KYh9UUZTsc7BWfXh7YTqQqRz84cnJl3Y/edit#gid=802915297</t>
        </is>
      </c>
      <c r="O42" s="10" t="inlineStr">
        <is>
          <t>https://unora.unior.it/handle/11574/195235</t>
        </is>
      </c>
      <c r="P42" s="9" t="n"/>
      <c r="Q42" s="9" t="inlineStr">
        <is>
          <t>Johanna Monti</t>
        </is>
      </c>
      <c r="R42" s="9" t="inlineStr">
        <is>
          <t>Maria Pia di Buono</t>
        </is>
      </c>
      <c r="S42" s="9" t="inlineStr">
        <is>
          <t>Giulia Speranza</t>
        </is>
      </c>
      <c r="T42" s="9" t="inlineStr">
        <is>
          <t>Raffaele Manna</t>
        </is>
      </c>
      <c r="U42" s="9" t="n"/>
      <c r="V42" s="9" t="n"/>
      <c r="W42" s="9" t="inlineStr">
        <is>
          <t>Specifications, protocols and schemas</t>
        </is>
      </c>
      <c r="X42" s="9" t="n"/>
      <c r="Y42" s="9" t="inlineStr">
        <is>
          <t>Schemas and ontologies</t>
        </is>
      </c>
      <c r="Z42" s="9" t="n"/>
      <c r="AA42" s="9" t="n"/>
      <c r="AB42" s="9" t="n"/>
      <c r="AC42" s="9" t="n"/>
      <c r="AD42" s="9" t="n"/>
      <c r="AE42" s="9" t="n"/>
      <c r="AF42" s="9" t="n"/>
      <c r="AG42" s="9" t="n"/>
    </row>
    <row r="43">
      <c r="A43" s="9" t="inlineStr">
        <is>
          <t>ArchaeoAstroInsight</t>
        </is>
      </c>
      <c r="B43" s="9" t="inlineStr">
        <is>
          <t>QGIS Python script/plugin for computing azimuth, horizon altitude, and celestial declination of a specific bearing indicated by a line segment selected by a user.</t>
        </is>
      </c>
      <c r="C43" s="10" t="inlineStr">
        <is>
          <t>https://github.com/marcfrincu/ArchaeoAstroInsight</t>
        </is>
      </c>
      <c r="D43" s="9" t="n"/>
      <c r="E43" s="9" t="n"/>
      <c r="F43" s="9" t="n"/>
      <c r="G43" s="9" t="n"/>
      <c r="H43" s="9" t="n"/>
      <c r="I43" s="9" t="n"/>
      <c r="J43" s="9" t="n"/>
      <c r="K43" s="9" t="n"/>
      <c r="L43" s="9" t="n"/>
      <c r="M43" s="9" t="n"/>
      <c r="N43" s="9" t="n"/>
      <c r="O43" s="9" t="n"/>
      <c r="P43" s="9" t="n"/>
      <c r="Q43" s="9" t="inlineStr">
        <is>
          <t>marcfrincu</t>
        </is>
      </c>
      <c r="R43" s="9" t="n"/>
      <c r="S43" s="9" t="n"/>
      <c r="T43" s="9" t="n"/>
      <c r="U43" s="9" t="n"/>
      <c r="V43" s="9" t="n"/>
      <c r="W43" s="9" t="inlineStr">
        <is>
          <t>Packages and libraries</t>
        </is>
      </c>
      <c r="X43" s="9" t="inlineStr">
        <is>
          <t>QGIS</t>
        </is>
      </c>
      <c r="Y43" s="9" t="inlineStr">
        <is>
          <t>Spatial analysis</t>
        </is>
      </c>
      <c r="Z43" s="9" t="inlineStr">
        <is>
          <t>Archaeoastronomy</t>
        </is>
      </c>
      <c r="AA43" s="9" t="n"/>
      <c r="AB43" s="9" t="n"/>
      <c r="AC43" s="9" t="n"/>
      <c r="AD43" s="9" t="n"/>
      <c r="AE43" s="9" t="n"/>
      <c r="AF43" s="9" t="n"/>
      <c r="AG43" s="9" t="n"/>
    </row>
    <row r="44">
      <c r="A44" s="9" t="inlineStr">
        <is>
          <t>ArchaeoCal</t>
        </is>
      </c>
      <c r="B44" s="9" t="inlineStr">
        <is>
          <t>An R Interface to OxCal.</t>
        </is>
      </c>
      <c r="C44" s="10" t="inlineStr">
        <is>
          <t>https://github.com/ArchaeoStat/ArchaeoCal</t>
        </is>
      </c>
      <c r="D44" s="9" t="n"/>
      <c r="E44" s="9" t="n"/>
      <c r="F44" s="9" t="n"/>
      <c r="G44" s="9" t="n"/>
      <c r="H44" s="9" t="n"/>
      <c r="I44" s="9" t="n"/>
      <c r="J44" s="9" t="n"/>
      <c r="K44" s="9" t="n"/>
      <c r="L44" s="9" t="n"/>
      <c r="M44" s="9" t="n"/>
      <c r="N44" s="10" t="inlineStr">
        <is>
          <t>https://archaeostat.github.io/ArchaeoCal/</t>
        </is>
      </c>
      <c r="O44" s="9" t="n"/>
      <c r="P44" s="9" t="n"/>
      <c r="Q44" s="9" t="inlineStr">
        <is>
          <t>nfrerebeau</t>
        </is>
      </c>
      <c r="R44" s="9" t="n"/>
      <c r="S44" s="9" t="n"/>
      <c r="T44" s="9" t="n"/>
      <c r="U44" s="9" t="n"/>
      <c r="V44" s="9" t="n"/>
      <c r="W44" s="9" t="inlineStr">
        <is>
          <t>Packages and libraries</t>
        </is>
      </c>
      <c r="X44" s="9" t="inlineStr">
        <is>
          <t>R</t>
        </is>
      </c>
      <c r="Y44" s="9" t="inlineStr">
        <is>
          <t>Radiocarbon dating, calibration and sequencing</t>
        </is>
      </c>
      <c r="Z44" s="9" t="n"/>
      <c r="AA44" s="9" t="n"/>
      <c r="AB44" s="9" t="n"/>
      <c r="AC44" s="9" t="n"/>
      <c r="AD44" s="9" t="n"/>
      <c r="AE44" s="9" t="n"/>
      <c r="AF44" s="9" t="n"/>
      <c r="AG44" s="9" t="n"/>
    </row>
    <row r="45">
      <c r="A45" s="9" t="inlineStr">
        <is>
          <t>ArchaeoChron</t>
        </is>
      </c>
      <c r="B45" s="9" t="inlineStr">
        <is>
          <t>Bayesian Modeling of Archaeological Chronologies.</t>
        </is>
      </c>
      <c r="C45" s="10" t="inlineStr">
        <is>
          <t>https://github.com/ArchaeoStat/ArchaeoChron</t>
        </is>
      </c>
      <c r="D45" s="9" t="n"/>
      <c r="E45" s="9" t="n"/>
      <c r="F45" s="9" t="n"/>
      <c r="G45" s="9" t="n"/>
      <c r="H45" s="9" t="n"/>
      <c r="I45" s="9" t="n"/>
      <c r="J45" s="9" t="n"/>
      <c r="K45" s="10" t="inlineStr">
        <is>
          <t>https://cran.r-project.org/package=ArchaeoChron</t>
        </is>
      </c>
      <c r="L45" s="9" t="n"/>
      <c r="M45" s="9" t="n"/>
      <c r="N45" s="10" t="inlineStr">
        <is>
          <t>https://archaeostat.github.io/ArchaeoChron/</t>
        </is>
      </c>
      <c r="O45" s="9" t="n"/>
      <c r="P45" s="9" t="n"/>
      <c r="Q45" s="9" t="inlineStr">
        <is>
          <t>philippe-a</t>
        </is>
      </c>
      <c r="R45" s="9" t="inlineStr">
        <is>
          <t>marieannevibet</t>
        </is>
      </c>
      <c r="S45" s="9" t="n"/>
      <c r="T45" s="9" t="n"/>
      <c r="U45" s="9" t="n"/>
      <c r="V45" s="9" t="n"/>
      <c r="W45" s="9" t="inlineStr">
        <is>
          <t>Packages and libraries</t>
        </is>
      </c>
      <c r="X45" s="9" t="inlineStr">
        <is>
          <t>R</t>
        </is>
      </c>
      <c r="Y45" s="9" t="inlineStr">
        <is>
          <t>Chronological modelling</t>
        </is>
      </c>
      <c r="Z45" s="9" t="n"/>
      <c r="AA45" s="9" t="n"/>
      <c r="AB45" s="9" t="n"/>
      <c r="AC45" s="9" t="n"/>
      <c r="AD45" s="9" t="n"/>
      <c r="AE45" s="10" t="inlineStr">
        <is>
          <t>https://archive.org/details/github.com-ArchaeoStat-ArchaeoChron_-_2019-09-11_12-58-29</t>
        </is>
      </c>
      <c r="AF45" s="9" t="n"/>
      <c r="AG45" s="9" t="n"/>
    </row>
    <row r="46">
      <c r="A46" s="9" t="inlineStr">
        <is>
          <t>ArchaeoData</t>
        </is>
      </c>
      <c r="B46" s="9" t="inlineStr">
        <is>
          <t>Models and data to reproduce results from ArchaeoPhases examples and vignettes.</t>
        </is>
      </c>
      <c r="C46" s="10" t="inlineStr">
        <is>
          <t>https://github.com/ArchaeoStat/ArchaeoData</t>
        </is>
      </c>
      <c r="D46" s="9" t="n"/>
      <c r="E46" s="9" t="n"/>
      <c r="F46" s="9" t="n"/>
      <c r="G46" s="9" t="n"/>
      <c r="H46" s="9" t="n"/>
      <c r="I46" s="9" t="n"/>
      <c r="J46" s="9" t="n"/>
      <c r="K46" s="9" t="n"/>
      <c r="L46" s="9" t="n"/>
      <c r="M46" s="9" t="n"/>
      <c r="N46" s="10" t="inlineStr">
        <is>
          <t>https://archaeostat.github.io/ArchaeoData/</t>
        </is>
      </c>
      <c r="O46" s="9" t="n"/>
      <c r="P46" s="9" t="n"/>
      <c r="Q46" s="9" t="inlineStr">
        <is>
          <t>nfrerebeau</t>
        </is>
      </c>
      <c r="R46" s="9" t="n"/>
      <c r="S46" s="9" t="n"/>
      <c r="T46" s="9" t="n"/>
      <c r="U46" s="9" t="n"/>
      <c r="V46" s="9" t="n"/>
      <c r="W46" s="9" t="inlineStr">
        <is>
          <t>Packages and libraries</t>
        </is>
      </c>
      <c r="X46" s="9" t="inlineStr">
        <is>
          <t>R</t>
        </is>
      </c>
      <c r="Y46" s="9" t="inlineStr">
        <is>
          <t>Radiocarbon dating, calibration and sequencing</t>
        </is>
      </c>
      <c r="Z46" s="9" t="inlineStr">
        <is>
          <t>Datasets</t>
        </is>
      </c>
      <c r="AA46" s="9" t="n"/>
      <c r="AB46" s="9" t="n"/>
      <c r="AC46" s="9" t="n"/>
      <c r="AD46" s="9" t="n"/>
      <c r="AE46" s="9" t="n"/>
      <c r="AF46" s="9" t="n"/>
      <c r="AG46" s="9" t="n"/>
    </row>
    <row r="47">
      <c r="A47" s="9" t="inlineStr">
        <is>
          <t>ArchaeoLines</t>
        </is>
      </c>
      <c r="B47" s="9" t="inlineStr">
        <is>
          <t>The ArchaeoLines plugin displays any combination of declination arcs most relevant to archaeo- or ethnoastronomical studies.</t>
        </is>
      </c>
      <c r="C47" s="10" t="inlineStr">
        <is>
          <t>https://github.com/Stellarium/stellarium/tree/master/plugins/ArchaeoLines</t>
        </is>
      </c>
      <c r="D47" s="9" t="n"/>
      <c r="E47" s="9" t="n"/>
      <c r="F47" s="9" t="n"/>
      <c r="G47" s="9" t="n"/>
      <c r="H47" s="9" t="n"/>
      <c r="I47" s="9" t="n"/>
      <c r="J47" s="9" t="n"/>
      <c r="K47" s="9" t="n"/>
      <c r="L47" s="9" t="n"/>
      <c r="M47" s="9" t="n"/>
      <c r="N47" s="10" t="inlineStr">
        <is>
          <t>http://stellarium.sourceforge.net/wiki/index.php/ArchaeoLines_plugin</t>
        </is>
      </c>
      <c r="O47" s="9" t="n"/>
      <c r="P47" s="9" t="n"/>
      <c r="Q47" s="9" t="inlineStr">
        <is>
          <t>stellarium</t>
        </is>
      </c>
      <c r="R47" s="9" t="n"/>
      <c r="S47" s="9" t="n"/>
      <c r="T47" s="9" t="n"/>
      <c r="U47" s="9" t="n"/>
      <c r="V47" s="9" t="n"/>
      <c r="W47" s="9" t="inlineStr">
        <is>
          <t>Packages and libraries</t>
        </is>
      </c>
      <c r="X47" s="9" t="inlineStr">
        <is>
          <t>Stellarium</t>
        </is>
      </c>
      <c r="Y47" s="9" t="inlineStr">
        <is>
          <t>Spatial analysis</t>
        </is>
      </c>
      <c r="Z47" s="9" t="inlineStr">
        <is>
          <t>Viewshed analysis</t>
        </is>
      </c>
      <c r="AA47" s="9" t="inlineStr">
        <is>
          <t>Archaeoastronomy</t>
        </is>
      </c>
      <c r="AB47" s="9" t="n"/>
      <c r="AC47" s="9" t="n"/>
      <c r="AD47" s="9" t="n"/>
      <c r="AE47" s="9" t="n"/>
      <c r="AF47" s="9" t="n"/>
      <c r="AG47" s="9" t="n"/>
    </row>
    <row r="48">
      <c r="A48" s="9" t="inlineStr">
        <is>
          <t>Archaeological Ethics Database</t>
        </is>
      </c>
      <c r="B48" s="9" t="inlineStr">
        <is>
          <t>Brings together sources on archaeological ethics in a single place for the use of students, researchers, and professional archaeologists.</t>
        </is>
      </c>
      <c r="C48" s="9" t="n"/>
      <c r="D48" s="9" t="n"/>
      <c r="E48" s="9" t="n"/>
      <c r="F48" s="9" t="n"/>
      <c r="G48" s="9" t="n"/>
      <c r="H48" s="9" t="n"/>
      <c r="I48" s="9" t="n"/>
      <c r="J48" s="9" t="n"/>
      <c r="K48" s="9" t="n"/>
      <c r="L48" s="9" t="n"/>
      <c r="M48" s="9" t="n"/>
      <c r="N48" s="10" t="inlineStr">
        <is>
          <t>https://archaeologicalethics.org/</t>
        </is>
      </c>
      <c r="O48" s="9" t="n"/>
      <c r="P48" s="9" t="n"/>
      <c r="Q48" s="9" t="inlineStr">
        <is>
          <t>Register of Professional Archaeologists</t>
        </is>
      </c>
      <c r="R48" s="9" t="inlineStr">
        <is>
          <t>Chartered Institute for Archaeologists</t>
        </is>
      </c>
      <c r="S48" s="9" t="n"/>
      <c r="T48" s="9" t="n"/>
      <c r="U48" s="9" t="n"/>
      <c r="V48" s="9" t="n"/>
      <c r="W48" s="9" t="inlineStr">
        <is>
          <t>Lists and datasets</t>
        </is>
      </c>
      <c r="X48" s="9" t="n"/>
      <c r="Y48" s="9" t="inlineStr">
        <is>
          <t>Ethics and professional development</t>
        </is>
      </c>
      <c r="Z48" s="9" t="n"/>
      <c r="AA48" s="9" t="n"/>
      <c r="AB48" s="9" t="n"/>
      <c r="AC48" s="9" t="n"/>
      <c r="AD48" s="9" t="n"/>
      <c r="AE48" s="9" t="n"/>
      <c r="AF48" s="9" t="n"/>
      <c r="AG48" s="9" t="n"/>
    </row>
    <row r="49">
      <c r="A49" s="9" t="inlineStr">
        <is>
          <t>Archaeological_Catalogue_from_CSV_Spreadsheet</t>
        </is>
      </c>
      <c r="B49" s="9" t="inlineStr">
        <is>
          <t>A template to create an archaeological catalogue from a spreadsheet using the LaTeX csvsimple package.</t>
        </is>
      </c>
      <c r="C49" s="10" t="inlineStr">
        <is>
          <t>https://github.com/latex-ninja/Archaeological_Catalogue_from_CSV_Spreadsheet</t>
        </is>
      </c>
      <c r="D49" s="9" t="n"/>
      <c r="E49" s="9" t="n"/>
      <c r="F49" s="9" t="n"/>
      <c r="G49" s="9" t="n"/>
      <c r="H49" s="9" t="n"/>
      <c r="I49" s="9" t="n"/>
      <c r="J49" s="10" t="inlineStr">
        <is>
          <t>https://latex-ninja.com/2021/07/16/latex-for-archaeologists-an-archaeological-catalogue-from-a-spreadsheet/</t>
        </is>
      </c>
      <c r="K49" s="9" t="n"/>
      <c r="L49" s="9" t="n"/>
      <c r="M49" s="9" t="n"/>
      <c r="N49" s="9" t="n"/>
      <c r="O49" s="9" t="n"/>
      <c r="P49" s="9" t="n"/>
      <c r="Q49" s="9" t="inlineStr">
        <is>
          <t>latex-ninja</t>
        </is>
      </c>
      <c r="R49" s="9" t="n"/>
      <c r="S49" s="9" t="n"/>
      <c r="T49" s="9" t="n"/>
      <c r="U49" s="9" t="n"/>
      <c r="V49" s="9" t="n"/>
      <c r="W49" s="9" t="inlineStr">
        <is>
          <t>Scripts</t>
        </is>
      </c>
      <c r="X49" s="9" t="inlineStr">
        <is>
          <t>LaTeX</t>
        </is>
      </c>
      <c r="Y49" s="9" t="inlineStr">
        <is>
          <t>Writing</t>
        </is>
      </c>
      <c r="Z49" s="9" t="inlineStr">
        <is>
          <t>Templates</t>
        </is>
      </c>
      <c r="AA49" s="9" t="n"/>
      <c r="AB49" s="9" t="n"/>
      <c r="AC49" s="9" t="n"/>
      <c r="AD49" s="9" t="n"/>
      <c r="AE49" s="9" t="n"/>
      <c r="AF49" s="9" t="n"/>
      <c r="AG49" s="9" t="n"/>
    </row>
    <row r="50">
      <c r="A50" s="9" t="inlineStr">
        <is>
          <t>archaeological-object-sharing</t>
        </is>
      </c>
      <c r="B50" s="9" t="inlineStr">
        <is>
          <t>An online space for sharing data, 3d models, etc about archaeological objects to enable the comparison of these objects.</t>
        </is>
      </c>
      <c r="C50" s="10" t="inlineStr">
        <is>
          <t>https://github.com/anatolian/archaeological-object-sharing</t>
        </is>
      </c>
      <c r="D50" s="9" t="n"/>
      <c r="E50" s="9" t="n"/>
      <c r="F50" s="9" t="n"/>
      <c r="G50" s="9" t="n"/>
      <c r="H50" s="9" t="n"/>
      <c r="I50" s="9" t="n"/>
      <c r="J50" s="9" t="n"/>
      <c r="K50" s="9" t="n"/>
      <c r="L50" s="9" t="n"/>
      <c r="M50" s="9" t="n"/>
      <c r="N50" s="9" t="n"/>
      <c r="O50" s="9" t="n"/>
      <c r="P50" s="9" t="n"/>
      <c r="Q50" s="9" t="inlineStr">
        <is>
          <t>anatolian</t>
        </is>
      </c>
      <c r="R50" s="9" t="n"/>
      <c r="S50" s="9" t="n"/>
      <c r="T50" s="9" t="n"/>
      <c r="U50" s="9" t="n"/>
      <c r="V50" s="9" t="n"/>
      <c r="W50" s="9" t="inlineStr">
        <is>
          <t>Standalone software</t>
        </is>
      </c>
      <c r="X50" s="9" t="n"/>
      <c r="Y50" s="9" t="inlineStr">
        <is>
          <t>Platforms and publications</t>
        </is>
      </c>
      <c r="Z50" s="9" t="n"/>
      <c r="AA50" s="9" t="n"/>
      <c r="AB50" s="9" t="n"/>
      <c r="AC50" s="9" t="n"/>
      <c r="AD50" s="9" t="n"/>
      <c r="AE50" s="10" t="inlineStr">
        <is>
          <t>https://archive.org/details/github.com-anatolian-archaeological-object-sharing_-_2017-01-25_19-13-38</t>
        </is>
      </c>
      <c r="AF50" s="9" t="n"/>
      <c r="AG50" s="9" t="n"/>
    </row>
    <row r="51">
      <c r="A51" s="9" t="inlineStr">
        <is>
          <t>archaeological-SNA-R-demo</t>
        </is>
      </c>
      <c r="B51" s="9" t="inlineStr">
        <is>
          <t>A quick demo of archaeological social network analysis in R</t>
        </is>
      </c>
      <c r="C51" s="10" t="inlineStr">
        <is>
          <t>https://github.com/deanthebox/archaeological-SNA-R-demo</t>
        </is>
      </c>
      <c r="D51" s="9" t="n"/>
      <c r="E51" s="9" t="n"/>
      <c r="F51" s="9" t="n"/>
      <c r="G51" s="9" t="n"/>
      <c r="H51" s="9" t="n"/>
      <c r="I51" s="9" t="n"/>
      <c r="J51" s="9" t="n"/>
      <c r="K51" s="9" t="n"/>
      <c r="L51" s="9" t="n"/>
      <c r="M51" s="9" t="n"/>
      <c r="N51" s="9" t="n"/>
      <c r="O51" s="9" t="n"/>
      <c r="P51" s="9" t="n"/>
      <c r="Q51" s="9" t="inlineStr">
        <is>
          <t>deanthebox</t>
        </is>
      </c>
      <c r="R51" s="9" t="n"/>
      <c r="S51" s="9" t="n"/>
      <c r="T51" s="9" t="n"/>
      <c r="U51" s="9" t="n"/>
      <c r="V51" s="9" t="n"/>
      <c r="W51" s="9" t="inlineStr">
        <is>
          <t>Guides</t>
        </is>
      </c>
      <c r="X51" s="9" t="n"/>
      <c r="Y51" s="9" t="inlineStr">
        <is>
          <t>Educational resources and practical guides</t>
        </is>
      </c>
      <c r="Z51" s="9" t="inlineStr">
        <is>
          <t>Network analysis</t>
        </is>
      </c>
      <c r="AA51" s="9" t="n"/>
      <c r="AB51" s="9" t="n"/>
      <c r="AC51" s="9" t="n"/>
      <c r="AD51" s="9" t="n"/>
      <c r="AE51" s="9" t="n"/>
      <c r="AF51" s="9" t="n"/>
      <c r="AG51" s="9" t="n"/>
    </row>
    <row r="52">
      <c r="A52" s="9" t="inlineStr">
        <is>
          <t>archaeological-survey-location-collector</t>
        </is>
      </c>
      <c r="B52" s="9" t="inlineStr">
        <is>
          <t>An app for use in archaeological field survey to collect high-accurate point locations, photographs, and other data.</t>
        </is>
      </c>
      <c r="C52" s="10" t="inlineStr">
        <is>
          <t>https://github.com/anatolian/archaeological-survey-location-collector</t>
        </is>
      </c>
      <c r="D52" s="9" t="n"/>
      <c r="E52" s="9" t="n"/>
      <c r="F52" s="9" t="n"/>
      <c r="G52" s="9" t="n"/>
      <c r="H52" s="9" t="n"/>
      <c r="I52" s="9" t="n"/>
      <c r="J52" s="9" t="n"/>
      <c r="K52" s="9" t="n"/>
      <c r="L52" s="9" t="n"/>
      <c r="M52" s="9" t="n"/>
      <c r="N52" s="9" t="n"/>
      <c r="O52" s="9" t="n"/>
      <c r="P52" s="9" t="n"/>
      <c r="Q52" s="9" t="inlineStr">
        <is>
          <t>anatolian</t>
        </is>
      </c>
      <c r="R52" s="9" t="n"/>
      <c r="S52" s="9" t="n"/>
      <c r="T52" s="9" t="n"/>
      <c r="U52" s="9" t="n"/>
      <c r="V52" s="9" t="n"/>
      <c r="W52" s="9" t="inlineStr">
        <is>
          <t>Packages and libraries</t>
        </is>
      </c>
      <c r="X52" s="9" t="inlineStr">
        <is>
          <t>Mobile app</t>
        </is>
      </c>
      <c r="Y52" s="9" t="inlineStr">
        <is>
          <t>Site mapping</t>
        </is>
      </c>
      <c r="Z52" s="9" t="n"/>
      <c r="AA52" s="9" t="n"/>
      <c r="AB52" s="9" t="n"/>
      <c r="AC52" s="9" t="n"/>
      <c r="AD52" s="9" t="n"/>
      <c r="AE52" s="10" t="inlineStr">
        <is>
          <t>https://archive.org/details/github.com-anatolian-archaeological-survey-location-collector_-_2018-06-27_09-05-36</t>
        </is>
      </c>
      <c r="AF52" s="9" t="n"/>
      <c r="AG52" s="9" t="n"/>
    </row>
    <row r="53">
      <c r="A53" s="9" t="inlineStr">
        <is>
          <t>archaeology</t>
        </is>
      </c>
      <c r="B53" s="9" t="inlineStr">
        <is>
          <t>A directory of GitHub projects by OR for archaeologists.</t>
        </is>
      </c>
      <c r="C53" s="10" t="inlineStr">
        <is>
          <t>https://github.com/archaeology/archaeology</t>
        </is>
      </c>
      <c r="D53" s="9" t="n"/>
      <c r="E53" s="9" t="n"/>
      <c r="F53" s="9" t="n"/>
      <c r="G53" s="9" t="n"/>
      <c r="H53" s="9" t="n"/>
      <c r="I53" s="9" t="n"/>
      <c r="J53" s="9" t="n"/>
      <c r="K53" s="9" t="n"/>
      <c r="L53" s="9" t="n"/>
      <c r="M53" s="9" t="n"/>
      <c r="N53" s="9" t="n"/>
      <c r="O53" s="9" t="n"/>
      <c r="P53" s="9" t="n"/>
      <c r="Q53" s="9" t="inlineStr">
        <is>
          <t>steko</t>
        </is>
      </c>
      <c r="R53" s="9" t="n"/>
      <c r="S53" s="9" t="n"/>
      <c r="T53" s="9" t="n"/>
      <c r="U53" s="9" t="n"/>
      <c r="V53" s="9" t="n"/>
      <c r="W53" s="9" t="inlineStr">
        <is>
          <t>Lists and datasets</t>
        </is>
      </c>
      <c r="X53" s="9" t="n"/>
      <c r="Y53" s="9" t="inlineStr">
        <is>
          <t>Lists</t>
        </is>
      </c>
      <c r="Z53" s="9" t="n"/>
      <c r="AA53" s="9" t="n"/>
      <c r="AB53" s="9" t="n"/>
      <c r="AC53" s="9" t="n"/>
      <c r="AD53" s="9" t="n"/>
      <c r="AE53" s="10" t="inlineStr">
        <is>
          <t>https://archive.org/details/github.com-archaeology-archaeology_-_2018-04-30_23-20-05</t>
        </is>
      </c>
      <c r="AF53" s="9" t="n"/>
      <c r="AG53" s="9" t="n"/>
    </row>
    <row r="54">
      <c r="A54" s="9" t="inlineStr">
        <is>
          <t>ARchaeology</t>
        </is>
      </c>
      <c r="B54" s="9" t="inlineStr">
        <is>
          <t>View the AR models on your phone.</t>
        </is>
      </c>
      <c r="C54" s="10" t="inlineStr">
        <is>
          <t>https://github.com/lili0824/ARchaeology</t>
        </is>
      </c>
      <c r="D54" s="9" t="n"/>
      <c r="E54" s="9" t="n"/>
      <c r="F54" s="9" t="n"/>
      <c r="G54" s="9" t="n"/>
      <c r="H54" s="9" t="n"/>
      <c r="I54" s="9" t="n"/>
      <c r="J54" s="9" t="n"/>
      <c r="K54" s="9" t="n"/>
      <c r="L54" s="9" t="n"/>
      <c r="M54" s="9" t="n"/>
      <c r="N54" s="9" t="n"/>
      <c r="O54" s="9" t="n"/>
      <c r="P54" s="9" t="n"/>
      <c r="Q54" s="9" t="inlineStr">
        <is>
          <t>lili0824</t>
        </is>
      </c>
      <c r="R54" s="9" t="n"/>
      <c r="S54" s="9" t="n"/>
      <c r="T54" s="9" t="n"/>
      <c r="U54" s="9" t="n"/>
      <c r="V54" s="9" t="n"/>
      <c r="W54" s="9" t="inlineStr">
        <is>
          <t>Standalone software</t>
        </is>
      </c>
      <c r="X54" s="9" t="n"/>
      <c r="Y54" s="9" t="inlineStr">
        <is>
          <t>3D modelling</t>
        </is>
      </c>
      <c r="Z54" s="9" t="inlineStr">
        <is>
          <t>Augmented reality</t>
        </is>
      </c>
      <c r="AA54" s="9" t="inlineStr">
        <is>
          <t>Site mapping</t>
        </is>
      </c>
      <c r="AB54" s="9" t="n"/>
      <c r="AC54" s="9" t="n"/>
      <c r="AD54" s="9" t="n"/>
      <c r="AE54" s="9" t="n"/>
      <c r="AF54" s="9" t="n"/>
      <c r="AG54" s="9" t="n"/>
    </row>
    <row r="55">
      <c r="A55" s="9" t="inlineStr">
        <is>
          <t>archaeology_on_wikipedia.R</t>
        </is>
      </c>
      <c r="B55" s="9" t="inlineStr">
        <is>
          <t>How does wikipedia see archaeology?</t>
        </is>
      </c>
      <c r="C55" s="9" t="n"/>
      <c r="D55" s="10" t="inlineStr">
        <is>
          <t>https://gist.github.com/benmarwick/0d5e6526604e755b556f</t>
        </is>
      </c>
      <c r="E55" s="9" t="n"/>
      <c r="F55" s="9" t="n"/>
      <c r="G55" s="9" t="n"/>
      <c r="H55" s="9" t="n"/>
      <c r="I55" s="9" t="n"/>
      <c r="J55" s="9" t="n"/>
      <c r="K55" s="9" t="n"/>
      <c r="L55" s="9" t="n"/>
      <c r="M55" s="9" t="n"/>
      <c r="N55" s="9" t="n"/>
      <c r="O55" s="9" t="n"/>
      <c r="P55" s="9" t="n"/>
      <c r="Q55" s="9" t="inlineStr">
        <is>
          <t>benmarwick</t>
        </is>
      </c>
      <c r="R55" s="9" t="n"/>
      <c r="S55" s="9" t="n"/>
      <c r="T55" s="9" t="n"/>
      <c r="U55" s="9" t="n"/>
      <c r="V55" s="9" t="n"/>
      <c r="W55" s="9" t="inlineStr">
        <is>
          <t>Products</t>
        </is>
      </c>
      <c r="X55" s="9" t="n"/>
      <c r="Y55" s="9" t="inlineStr">
        <is>
          <t>Public archaeology</t>
        </is>
      </c>
      <c r="Z55" s="9" t="n"/>
      <c r="AA55" s="9" t="n"/>
      <c r="AB55" s="9" t="n"/>
      <c r="AC55" s="9" t="n"/>
      <c r="AD55" s="9" t="n"/>
      <c r="AE55" s="10" t="inlineStr">
        <is>
          <t>https://archive.org/details/gist.github.com-0d5e6526604e755b556f_-_2015-09-22_16-54-45</t>
        </is>
      </c>
      <c r="AF55" s="9" t="n"/>
      <c r="AG55" s="9" t="n"/>
    </row>
    <row r="56">
      <c r="A56" s="9" t="inlineStr">
        <is>
          <t>archaeology-data-service</t>
        </is>
      </c>
      <c r="B56" s="9" t="inlineStr">
        <is>
          <t>An app to collect data on archaeological objects.</t>
        </is>
      </c>
      <c r="C56" s="10" t="inlineStr">
        <is>
          <t>https://github.com/anatolian/archaeology-data-service</t>
        </is>
      </c>
      <c r="D56" s="9" t="n"/>
      <c r="E56" s="9" t="n"/>
      <c r="F56" s="9" t="n"/>
      <c r="G56" s="9" t="n"/>
      <c r="H56" s="9" t="n"/>
      <c r="I56" s="9" t="n"/>
      <c r="J56" s="9" t="n"/>
      <c r="K56" s="9" t="n"/>
      <c r="L56" s="9" t="n"/>
      <c r="M56" s="9" t="n"/>
      <c r="N56" s="9" t="n"/>
      <c r="O56" s="9" t="n"/>
      <c r="P56" s="9" t="n"/>
      <c r="Q56" s="9" t="inlineStr">
        <is>
          <t>anatolian</t>
        </is>
      </c>
      <c r="R56" s="9" t="n"/>
      <c r="S56" s="9" t="n"/>
      <c r="T56" s="9" t="n"/>
      <c r="U56" s="9" t="n"/>
      <c r="V56" s="9" t="n"/>
      <c r="W56" s="9" t="inlineStr">
        <is>
          <t>Packages and libraries</t>
        </is>
      </c>
      <c r="X56" s="9" t="inlineStr">
        <is>
          <t>Mobile app</t>
        </is>
      </c>
      <c r="Y56" s="9" t="inlineStr">
        <is>
          <t>API interfaces and web scrapers</t>
        </is>
      </c>
      <c r="Z56" s="9" t="n"/>
      <c r="AA56" s="9" t="n"/>
      <c r="AB56" s="9" t="n"/>
      <c r="AC56" s="9" t="n"/>
      <c r="AD56" s="9" t="n"/>
      <c r="AE56" s="10" t="inlineStr">
        <is>
          <t>https://archive.org/details/github.com-anatolian-archaeology-data-service_-_2020-06-05_18-22-23</t>
        </is>
      </c>
      <c r="AF56" s="9" t="n"/>
      <c r="AG56" s="9" t="n"/>
    </row>
    <row r="57">
      <c r="A57" s="9" t="inlineStr">
        <is>
          <t>archaeology-grand-challenges.r</t>
        </is>
      </c>
      <c r="B57" s="9" t="inlineStr">
        <is>
          <t>Sketch of a look at the 'grand challenges' of Kintigh et al. 2014.</t>
        </is>
      </c>
      <c r="C57" s="9" t="n"/>
      <c r="D57" s="9" t="n"/>
      <c r="E57" s="10" t="inlineStr">
        <is>
          <t>https://gist.github.com/benmarwick/d3eb3167ccb2116197ca</t>
        </is>
      </c>
      <c r="F57" s="9" t="n"/>
      <c r="G57" s="9" t="n"/>
      <c r="H57" s="9" t="n"/>
      <c r="I57" s="9" t="n"/>
      <c r="J57" s="9" t="n"/>
      <c r="K57" s="9" t="n"/>
      <c r="L57" s="9" t="n"/>
      <c r="M57" s="9" t="n"/>
      <c r="N57" s="9" t="n"/>
      <c r="O57" s="9" t="n"/>
      <c r="P57" s="9" t="n"/>
      <c r="Q57" s="9" t="inlineStr">
        <is>
          <t>benmarwick</t>
        </is>
      </c>
      <c r="R57" s="9" t="n"/>
      <c r="S57" s="9" t="n"/>
      <c r="T57" s="9" t="n"/>
      <c r="U57" s="9" t="n"/>
      <c r="V57" s="9" t="n"/>
      <c r="W57" s="9" t="inlineStr">
        <is>
          <t>Products</t>
        </is>
      </c>
      <c r="X57" s="9" t="n"/>
      <c r="Y57" s="9" t="inlineStr">
        <is>
          <t>API interfaces and web scrapers</t>
        </is>
      </c>
      <c r="Z57" s="9" t="n"/>
      <c r="AA57" s="9" t="n"/>
      <c r="AB57" s="9" t="n"/>
      <c r="AC57" s="9" t="n"/>
      <c r="AD57" s="9" t="n"/>
      <c r="AE57" s="10" t="inlineStr">
        <is>
          <t>https://archive.org/details/gist.github.com-d3eb3167ccb2116197ca_-_2015-08-29_14-00-53</t>
        </is>
      </c>
      <c r="AF57" s="9" t="n"/>
      <c r="AG57" s="9" t="n"/>
    </row>
    <row r="58">
      <c r="A58" s="9" t="inlineStr">
        <is>
          <t>archaeology-machine-learning</t>
        </is>
      </c>
      <c r="B58" s="9" t="inlineStr">
        <is>
          <t>Machine learning techniques for archaeology.</t>
        </is>
      </c>
      <c r="C58" s="10" t="inlineStr">
        <is>
          <t>https://github.com/lakillo/archaeology-machine-learning</t>
        </is>
      </c>
      <c r="D58" s="9" t="n"/>
      <c r="E58" s="9" t="n"/>
      <c r="F58" s="9" t="n"/>
      <c r="G58" s="9" t="n"/>
      <c r="H58" s="9" t="n"/>
      <c r="I58" s="9" t="n"/>
      <c r="J58" s="9" t="n"/>
      <c r="K58" s="9" t="n"/>
      <c r="L58" s="9" t="n"/>
      <c r="M58" s="9" t="n"/>
      <c r="N58" s="9" t="n"/>
      <c r="O58" s="9" t="n"/>
      <c r="P58" s="9" t="n"/>
      <c r="Q58" s="9" t="inlineStr">
        <is>
          <t>lakillo</t>
        </is>
      </c>
      <c r="R58" s="9" t="n"/>
      <c r="S58" s="9" t="n"/>
      <c r="T58" s="9" t="n"/>
      <c r="U58" s="9" t="n"/>
      <c r="V58" s="9" t="n"/>
      <c r="W58" s="9" t="inlineStr">
        <is>
          <t>Lists and datasets</t>
        </is>
      </c>
      <c r="X58" s="9" t="n"/>
      <c r="Y58" s="9" t="inlineStr">
        <is>
          <t>Lists</t>
        </is>
      </c>
      <c r="Z58" s="9" t="inlineStr">
        <is>
          <t>Machine learning</t>
        </is>
      </c>
      <c r="AA58" s="9" t="n"/>
      <c r="AB58" s="9" t="n"/>
      <c r="AC58" s="9" t="n"/>
      <c r="AD58" s="9" t="n"/>
      <c r="AE58" s="9" t="n"/>
      <c r="AF58" s="9" t="n"/>
      <c r="AG58" s="9" t="n"/>
    </row>
    <row r="59">
      <c r="A59" s="9" t="inlineStr">
        <is>
          <t>archaeology-object-data-collector-app</t>
        </is>
      </c>
      <c r="B59" s="9" t="inlineStr">
        <is>
          <t>archaeology-object-data-collector-app</t>
        </is>
      </c>
      <c r="C59" s="10" t="inlineStr">
        <is>
          <t>https://github.com/anatolian/archaeology-object-data-collector-app</t>
        </is>
      </c>
      <c r="D59" s="9" t="n"/>
      <c r="E59" s="9" t="n"/>
      <c r="F59" s="9" t="n"/>
      <c r="G59" s="9" t="n"/>
      <c r="H59" s="9" t="n"/>
      <c r="I59" s="9" t="n"/>
      <c r="J59" s="9" t="n"/>
      <c r="K59" s="9" t="n"/>
      <c r="L59" s="9" t="n"/>
      <c r="M59" s="9" t="n"/>
      <c r="N59" s="9" t="n"/>
      <c r="O59" s="9" t="n"/>
      <c r="P59" s="9" t="n"/>
      <c r="Q59" s="9" t="inlineStr">
        <is>
          <t>anatolian</t>
        </is>
      </c>
      <c r="R59" s="9" t="n"/>
      <c r="S59" s="9" t="n"/>
      <c r="T59" s="9" t="n"/>
      <c r="U59" s="9" t="n"/>
      <c r="V59" s="9" t="n"/>
      <c r="W59" s="9" t="inlineStr">
        <is>
          <t>Packages and libraries</t>
        </is>
      </c>
      <c r="X59" s="9" t="inlineStr">
        <is>
          <t>Mobile app</t>
        </is>
      </c>
      <c r="Y59" s="9" t="inlineStr">
        <is>
          <t>Data management</t>
        </is>
      </c>
      <c r="Z59" s="9" t="n"/>
      <c r="AA59" s="9" t="n"/>
      <c r="AB59" s="9" t="n"/>
      <c r="AC59" s="9" t="n"/>
      <c r="AD59" s="9" t="n"/>
      <c r="AE59" s="10" t="inlineStr">
        <is>
          <t>https://archive.org/details/github.com-anatolian-archaeology-object-data-collector-app_-_2018-06-27_09-58-13</t>
        </is>
      </c>
      <c r="AF59" s="9" t="n"/>
      <c r="AG59" s="9" t="n"/>
    </row>
    <row r="60">
      <c r="A60" s="9" t="inlineStr">
        <is>
          <t>ArchaeologyAdventure</t>
        </is>
      </c>
      <c r="B60" s="9" t="inlineStr">
        <is>
          <t>A simple adventure game in Unity2D. Revolves around being an archaeologist exploring some ruin and digging up treasure/fossils</t>
        </is>
      </c>
      <c r="C60" s="10" t="inlineStr">
        <is>
          <t>https://github.com/Camology/ArchaeologyAdventure</t>
        </is>
      </c>
      <c r="D60" s="9" t="n"/>
      <c r="E60" s="9" t="n"/>
      <c r="F60" s="9" t="n"/>
      <c r="G60" s="9" t="n"/>
      <c r="H60" s="9" t="n"/>
      <c r="I60" s="9" t="n"/>
      <c r="J60" s="9" t="n"/>
      <c r="K60" s="9" t="n"/>
      <c r="L60" s="9" t="n"/>
      <c r="M60" s="9" t="n"/>
      <c r="N60" s="9" t="n"/>
      <c r="O60" s="9" t="n"/>
      <c r="P60" s="9" t="n"/>
      <c r="Q60" s="9" t="inlineStr">
        <is>
          <t>Camology</t>
        </is>
      </c>
      <c r="R60" s="9" t="n"/>
      <c r="S60" s="9" t="n"/>
      <c r="T60" s="9" t="n"/>
      <c r="U60" s="9" t="n"/>
      <c r="V60" s="9" t="n"/>
      <c r="W60" s="9" t="inlineStr">
        <is>
          <t>Products</t>
        </is>
      </c>
      <c r="X60" s="9" t="n"/>
      <c r="Y60" s="9" t="inlineStr">
        <is>
          <t>Games</t>
        </is>
      </c>
      <c r="Z60" s="9" t="n"/>
      <c r="AA60" s="9" t="n"/>
      <c r="AB60" s="9" t="n"/>
      <c r="AC60" s="9" t="n"/>
      <c r="AD60" s="9" t="n"/>
      <c r="AE60" s="10" t="inlineStr">
        <is>
          <t>https://archive.org/details/github.com-Camology-ArchaeologyAdventure_-_2018-06-06_19-54-37</t>
        </is>
      </c>
      <c r="AF60" s="9" t="n"/>
      <c r="AG60" s="9" t="n"/>
    </row>
    <row r="61">
      <c r="A61" s="9" t="inlineStr">
        <is>
          <t>ArchaeolPhytoliths</t>
        </is>
      </c>
      <c r="B61" s="9" t="inlineStr">
        <is>
          <t>Automated detection and classification of multi-cell phytoliths at genera and species-level using Deep Learning algorithm.</t>
        </is>
      </c>
      <c r="C61" s="10" t="inlineStr">
        <is>
          <t>https://github.com/iberganzo/ArchaeolPhytoliths</t>
        </is>
      </c>
      <c r="D61" s="9" t="n"/>
      <c r="E61" s="9" t="n"/>
      <c r="F61" s="9" t="n"/>
      <c r="G61" s="9" t="n"/>
      <c r="H61" s="9" t="n"/>
      <c r="I61" s="9" t="n"/>
      <c r="J61" s="9" t="n"/>
      <c r="K61" s="9" t="n"/>
      <c r="L61" s="9" t="n"/>
      <c r="M61" s="9" t="n"/>
      <c r="N61" s="9" t="n"/>
      <c r="O61" s="9" t="n"/>
      <c r="P61" s="9" t="n"/>
      <c r="Q61" s="9" t="inlineStr">
        <is>
          <t>iberganzo</t>
        </is>
      </c>
      <c r="R61" s="9" t="n"/>
      <c r="S61" s="9" t="n"/>
      <c r="T61" s="9" t="n"/>
      <c r="U61" s="9" t="n"/>
      <c r="V61" s="9" t="n"/>
      <c r="W61" s="9" t="inlineStr">
        <is>
          <t>Packages and libraries</t>
        </is>
      </c>
      <c r="X61" s="9" t="inlineStr">
        <is>
          <t>Python</t>
        </is>
      </c>
      <c r="Y61" s="9" t="inlineStr">
        <is>
          <t>Palaeobotany</t>
        </is>
      </c>
      <c r="Z61" s="9" t="inlineStr">
        <is>
          <t>Machine learning</t>
        </is>
      </c>
      <c r="AA61" s="9" t="inlineStr">
        <is>
          <t>Shape recognition</t>
        </is>
      </c>
      <c r="AB61" s="9" t="n"/>
      <c r="AC61" s="9" t="n"/>
      <c r="AD61" s="9" t="n"/>
      <c r="AE61" s="9" t="n"/>
      <c r="AF61" s="9" t="n"/>
      <c r="AG61" s="9" t="n"/>
    </row>
    <row r="62">
      <c r="A62" s="9" t="inlineStr">
        <is>
          <t>ArchaeoMag</t>
        </is>
      </c>
      <c r="B62" s="9" t="inlineStr">
        <is>
          <t>Program for the modelling of magnetic anomalies in archaeological research.</t>
        </is>
      </c>
      <c r="C62" s="10" t="inlineStr">
        <is>
          <t>https://github.com/antonio-schettino/ArchaeoMag</t>
        </is>
      </c>
      <c r="D62" s="9" t="n"/>
      <c r="E62" s="9" t="n"/>
      <c r="F62" s="9" t="n"/>
      <c r="G62" s="9" t="n"/>
      <c r="H62" s="9" t="n"/>
      <c r="I62" s="9" t="n"/>
      <c r="J62" s="9" t="n"/>
      <c r="K62" s="9" t="n"/>
      <c r="L62" s="9" t="n"/>
      <c r="M62" s="9" t="n"/>
      <c r="N62" s="9" t="n"/>
      <c r="O62" s="10" t="inlineStr">
        <is>
          <t>https://doi.org/10.4430/bgta0296</t>
        </is>
      </c>
      <c r="P62" s="9" t="n"/>
      <c r="Q62" s="9" t="inlineStr">
        <is>
          <t>antonio-schettino</t>
        </is>
      </c>
      <c r="R62" s="9" t="n"/>
      <c r="S62" s="9" t="n"/>
      <c r="T62" s="9" t="n"/>
      <c r="U62" s="9" t="n"/>
      <c r="V62" s="9" t="n"/>
      <c r="W62" s="9" t="inlineStr">
        <is>
          <t>Standalone software</t>
        </is>
      </c>
      <c r="X62" s="9" t="n"/>
      <c r="Y62" s="9" t="inlineStr">
        <is>
          <t>Geophysical survey</t>
        </is>
      </c>
      <c r="Z62" s="9" t="n"/>
      <c r="AA62" s="9" t="n"/>
      <c r="AB62" s="9" t="n"/>
      <c r="AC62" s="9" t="n"/>
      <c r="AD62" s="9" t="n"/>
      <c r="AE62" s="9" t="n"/>
      <c r="AF62" s="9" t="n"/>
      <c r="AG62" s="9" t="n"/>
    </row>
    <row r="63">
      <c r="A63" s="9" t="inlineStr">
        <is>
          <t>ArchaeoPhases</t>
        </is>
      </c>
      <c r="B63" s="9" t="inlineStr">
        <is>
          <t>Tools for the post-processing of the Markov Chain simulated by any software used for the construction of archeological chronologies.</t>
        </is>
      </c>
      <c r="C63" s="10" t="inlineStr">
        <is>
          <t>https://github.com/ArchaeoStat/ArchaeoPhases</t>
        </is>
      </c>
      <c r="D63" s="9" t="n"/>
      <c r="E63" s="9" t="n"/>
      <c r="F63" s="9" t="n"/>
      <c r="G63" s="9" t="n"/>
      <c r="H63" s="9" t="n"/>
      <c r="I63" s="9" t="n"/>
      <c r="J63" s="9" t="n"/>
      <c r="K63" s="10" t="inlineStr">
        <is>
          <t>https://cran.r-project.org/package=ArchaeoPhases</t>
        </is>
      </c>
      <c r="L63" s="9" t="n"/>
      <c r="M63" s="9" t="n"/>
      <c r="N63" s="10" t="inlineStr">
        <is>
          <t>https://archaeostat.github.io/ArchaeoPhases/</t>
        </is>
      </c>
      <c r="O63" s="10" t="inlineStr">
        <is>
          <t>https://doi.org/10.18637/jss.v093.c01</t>
        </is>
      </c>
      <c r="P63" s="9" t="inlineStr">
        <is>
          <t>10.5281/zenodo.8087121</t>
        </is>
      </c>
      <c r="Q63" s="9" t="inlineStr">
        <is>
          <t>philippe-a</t>
        </is>
      </c>
      <c r="R63" s="9" t="inlineStr">
        <is>
          <t>marieannevibet</t>
        </is>
      </c>
      <c r="S63" s="9" t="inlineStr">
        <is>
          <t>tsdye</t>
        </is>
      </c>
      <c r="T63" s="9" t="inlineStr">
        <is>
          <t>nfrerebeau</t>
        </is>
      </c>
      <c r="U63" s="9" t="n"/>
      <c r="V63" s="9" t="n"/>
      <c r="W63" s="9" t="inlineStr">
        <is>
          <t>Packages and libraries</t>
        </is>
      </c>
      <c r="X63" s="9" t="inlineStr">
        <is>
          <t>R</t>
        </is>
      </c>
      <c r="Y63" s="9" t="inlineStr">
        <is>
          <t>Chronological modelling</t>
        </is>
      </c>
      <c r="Z63" s="9" t="n"/>
      <c r="AA63" s="9" t="n"/>
      <c r="AB63" s="9" t="n"/>
      <c r="AC63" s="9" t="n"/>
      <c r="AD63" s="9" t="n"/>
      <c r="AE63" s="10" t="inlineStr">
        <is>
          <t>https://archive.org/details/github.com-ArchaeoStat-ArchaeoPhases_-_2020-12-01_12-35-04</t>
        </is>
      </c>
      <c r="AF63" s="9" t="n"/>
      <c r="AG63" s="9" t="n"/>
    </row>
    <row r="64">
      <c r="A64" s="9" t="inlineStr">
        <is>
          <t>archaeosrp</t>
        </is>
      </c>
      <c r="B64" s="9" t="inlineStr">
        <is>
          <t>Read PDFs with archaeological site report information and return the information in the forms as a dataframe.</t>
        </is>
      </c>
      <c r="C64" s="10" t="inlineStr">
        <is>
          <t>https://github.com/seanbergin/archaeosrp</t>
        </is>
      </c>
      <c r="D64" s="9" t="n"/>
      <c r="E64" s="9" t="n"/>
      <c r="F64" s="9" t="n"/>
      <c r="G64" s="9" t="n"/>
      <c r="H64" s="9" t="n"/>
      <c r="I64" s="9" t="n"/>
      <c r="J64" s="9" t="n"/>
      <c r="K64" s="9" t="n"/>
      <c r="L64" s="9" t="n"/>
      <c r="M64" s="9" t="n"/>
      <c r="N64" s="9" t="n"/>
      <c r="O64" s="9" t="n"/>
      <c r="P64" s="9" t="n"/>
      <c r="Q64" s="9" t="inlineStr">
        <is>
          <t>seanbergin</t>
        </is>
      </c>
      <c r="R64" s="9" t="n"/>
      <c r="S64" s="9" t="n"/>
      <c r="T64" s="9" t="n"/>
      <c r="U64" s="9" t="n"/>
      <c r="V64" s="9" t="n"/>
      <c r="W64" s="9" t="inlineStr">
        <is>
          <t>Packages and libraries</t>
        </is>
      </c>
      <c r="X64" s="9" t="inlineStr">
        <is>
          <t>R</t>
        </is>
      </c>
      <c r="Y64" s="9" t="inlineStr">
        <is>
          <t>Writing</t>
        </is>
      </c>
      <c r="Z64" s="9" t="n"/>
      <c r="AA64" s="9" t="n"/>
      <c r="AB64" s="9" t="n"/>
      <c r="AC64" s="9" t="n"/>
      <c r="AD64" s="9" t="n"/>
      <c r="AE64" s="9" t="n"/>
      <c r="AF64" s="9" t="n"/>
      <c r="AG64" s="9" t="n"/>
    </row>
    <row r="65">
      <c r="A65" s="9" t="inlineStr">
        <is>
          <t>ArchAIDE</t>
        </is>
      </c>
      <c r="B65" s="9" t="inlineStr">
        <is>
          <t>Tool for the automatic recognition of archaeological pottery.</t>
        </is>
      </c>
      <c r="C65" s="10" t="inlineStr">
        <is>
          <t>https://github.com/barak-itkin/archaide-software</t>
        </is>
      </c>
      <c r="D65" s="9" t="n"/>
      <c r="E65" s="9" t="n"/>
      <c r="F65" s="9" t="n"/>
      <c r="G65" s="9" t="n"/>
      <c r="H65" s="9" t="n"/>
      <c r="I65" s="9" t="n"/>
      <c r="J65" s="9" t="n"/>
      <c r="K65" s="9" t="n"/>
      <c r="L65" s="9" t="n"/>
      <c r="M65" s="9" t="n"/>
      <c r="N65" s="10" t="inlineStr">
        <is>
          <t>http://www.archaide.eu/</t>
        </is>
      </c>
      <c r="O65" s="9" t="n"/>
      <c r="P65" s="9" t="n"/>
      <c r="Q65" s="9" t="inlineStr">
        <is>
          <t>barak-itkin</t>
        </is>
      </c>
      <c r="R65" s="9" t="n"/>
      <c r="S65" s="9" t="n"/>
      <c r="T65" s="9" t="n"/>
      <c r="U65" s="9" t="n"/>
      <c r="V65" s="9" t="n"/>
      <c r="W65" s="9" t="inlineStr">
        <is>
          <t>Standalone software</t>
        </is>
      </c>
      <c r="X65" s="9" t="n"/>
      <c r="Y65" s="9" t="inlineStr">
        <is>
          <t>Shape recognition</t>
        </is>
      </c>
      <c r="Z65" s="9" t="inlineStr">
        <is>
          <t>Ceramic analysis</t>
        </is>
      </c>
      <c r="AA65" s="9" t="n"/>
      <c r="AB65" s="9" t="n"/>
      <c r="AC65" s="9" t="n"/>
      <c r="AD65" s="9" t="n"/>
      <c r="AE65" s="10" t="inlineStr">
        <is>
          <t>https://archive.org/details/github.com-barak-itkin-archaide-software_-_2021-02-27_14-51-52</t>
        </is>
      </c>
      <c r="AF65" s="9" t="n"/>
      <c r="AG65" s="9" t="n"/>
    </row>
    <row r="66">
      <c r="A66" s="9" t="inlineStr">
        <is>
          <t>archchron</t>
        </is>
      </c>
      <c r="B66" s="9" t="inlineStr">
        <is>
          <t>For handling archaeological chronological data.</t>
        </is>
      </c>
      <c r="C66" s="9" t="n"/>
      <c r="D66" s="9" t="n"/>
      <c r="E66" s="10" t="inlineStr">
        <is>
          <t>https://gitlab.com/oliver.nakoinz/archchron</t>
        </is>
      </c>
      <c r="F66" s="9" t="n"/>
      <c r="G66" s="9" t="n"/>
      <c r="H66" s="9" t="n"/>
      <c r="I66" s="9" t="n"/>
      <c r="J66" s="9" t="n"/>
      <c r="K66" s="9" t="n"/>
      <c r="L66" s="9" t="n"/>
      <c r="M66" s="9" t="n"/>
      <c r="N66" s="9" t="n"/>
      <c r="O66" s="9" t="n"/>
      <c r="P66" s="9" t="n"/>
      <c r="Q66" s="9" t="inlineStr">
        <is>
          <t>oliver.nakoinz</t>
        </is>
      </c>
      <c r="R66" s="9" t="n"/>
      <c r="S66" s="9" t="n"/>
      <c r="T66" s="9" t="n"/>
      <c r="U66" s="9" t="n"/>
      <c r="V66" s="9" t="n"/>
      <c r="W66" s="9" t="inlineStr">
        <is>
          <t>Packages and libraries</t>
        </is>
      </c>
      <c r="X66" s="9" t="inlineStr">
        <is>
          <t>R</t>
        </is>
      </c>
      <c r="Y66" s="9" t="inlineStr">
        <is>
          <t>Chronological modelling</t>
        </is>
      </c>
      <c r="Z66" s="9" t="n"/>
      <c r="AA66" s="9" t="n"/>
      <c r="AB66" s="9" t="n"/>
      <c r="AC66" s="9" t="n"/>
      <c r="AD66" s="9" t="n"/>
      <c r="AE66" s="9" t="n"/>
      <c r="AF66" s="9" t="n"/>
      <c r="AG66" s="9" t="n"/>
    </row>
    <row r="67">
      <c r="A67" s="9" t="inlineStr">
        <is>
          <t>archdata</t>
        </is>
      </c>
      <c r="B67" s="9" t="inlineStr">
        <is>
          <t>The archdata package provides several types of data that are typically used in archaeological research</t>
        </is>
      </c>
      <c r="C67" s="9" t="n"/>
      <c r="D67" s="9" t="n"/>
      <c r="E67" s="9" t="n"/>
      <c r="F67" s="9" t="n"/>
      <c r="G67" s="9" t="n"/>
      <c r="H67" s="9" t="n"/>
      <c r="I67" s="9" t="n"/>
      <c r="J67" s="9" t="n"/>
      <c r="K67" s="10" t="inlineStr">
        <is>
          <t>https://cran.r-project.org/package=archdata</t>
        </is>
      </c>
      <c r="L67" s="9" t="n"/>
      <c r="M67" s="9" t="n"/>
      <c r="N67" s="9" t="n"/>
      <c r="O67" s="9" t="n"/>
      <c r="P67" s="9" t="n"/>
      <c r="Q67" s="9" t="inlineStr">
        <is>
          <t>David L. Carlson</t>
        </is>
      </c>
      <c r="R67" s="9" t="inlineStr">
        <is>
          <t>Georg Roth</t>
        </is>
      </c>
      <c r="S67" s="9" t="n"/>
      <c r="T67" s="9" t="n"/>
      <c r="U67" s="9" t="n"/>
      <c r="V67" s="9" t="n"/>
      <c r="W67" s="9" t="inlineStr">
        <is>
          <t>Packages and libraries</t>
        </is>
      </c>
      <c r="X67" s="9" t="inlineStr">
        <is>
          <t>R</t>
        </is>
      </c>
      <c r="Y67" s="9" t="inlineStr">
        <is>
          <t>Datasets</t>
        </is>
      </c>
      <c r="Z67" s="9" t="n"/>
      <c r="AA67" s="9" t="n"/>
      <c r="AB67" s="9" t="n"/>
      <c r="AC67" s="9" t="n"/>
      <c r="AD67" s="9" t="n"/>
      <c r="AE67" s="9" t="n"/>
      <c r="AF67" s="9" t="n"/>
      <c r="AG67" s="9" t="n"/>
    </row>
    <row r="68">
      <c r="A68" s="9" t="inlineStr">
        <is>
          <t>archeo-bertje</t>
        </is>
      </c>
      <c r="B68" s="9" t="inlineStr">
        <is>
          <t>A Dutch BERT model for the Archaeology domain.</t>
        </is>
      </c>
      <c r="C68" s="10" t="inlineStr">
        <is>
          <t>https://github.com/alexbrandsen/archeo-bertje</t>
        </is>
      </c>
      <c r="D68" s="9" t="n"/>
      <c r="E68" s="9" t="n"/>
      <c r="F68" s="9" t="n"/>
      <c r="G68" s="9" t="n"/>
      <c r="H68" s="9" t="n"/>
      <c r="I68" s="9" t="n"/>
      <c r="J68" s="9" t="n"/>
      <c r="K68" s="9" t="n"/>
      <c r="L68" s="9" t="n"/>
      <c r="M68" s="9" t="n"/>
      <c r="N68" s="9" t="n"/>
      <c r="O68" s="9" t="n"/>
      <c r="P68" s="9" t="n"/>
      <c r="Q68" s="9" t="inlineStr">
        <is>
          <t>alexbrandsen</t>
        </is>
      </c>
      <c r="R68" s="9" t="n"/>
      <c r="S68" s="9" t="n"/>
      <c r="T68" s="9" t="n"/>
      <c r="U68" s="9" t="n"/>
      <c r="V68" s="9" t="n"/>
      <c r="W68" s="9" t="inlineStr">
        <is>
          <t>Specifications, protocols and schemas</t>
        </is>
      </c>
      <c r="X68" s="9" t="n"/>
      <c r="Y68" s="9" t="inlineStr">
        <is>
          <t>Machine learning</t>
        </is>
      </c>
      <c r="Z68" s="9" t="inlineStr">
        <is>
          <t>Schemas and ontologies</t>
        </is>
      </c>
      <c r="AA68" s="9" t="n"/>
      <c r="AB68" s="9" t="n"/>
      <c r="AC68" s="9" t="n"/>
      <c r="AD68" s="9" t="n"/>
      <c r="AE68" s="9" t="n"/>
      <c r="AF68" s="9" t="n"/>
      <c r="AG68" s="9" t="n"/>
    </row>
    <row r="69">
      <c r="A69" s="9" t="inlineStr">
        <is>
          <t>archeofrag</t>
        </is>
      </c>
      <c r="B69" s="9" t="inlineStr">
        <is>
          <t>R package for the analysis of the fragmentation of archeological objects.</t>
        </is>
      </c>
      <c r="C69" s="10" t="inlineStr">
        <is>
          <t>https://github.com/sebastien-plutniak/archeofrag</t>
        </is>
      </c>
      <c r="D69" s="9" t="n"/>
      <c r="E69" s="9" t="n"/>
      <c r="F69" s="9" t="n"/>
      <c r="G69" s="9" t="n"/>
      <c r="H69" s="9" t="n"/>
      <c r="I69" s="9" t="n"/>
      <c r="J69" s="9" t="n"/>
      <c r="K69" s="10" t="inlineStr">
        <is>
          <t>https://cran.r-project.org/package=archeofrag</t>
        </is>
      </c>
      <c r="L69" s="9" t="n"/>
      <c r="M69" s="9" t="n"/>
      <c r="N69" s="9" t="n"/>
      <c r="O69" s="10" t="inlineStr">
        <is>
          <t>https://doi.org/10.1016/j.jas.2021.105501</t>
        </is>
      </c>
      <c r="P69" s="9" t="n"/>
      <c r="Q69" s="9" t="inlineStr">
        <is>
          <t>sebastien-plutniak</t>
        </is>
      </c>
      <c r="R69" s="9" t="n"/>
      <c r="S69" s="9" t="n"/>
      <c r="T69" s="9" t="n"/>
      <c r="U69" s="9" t="n"/>
      <c r="V69" s="9" t="n"/>
      <c r="W69" s="9" t="inlineStr">
        <is>
          <t>Packages and libraries</t>
        </is>
      </c>
      <c r="X69" s="9" t="inlineStr">
        <is>
          <t>R</t>
        </is>
      </c>
      <c r="Y69" s="9" t="inlineStr">
        <is>
          <t>Spatial analysis</t>
        </is>
      </c>
      <c r="Z69" s="9" t="inlineStr">
        <is>
          <t>Simulation</t>
        </is>
      </c>
      <c r="AA69" s="9" t="inlineStr">
        <is>
          <t>Statistical analysis</t>
        </is>
      </c>
      <c r="AB69" s="9" t="n"/>
      <c r="AC69" s="9" t="n"/>
      <c r="AD69" s="9" t="n"/>
      <c r="AE69" s="10" t="inlineStr">
        <is>
          <t>https://archive.org/details/github.com-sebastien-plutniak-archeofrag_-_2020-11-30_13-30-27</t>
        </is>
      </c>
      <c r="AF69" s="9" t="n"/>
      <c r="AG69" s="9" t="n"/>
    </row>
    <row r="70">
      <c r="A70" s="9" t="inlineStr">
        <is>
          <t>ArcheOS</t>
        </is>
      </c>
      <c r="B70" s="9" t="inlineStr">
        <is>
          <t>Linux distribution with specialist software for archaeological purposes.</t>
        </is>
      </c>
      <c r="C70" s="10" t="inlineStr">
        <is>
          <t>https://github.com/archeos/ArcheOS</t>
        </is>
      </c>
      <c r="D70" s="9" t="n"/>
      <c r="E70" s="9" t="n"/>
      <c r="F70" s="9" t="n"/>
      <c r="G70" s="9" t="n"/>
      <c r="H70" s="9" t="n"/>
      <c r="I70" s="9" t="n"/>
      <c r="J70" s="9" t="n"/>
      <c r="K70" s="9" t="n"/>
      <c r="L70" s="9" t="n"/>
      <c r="M70" s="9" t="n"/>
      <c r="N70" s="10" t="inlineStr">
        <is>
          <t>https://distrowatch.com/table.php?distribution=archeos</t>
        </is>
      </c>
      <c r="O70" s="9" t="n"/>
      <c r="P70" s="9" t="n"/>
      <c r="Q70" s="9" t="inlineStr">
        <is>
          <t>archeos</t>
        </is>
      </c>
      <c r="R70" s="9" t="n"/>
      <c r="S70" s="9" t="n"/>
      <c r="T70" s="9" t="n"/>
      <c r="U70" s="9" t="n"/>
      <c r="V70" s="9" t="n"/>
      <c r="W70" s="9" t="inlineStr">
        <is>
          <t>Standalone software</t>
        </is>
      </c>
      <c r="X70" s="9" t="n"/>
      <c r="Y70" s="9" t="inlineStr">
        <is>
          <t>Drivers and IO</t>
        </is>
      </c>
      <c r="Z70" s="9" t="inlineStr">
        <is>
          <t>Bits and bobs</t>
        </is>
      </c>
      <c r="AA70" s="9" t="n"/>
      <c r="AB70" s="9" t="n"/>
      <c r="AC70" s="9" t="n"/>
      <c r="AD70" s="9" t="n"/>
      <c r="AE70" s="9" t="n"/>
      <c r="AF70" s="9" t="n"/>
      <c r="AG70" s="9" t="n"/>
    </row>
    <row r="71">
      <c r="A71" s="9" t="inlineStr">
        <is>
          <t>ArcheoShape</t>
        </is>
      </c>
      <c r="B71" s="9" t="inlineStr">
        <is>
          <t>Analysis tools for geometric models of archaeological pieces.</t>
        </is>
      </c>
      <c r="C71" s="10" t="inlineStr">
        <is>
          <t>https://github.com/omendoza83/ArcheoShape</t>
        </is>
      </c>
      <c r="D71" s="9" t="n"/>
      <c r="E71" s="9" t="n"/>
      <c r="F71" s="9" t="n"/>
      <c r="G71" s="9" t="n"/>
      <c r="H71" s="9" t="n"/>
      <c r="I71" s="9" t="n"/>
      <c r="J71" s="9" t="n"/>
      <c r="K71" s="9" t="n"/>
      <c r="L71" s="9" t="n"/>
      <c r="M71" s="9" t="n"/>
      <c r="N71" s="9" t="n"/>
      <c r="O71" s="9" t="n"/>
      <c r="P71" s="9" t="n"/>
      <c r="Q71" s="9" t="inlineStr">
        <is>
          <t>omendoza83</t>
        </is>
      </c>
      <c r="R71" s="9" t="n"/>
      <c r="S71" s="9" t="n"/>
      <c r="T71" s="9" t="n"/>
      <c r="U71" s="9" t="n"/>
      <c r="V71" s="9" t="n"/>
      <c r="W71" s="9" t="inlineStr">
        <is>
          <t>Standalone software</t>
        </is>
      </c>
      <c r="X71" s="9" t="n"/>
      <c r="Y71" s="9" t="inlineStr">
        <is>
          <t>Artefact morphology</t>
        </is>
      </c>
      <c r="Z71" s="9" t="n"/>
      <c r="AA71" s="9" t="n"/>
      <c r="AB71" s="9" t="n"/>
      <c r="AC71" s="9" t="n"/>
      <c r="AD71" s="9" t="n"/>
      <c r="AE71" s="9" t="n"/>
      <c r="AF71" s="9" t="n"/>
      <c r="AG71" s="9" t="n"/>
    </row>
    <row r="72">
      <c r="A72" s="9" t="inlineStr">
        <is>
          <t>archeoViz</t>
        </is>
      </c>
      <c r="B72" s="9" t="inlineStr">
        <is>
          <t>A packaged R 'Shiny' application for the visualisation, interactive exploration, and web communication of archaeological spatial data.</t>
        </is>
      </c>
      <c r="C72" s="10" t="inlineStr">
        <is>
          <t>https://github.com/sebastien-plutniak/archeoviz</t>
        </is>
      </c>
      <c r="D72" s="9" t="n"/>
      <c r="E72" s="9" t="n"/>
      <c r="F72" s="9" t="n"/>
      <c r="G72" s="9" t="n"/>
      <c r="H72" s="9" t="n"/>
      <c r="I72" s="9" t="n"/>
      <c r="J72" s="9" t="n"/>
      <c r="K72" s="10" t="inlineStr">
        <is>
          <t>https://cran.r-project.org/package=archeoViz</t>
        </is>
      </c>
      <c r="L72" s="9" t="n"/>
      <c r="M72" s="9" t="n"/>
      <c r="N72" s="10" t="inlineStr">
        <is>
          <t>https://analytics.huma-num.fr/archeoviz/home/</t>
        </is>
      </c>
      <c r="O72" s="9" t="n"/>
      <c r="P72" s="9" t="inlineStr">
        <is>
          <t>10.5281/zenodo.7460193</t>
        </is>
      </c>
      <c r="Q72" s="9" t="inlineStr">
        <is>
          <t>sebastien-plutniak</t>
        </is>
      </c>
      <c r="R72" s="9" t="n"/>
      <c r="S72" s="9" t="n"/>
      <c r="T72" s="9" t="n"/>
      <c r="U72" s="9" t="n"/>
      <c r="V72" s="9" t="n"/>
      <c r="W72" s="9" t="inlineStr">
        <is>
          <t>Packages and libraries</t>
        </is>
      </c>
      <c r="X72" s="9" t="inlineStr">
        <is>
          <t>R</t>
        </is>
      </c>
      <c r="Y72" s="9" t="inlineStr">
        <is>
          <t>Diagrams and visualizations</t>
        </is>
      </c>
      <c r="Z72" s="9" t="inlineStr">
        <is>
          <t>Spatial analysis</t>
        </is>
      </c>
      <c r="AA72" s="9" t="inlineStr">
        <is>
          <t>Site mapping</t>
        </is>
      </c>
      <c r="AB72" s="9" t="n"/>
      <c r="AC72" s="9" t="n"/>
      <c r="AD72" s="9" t="n"/>
      <c r="AE72" s="9" t="n"/>
      <c r="AF72" s="9" t="n"/>
      <c r="AG72" s="9" t="n"/>
    </row>
    <row r="73">
      <c r="A73" s="9" t="inlineStr">
        <is>
          <t>archeoViz Portal</t>
        </is>
      </c>
      <c r="B73" s="9" t="inlineStr">
        <is>
          <t>An R Shiny application to gather and map datasets visualised using the archeoViz application</t>
        </is>
      </c>
      <c r="C73" s="10" t="inlineStr">
        <is>
          <t>https://github.com/sebastien-plutniak/archeoviz-portal</t>
        </is>
      </c>
      <c r="D73" s="9" t="n"/>
      <c r="E73" s="9" t="n"/>
      <c r="F73" s="9" t="n"/>
      <c r="G73" s="9" t="n"/>
      <c r="H73" s="9" t="n"/>
      <c r="I73" s="9" t="n"/>
      <c r="J73" s="9" t="n"/>
      <c r="K73" s="9" t="n"/>
      <c r="L73" s="9" t="n"/>
      <c r="M73" s="9" t="n"/>
      <c r="N73" s="10" t="inlineStr">
        <is>
          <t>https://analytics.huma-num.fr/archeoviz/home/</t>
        </is>
      </c>
      <c r="O73" s="9" t="n"/>
      <c r="P73" s="9" t="n"/>
      <c r="Q73" s="9" t="inlineStr">
        <is>
          <t>sebastien-plutniak</t>
        </is>
      </c>
      <c r="R73" s="9" t="n"/>
      <c r="S73" s="9" t="n"/>
      <c r="T73" s="9" t="n"/>
      <c r="U73" s="9" t="n"/>
      <c r="V73" s="9" t="n"/>
      <c r="W73" s="9" t="inlineStr">
        <is>
          <t>Lists and datasets</t>
        </is>
      </c>
      <c r="X73" s="9" t="inlineStr">
        <is>
          <t>R</t>
        </is>
      </c>
      <c r="Y73" s="9" t="inlineStr">
        <is>
          <t>Platforms and publications</t>
        </is>
      </c>
      <c r="Z73" s="9" t="inlineStr">
        <is>
          <t>Data collection</t>
        </is>
      </c>
      <c r="AA73" s="9" t="inlineStr">
        <is>
          <t>Datasets</t>
        </is>
      </c>
      <c r="AB73" s="9" t="n"/>
      <c r="AC73" s="9" t="n"/>
      <c r="AD73" s="9" t="n"/>
      <c r="AE73" s="9" t="n"/>
      <c r="AF73" s="9" t="n"/>
      <c r="AG73" s="9" t="n"/>
    </row>
    <row r="74">
      <c r="A74" s="9" t="inlineStr">
        <is>
          <t>arches</t>
        </is>
      </c>
      <c r="B74" s="9" t="inlineStr">
        <is>
          <t>Arches is a web platform for creating, managing, &amp; visualizing geospatial data. Arches was inspired by the needs of the Cultural Heritage community, particularly the widespread need of organizations to build &amp; manage cultural heritage inventories.</t>
        </is>
      </c>
      <c r="C74" s="10" t="inlineStr">
        <is>
          <t>https://github.com/archesproject/arches</t>
        </is>
      </c>
      <c r="D74" s="9" t="n"/>
      <c r="E74" s="9" t="n"/>
      <c r="F74" s="9" t="n"/>
      <c r="G74" s="9" t="n"/>
      <c r="H74" s="9" t="n"/>
      <c r="I74" s="9" t="n"/>
      <c r="J74" s="9" t="n"/>
      <c r="K74" s="9" t="n"/>
      <c r="L74" s="9" t="n"/>
      <c r="M74" s="9" t="n"/>
      <c r="N74" s="10" t="inlineStr">
        <is>
          <t>https://www.archesproject.org/</t>
        </is>
      </c>
      <c r="O74" s="9" t="n"/>
      <c r="P74" s="9" t="n"/>
      <c r="Q74" s="9" t="inlineStr">
        <is>
          <t>archesproject</t>
        </is>
      </c>
      <c r="R74" s="9" t="n"/>
      <c r="S74" s="9" t="n"/>
      <c r="T74" s="9" t="n"/>
      <c r="U74" s="9" t="n"/>
      <c r="V74" s="9" t="n"/>
      <c r="W74" s="9" t="inlineStr">
        <is>
          <t>Standalone software</t>
        </is>
      </c>
      <c r="X74" s="9" t="n"/>
      <c r="Y74" s="9" t="inlineStr">
        <is>
          <t>Data management</t>
        </is>
      </c>
      <c r="Z74" s="9" t="n"/>
      <c r="AA74" s="9" t="n"/>
      <c r="AB74" s="9" t="n"/>
      <c r="AC74" s="9" t="n"/>
      <c r="AD74" s="9" t="n"/>
      <c r="AE74" s="10" t="inlineStr">
        <is>
          <t>https://archive.org/details/github.com-archesproject-arches_-_2021-02-04_04-54-27</t>
        </is>
      </c>
      <c r="AF74" s="9" t="n"/>
      <c r="AG74" s="9" t="n"/>
    </row>
    <row r="75">
      <c r="A75" s="9" t="inlineStr">
        <is>
          <t>arches-via-docker</t>
        </is>
      </c>
      <c r="B75" s="9" t="inlineStr">
        <is>
          <t>Deployment of Arches via Docker for archaeology and related instruction.</t>
        </is>
      </c>
      <c r="C75" s="10" t="inlineStr">
        <is>
          <t>https://github.com/opencontext/arches-via-docker</t>
        </is>
      </c>
      <c r="D75" s="9" t="n"/>
      <c r="E75" s="9" t="n"/>
      <c r="F75" s="9" t="n"/>
      <c r="G75" s="9" t="n"/>
      <c r="H75" s="9" t="n"/>
      <c r="I75" s="9" t="n"/>
      <c r="J75" s="9" t="n"/>
      <c r="K75" s="9" t="n"/>
      <c r="L75" s="9" t="n"/>
      <c r="M75" s="9" t="n"/>
      <c r="N75" s="9" t="n"/>
      <c r="O75" s="9" t="n"/>
      <c r="P75" s="9" t="n"/>
      <c r="Q75" s="9" t="inlineStr">
        <is>
          <t>opencontext</t>
        </is>
      </c>
      <c r="R75" s="9" t="n"/>
      <c r="S75" s="9" t="n"/>
      <c r="T75" s="9" t="n"/>
      <c r="U75" s="9" t="n"/>
      <c r="V75" s="9" t="n"/>
      <c r="W75" s="9" t="inlineStr">
        <is>
          <t>Standalone software</t>
        </is>
      </c>
      <c r="X75" s="9" t="n"/>
      <c r="Y75" s="9" t="inlineStr">
        <is>
          <t>Drivers and IO</t>
        </is>
      </c>
      <c r="Z75" s="9" t="n"/>
      <c r="AA75" s="9" t="n"/>
      <c r="AB75" s="9" t="n"/>
      <c r="AC75" s="9" t="n"/>
      <c r="AD75" s="9" t="n"/>
      <c r="AE75" s="9" t="n"/>
      <c r="AF75" s="9" t="n"/>
      <c r="AG75" s="9" t="n"/>
    </row>
    <row r="76">
      <c r="A76" s="9" t="inlineStr">
        <is>
          <t>archiedb</t>
        </is>
      </c>
      <c r="B76" s="9" t="inlineStr">
        <is>
          <t>A light-weight database application designed to standardize and simplify data entry of archaeological or historical artifacts</t>
        </is>
      </c>
      <c r="C76" s="10" t="inlineStr">
        <is>
          <t>https://github.com/archiedb/archie</t>
        </is>
      </c>
      <c r="D76" s="9" t="n"/>
      <c r="E76" s="9" t="n"/>
      <c r="F76" s="9" t="n"/>
      <c r="G76" s="9" t="n"/>
      <c r="H76" s="9" t="n"/>
      <c r="I76" s="9" t="n"/>
      <c r="J76" s="9" t="n"/>
      <c r="K76" s="9" t="n"/>
      <c r="L76" s="9" t="n"/>
      <c r="M76" s="9" t="n"/>
      <c r="N76" s="9" t="n"/>
      <c r="O76" s="9" t="n"/>
      <c r="P76" s="9" t="n"/>
      <c r="Q76" s="9" t="inlineStr">
        <is>
          <t>archie</t>
        </is>
      </c>
      <c r="R76" s="9" t="n"/>
      <c r="S76" s="9" t="n"/>
      <c r="T76" s="9" t="n"/>
      <c r="U76" s="9" t="n"/>
      <c r="V76" s="9" t="n"/>
      <c r="W76" s="9" t="inlineStr">
        <is>
          <t>Standalone software</t>
        </is>
      </c>
      <c r="X76" s="9" t="n"/>
      <c r="Y76" s="9" t="inlineStr">
        <is>
          <t>Data management</t>
        </is>
      </c>
      <c r="Z76" s="9" t="n"/>
      <c r="AA76" s="9" t="n"/>
      <c r="AB76" s="9" t="n"/>
      <c r="AC76" s="9" t="n"/>
      <c r="AD76" s="9" t="n"/>
      <c r="AE76" s="10" t="inlineStr">
        <is>
          <t>https://archive.org/details/github.com-archiedb-archie_-_2018-09-30_23-00-43</t>
        </is>
      </c>
      <c r="AF76" s="9" t="n"/>
      <c r="AG76" s="9" t="n"/>
    </row>
    <row r="77">
      <c r="A77" s="9" t="inlineStr">
        <is>
          <t>ArchJobCAD</t>
        </is>
      </c>
      <c r="B77" s="9" t="inlineStr">
        <is>
          <t>Tasks for Excavations in AutoCAD</t>
        </is>
      </c>
      <c r="C77" s="10" t="inlineStr">
        <is>
          <t>https://github.com/ISAAKiel/ArchJobCAD</t>
        </is>
      </c>
      <c r="D77" s="9" t="n"/>
      <c r="E77" s="9" t="n"/>
      <c r="F77" s="9" t="n"/>
      <c r="G77" s="9" t="n"/>
      <c r="H77" s="9" t="n"/>
      <c r="I77" s="9" t="n"/>
      <c r="J77" s="9" t="n"/>
      <c r="K77" s="9" t="n"/>
      <c r="L77" s="9" t="n"/>
      <c r="M77" s="9" t="n"/>
      <c r="N77" s="9" t="n"/>
      <c r="O77" s="9" t="n"/>
      <c r="P77" s="9" t="n"/>
      <c r="Q77" s="9" t="inlineStr">
        <is>
          <t>ISAAKiel</t>
        </is>
      </c>
      <c r="R77" s="9" t="n"/>
      <c r="S77" s="9" t="n"/>
      <c r="T77" s="9" t="n"/>
      <c r="U77" s="9" t="n"/>
      <c r="V77" s="9" t="n"/>
      <c r="W77" s="9" t="inlineStr">
        <is>
          <t>Packages and libraries</t>
        </is>
      </c>
      <c r="X77" s="9" t="inlineStr">
        <is>
          <t>AutoCAD</t>
        </is>
      </c>
      <c r="Y77" s="9" t="inlineStr">
        <is>
          <t>Data management</t>
        </is>
      </c>
      <c r="Z77" s="9" t="n"/>
      <c r="AA77" s="9" t="n"/>
      <c r="AB77" s="9" t="n"/>
      <c r="AC77" s="9" t="n"/>
      <c r="AD77" s="9" t="n"/>
      <c r="AE77" s="10" t="inlineStr">
        <is>
          <t>https://archive.org/details/github.com-ISAAKiel-ArchJobCAD_-_2021-03-10_12-29-45</t>
        </is>
      </c>
      <c r="AF77" s="9" t="n"/>
      <c r="AG77" s="9" t="n"/>
    </row>
    <row r="78">
      <c r="A78" s="9" t="inlineStr">
        <is>
          <t>archSeries</t>
        </is>
      </c>
      <c r="B78" s="9" t="inlineStr">
        <is>
          <t>Frequency time-series tools for archaeology.</t>
        </is>
      </c>
      <c r="C78" s="10" t="inlineStr">
        <is>
          <t>https://github.com/davidcorton/archSeries</t>
        </is>
      </c>
      <c r="D78" s="9" t="n"/>
      <c r="E78" s="9" t="n"/>
      <c r="F78" s="9" t="n"/>
      <c r="G78" s="9" t="n"/>
      <c r="H78" s="9" t="n"/>
      <c r="I78" s="9" t="n"/>
      <c r="J78" s="9" t="n"/>
      <c r="K78" s="9" t="n"/>
      <c r="L78" s="9" t="n"/>
      <c r="M78" s="9" t="n"/>
      <c r="N78" s="9" t="n"/>
      <c r="O78" s="9" t="n"/>
      <c r="P78" s="9" t="n"/>
      <c r="Q78" s="9" t="inlineStr">
        <is>
          <t>davidcorton</t>
        </is>
      </c>
      <c r="R78" s="9" t="n"/>
      <c r="S78" s="9" t="n"/>
      <c r="T78" s="9" t="n"/>
      <c r="U78" s="9" t="n"/>
      <c r="V78" s="9" t="n"/>
      <c r="W78" s="9" t="inlineStr">
        <is>
          <t>Packages and libraries</t>
        </is>
      </c>
      <c r="X78" s="9" t="inlineStr">
        <is>
          <t>R</t>
        </is>
      </c>
      <c r="Y78" s="9" t="inlineStr">
        <is>
          <t>Chronological modelling</t>
        </is>
      </c>
      <c r="Z78" s="9" t="n"/>
      <c r="AA78" s="9" t="n"/>
      <c r="AB78" s="9" t="n"/>
      <c r="AC78" s="9" t="n"/>
      <c r="AD78" s="9" t="n"/>
      <c r="AE78" s="10" t="inlineStr">
        <is>
          <t>https://archive.org/details/github.com-davidcorton-archSeries_-_2017-09-22_15-50-23</t>
        </is>
      </c>
      <c r="AF78" s="9" t="n"/>
      <c r="AG78" s="9" t="n"/>
    </row>
    <row r="79">
      <c r="A79" s="9" t="inlineStr">
        <is>
          <t>archstopmo</t>
        </is>
      </c>
      <c r="B79" s="9" t="inlineStr">
        <is>
          <t>An Archaeology Stop Motion Movie Festival!</t>
        </is>
      </c>
      <c r="C79" s="10" t="inlineStr">
        <is>
          <t>https://github.com/shawngraham/archstopmo</t>
        </is>
      </c>
      <c r="D79" s="9" t="n"/>
      <c r="E79" s="9" t="n"/>
      <c r="F79" s="9" t="n"/>
      <c r="G79" s="9" t="n"/>
      <c r="H79" s="9" t="n"/>
      <c r="I79" s="9" t="n"/>
      <c r="J79" s="10" t="inlineStr">
        <is>
          <t>https://electricarchaeology.ca/2020/05/01/archstopmo-the-2020-edition/</t>
        </is>
      </c>
      <c r="K79" s="9" t="n"/>
      <c r="L79" s="9" t="n"/>
      <c r="M79" s="9" t="n"/>
      <c r="N79" s="9" t="n"/>
      <c r="O79" s="9" t="n"/>
      <c r="P79" s="9" t="n"/>
      <c r="Q79" s="9" t="inlineStr">
        <is>
          <t>shawngraham</t>
        </is>
      </c>
      <c r="R79" s="9" t="n"/>
      <c r="S79" s="9" t="n"/>
      <c r="T79" s="9" t="n"/>
      <c r="U79" s="9" t="n"/>
      <c r="V79" s="9" t="n"/>
      <c r="W79" s="9" t="inlineStr">
        <is>
          <t>Products</t>
        </is>
      </c>
      <c r="X79" s="9" t="n"/>
      <c r="Y79" s="9" t="inlineStr">
        <is>
          <t>Public archaeology</t>
        </is>
      </c>
      <c r="Z79" s="9" t="n"/>
      <c r="AA79" s="9" t="n"/>
      <c r="AB79" s="9" t="n"/>
      <c r="AC79" s="9" t="n"/>
      <c r="AD79" s="9" t="n"/>
      <c r="AE79" s="10" t="inlineStr">
        <is>
          <t>https://archive.org/details/github.com-shawngraham-archstopmo_-_2020-04-05_17-08-45</t>
        </is>
      </c>
      <c r="AF79" s="9" t="n"/>
      <c r="AG79" s="9" t="n"/>
    </row>
    <row r="80">
      <c r="A80" s="9" t="inlineStr">
        <is>
          <t>archvocab</t>
        </is>
      </c>
      <c r="B80" s="9" t="inlineStr">
        <is>
          <t>The ArchVocab ontologies by Leif Isaksen</t>
        </is>
      </c>
      <c r="C80" s="10" t="inlineStr">
        <is>
          <t>https://github.com/archaeology/archvocab</t>
        </is>
      </c>
      <c r="D80" s="9" t="n"/>
      <c r="E80" s="9" t="n"/>
      <c r="F80" s="9" t="n"/>
      <c r="G80" s="9" t="n"/>
      <c r="H80" s="9" t="n"/>
      <c r="I80" s="9" t="n"/>
      <c r="J80" s="9" t="n"/>
      <c r="K80" s="9" t="n"/>
      <c r="L80" s="9" t="n"/>
      <c r="M80" s="9" t="n"/>
      <c r="N80" s="10" t="inlineStr">
        <is>
          <t>https://web.archive.org/web/20101229001934/http://archvocab.net/</t>
        </is>
      </c>
      <c r="O80" s="9" t="n"/>
      <c r="P80" s="9" t="n"/>
      <c r="Q80" s="9" t="inlineStr">
        <is>
          <t>steko</t>
        </is>
      </c>
      <c r="R80" s="9" t="n"/>
      <c r="S80" s="9" t="n"/>
      <c r="T80" s="9" t="n"/>
      <c r="U80" s="9" t="n"/>
      <c r="V80" s="9" t="n"/>
      <c r="W80" s="9" t="inlineStr">
        <is>
          <t>Specifications, protocols and schemas</t>
        </is>
      </c>
      <c r="X80" s="9" t="n"/>
      <c r="Y80" s="9" t="inlineStr">
        <is>
          <t>Schemas and ontologies</t>
        </is>
      </c>
      <c r="Z80" s="9" t="n"/>
      <c r="AA80" s="9" t="n"/>
      <c r="AB80" s="9" t="n"/>
      <c r="AC80" s="9" t="n"/>
      <c r="AD80" s="9" t="n"/>
      <c r="AE80" s="10" t="inlineStr">
        <is>
          <t>https://archive.org/details/github.com-archaeology-archvocab_-_2016-02-20_17-56-55</t>
        </is>
      </c>
      <c r="AF80" s="9" t="n"/>
      <c r="AG80" s="9" t="n"/>
    </row>
    <row r="81">
      <c r="A81" s="9" t="inlineStr">
        <is>
          <t>ARCSCore</t>
        </is>
      </c>
      <c r="B81" s="9" t="inlineStr">
        <is>
          <t>ARCSCore is a metadata standard for organizing and sharing digital versions of non-digital documents created during the course of an archaeological investigation</t>
        </is>
      </c>
      <c r="C81" s="10" t="inlineStr">
        <is>
          <t>https://github.com/matrix-msu/ARCSCore</t>
        </is>
      </c>
      <c r="D81" s="9" t="n"/>
      <c r="E81" s="9" t="n"/>
      <c r="F81" s="9" t="n"/>
      <c r="G81" s="9" t="n"/>
      <c r="H81" s="9" t="n"/>
      <c r="I81" s="9" t="n"/>
      <c r="J81" s="9" t="n"/>
      <c r="K81" s="9" t="n"/>
      <c r="L81" s="9" t="n"/>
      <c r="M81" s="9" t="n"/>
      <c r="N81" s="9" t="n"/>
      <c r="O81" s="9" t="n"/>
      <c r="P81" s="9" t="n"/>
      <c r="Q81" s="9" t="inlineStr">
        <is>
          <t>matrix-msu</t>
        </is>
      </c>
      <c r="R81" s="9" t="n"/>
      <c r="S81" s="9" t="n"/>
      <c r="T81" s="9" t="n"/>
      <c r="U81" s="9" t="n"/>
      <c r="V81" s="9" t="n"/>
      <c r="W81" s="9" t="inlineStr">
        <is>
          <t>Specifications, protocols and schemas</t>
        </is>
      </c>
      <c r="X81" s="9" t="n"/>
      <c r="Y81" s="9" t="inlineStr">
        <is>
          <t>Schemas and ontologies</t>
        </is>
      </c>
      <c r="Z81" s="9" t="n"/>
      <c r="AA81" s="9" t="n"/>
      <c r="AB81" s="9" t="n"/>
      <c r="AC81" s="9" t="n"/>
      <c r="AD81" s="9" t="n"/>
      <c r="AE81" s="10" t="inlineStr">
        <is>
          <t>https://archive.org/details/github.com-matrix-msu-ARCSCore_-_2019-05-07_17-19-47</t>
        </is>
      </c>
      <c r="AF81" s="9" t="n"/>
      <c r="AG81" s="9" t="n"/>
    </row>
    <row r="82">
      <c r="A82" s="9" t="inlineStr">
        <is>
          <t>ARFloorPlanApp</t>
        </is>
      </c>
      <c r="B82" s="9" t="inlineStr">
        <is>
          <t>Floor plan app using augmented reality.</t>
        </is>
      </c>
      <c r="C82" s="10" t="inlineStr">
        <is>
          <t>https://github.com/carlsun98/ARFloorPlanApp</t>
        </is>
      </c>
      <c r="D82" s="9" t="n"/>
      <c r="E82" s="9" t="n"/>
      <c r="F82" s="9" t="n"/>
      <c r="G82" s="9" t="n"/>
      <c r="H82" s="9" t="n"/>
      <c r="I82" s="9" t="n"/>
      <c r="J82" s="9" t="n"/>
      <c r="K82" s="9" t="n"/>
      <c r="L82" s="9" t="n"/>
      <c r="M82" s="9" t="n"/>
      <c r="N82" s="9" t="n"/>
      <c r="O82" s="9" t="n"/>
      <c r="P82" s="9" t="n"/>
      <c r="Q82" s="9" t="inlineStr">
        <is>
          <t>carlsun98</t>
        </is>
      </c>
      <c r="R82" s="9" t="n"/>
      <c r="S82" s="9" t="n"/>
      <c r="T82" s="9" t="n"/>
      <c r="U82" s="9" t="n"/>
      <c r="V82" s="9" t="n"/>
      <c r="W82" s="9" t="inlineStr">
        <is>
          <t>Standalone software</t>
        </is>
      </c>
      <c r="X82" s="9" t="n"/>
      <c r="Y82" s="9" t="inlineStr">
        <is>
          <t>Augmented reality</t>
        </is>
      </c>
      <c r="Z82" s="9" t="n"/>
      <c r="AA82" s="9" t="n"/>
      <c r="AB82" s="9" t="n"/>
      <c r="AC82" s="9" t="n"/>
      <c r="AD82" s="9" t="n"/>
      <c r="AE82" s="10" t="inlineStr">
        <is>
          <t>https://archive.org/details/github.com-carlsun98-ARFloorPlanApp_-_2018-07-27_22-02-36</t>
        </is>
      </c>
      <c r="AF82" s="9" t="n"/>
      <c r="AG82" s="9" t="n"/>
    </row>
    <row r="83">
      <c r="A83" s="9" t="inlineStr">
        <is>
          <t>ark-addons</t>
        </is>
      </c>
      <c r="B83" s="9" t="inlineStr">
        <is>
          <t>This is a Django project to obtain statistical information from an ARK project. It is aimed to mine data from archaeological databases and create customizable visualizations, querying both text and geographical data.</t>
        </is>
      </c>
      <c r="C83" s="10" t="inlineStr">
        <is>
          <t>https://github.com/fradeve/ark-addons</t>
        </is>
      </c>
      <c r="D83" s="9" t="n"/>
      <c r="E83" s="9" t="n"/>
      <c r="F83" s="9" t="n"/>
      <c r="G83" s="9" t="n"/>
      <c r="H83" s="9" t="n"/>
      <c r="I83" s="9" t="n"/>
      <c r="J83" s="9" t="n"/>
      <c r="K83" s="9" t="n"/>
      <c r="L83" s="9" t="n"/>
      <c r="M83" s="9" t="n"/>
      <c r="N83" s="9" t="n"/>
      <c r="O83" s="9" t="n"/>
      <c r="P83" s="9" t="n"/>
      <c r="Q83" s="9" t="inlineStr">
        <is>
          <t>fradeve</t>
        </is>
      </c>
      <c r="R83" s="9" t="n"/>
      <c r="S83" s="9" t="n"/>
      <c r="T83" s="9" t="n"/>
      <c r="U83" s="9" t="n"/>
      <c r="V83" s="9" t="n"/>
      <c r="W83" s="9" t="inlineStr">
        <is>
          <t>Standalone software</t>
        </is>
      </c>
      <c r="X83" s="9" t="n"/>
      <c r="Y83" s="9" t="inlineStr">
        <is>
          <t>Data management</t>
        </is>
      </c>
      <c r="Z83" s="9" t="n"/>
      <c r="AA83" s="9" t="n"/>
      <c r="AB83" s="9" t="n"/>
      <c r="AC83" s="9" t="n"/>
      <c r="AD83" s="9" t="n"/>
      <c r="AE83" s="10" t="inlineStr">
        <is>
          <t>https://archive.org/details/github.com-fradeve-ark-addons_-_2014-10-30_23-48-58</t>
        </is>
      </c>
      <c r="AF83" s="9" t="n"/>
      <c r="AG83" s="9" t="n"/>
    </row>
    <row r="84">
      <c r="A84" s="9" t="inlineStr">
        <is>
          <t>ARK1</t>
        </is>
      </c>
      <c r="B84" s="9" t="inlineStr">
        <is>
          <t>The ARK v1.1.2 Stable Release. ARK (The Archaeological Recording Kit) is a web-based 'toolkit' for the collection, storage and dissemination of archaeological data. It includes data-editing, data-creation, data-viewing and data-sharing tools, all of which are delivered using a web-based front-end.</t>
        </is>
      </c>
      <c r="C84" s="10" t="inlineStr">
        <is>
          <t>https://github.com/lparchaeology/ARK1</t>
        </is>
      </c>
      <c r="D84" s="9" t="n"/>
      <c r="E84" s="9" t="n"/>
      <c r="F84" s="9" t="n"/>
      <c r="G84" s="9" t="n"/>
      <c r="H84" s="9" t="n"/>
      <c r="I84" s="9" t="n"/>
      <c r="J84" s="9" t="n"/>
      <c r="K84" s="9" t="n"/>
      <c r="L84" s="9" t="n"/>
      <c r="M84" s="9" t="n"/>
      <c r="N84" s="9" t="n"/>
      <c r="O84" s="9" t="n"/>
      <c r="P84" s="9" t="n"/>
      <c r="Q84" s="9" t="inlineStr">
        <is>
          <t>L-P Archaeology</t>
        </is>
      </c>
      <c r="R84" s="9" t="n"/>
      <c r="S84" s="9" t="n"/>
      <c r="T84" s="9" t="n"/>
      <c r="U84" s="9" t="n"/>
      <c r="V84" s="9" t="n"/>
      <c r="W84" s="9" t="inlineStr">
        <is>
          <t>Standalone software</t>
        </is>
      </c>
      <c r="X84" s="9" t="n"/>
      <c r="Y84" s="9" t="inlineStr">
        <is>
          <t>Data management</t>
        </is>
      </c>
      <c r="Z84" s="9" t="n"/>
      <c r="AA84" s="9" t="n"/>
      <c r="AB84" s="9" t="n"/>
      <c r="AC84" s="9" t="n"/>
      <c r="AD84" s="9" t="n"/>
      <c r="AE84" s="10" t="inlineStr">
        <is>
          <t>https://archive.org/details/github.com-lparchaeology-ARK1_-_2017-11-27_14-43-51</t>
        </is>
      </c>
      <c r="AF84" s="9" t="n"/>
      <c r="AG84" s="9" t="n"/>
    </row>
    <row r="85">
      <c r="A85" s="9" t="inlineStr">
        <is>
          <t>Ark2</t>
        </is>
      </c>
      <c r="B85" s="9" t="inlineStr">
        <is>
          <t>ARK (The Archaeological Recording Kit) 2.0 Development Repository. ARK (The Archaeological Recording Kit) is a web-based 'toolkit' for the collection, storage and dissemination of archaeological data. It includes data-editing, data-creation, data-viewing and data-sharing tools, all of which are delivered using a web-based front-end.</t>
        </is>
      </c>
      <c r="C85" s="10" t="inlineStr">
        <is>
          <t>https://github.com/lparchaeology/ARK2</t>
        </is>
      </c>
      <c r="D85" s="9" t="n"/>
      <c r="E85" s="9" t="n"/>
      <c r="F85" s="9" t="n"/>
      <c r="G85" s="9" t="n"/>
      <c r="H85" s="9" t="n"/>
      <c r="I85" s="9" t="n"/>
      <c r="J85" s="9" t="n"/>
      <c r="K85" s="9" t="n"/>
      <c r="L85" s="9" t="n"/>
      <c r="M85" s="9" t="n"/>
      <c r="N85" s="9" t="n"/>
      <c r="O85" s="9" t="n"/>
      <c r="P85" s="9" t="n"/>
      <c r="Q85" s="9" t="inlineStr">
        <is>
          <t>L-P Archaeology</t>
        </is>
      </c>
      <c r="R85" s="9" t="n"/>
      <c r="S85" s="9" t="n"/>
      <c r="T85" s="9" t="n"/>
      <c r="U85" s="9" t="n"/>
      <c r="V85" s="9" t="n"/>
      <c r="W85" s="9" t="inlineStr">
        <is>
          <t>Standalone software</t>
        </is>
      </c>
      <c r="X85" s="9" t="n"/>
      <c r="Y85" s="9" t="inlineStr">
        <is>
          <t>Data management</t>
        </is>
      </c>
      <c r="Z85" s="9" t="n"/>
      <c r="AA85" s="9" t="n"/>
      <c r="AB85" s="9" t="n"/>
      <c r="AC85" s="9" t="n"/>
      <c r="AD85" s="9" t="n"/>
      <c r="AE85" s="9" t="n"/>
      <c r="AF85" s="9" t="n"/>
      <c r="AG85" s="9" t="n"/>
    </row>
    <row r="86">
      <c r="A86" s="9" t="inlineStr">
        <is>
          <t>ArkGrid</t>
        </is>
      </c>
      <c r="B86" s="9" t="inlineStr">
        <is>
          <t>A QGIS plugin for local site grids.</t>
        </is>
      </c>
      <c r="C86" s="10" t="inlineStr">
        <is>
          <t>https://github.com/lparchaeology/ArkGrid</t>
        </is>
      </c>
      <c r="D86" s="9" t="n"/>
      <c r="E86" s="9" t="n"/>
      <c r="F86" s="9" t="n"/>
      <c r="G86" s="9" t="n"/>
      <c r="H86" s="9" t="n"/>
      <c r="I86" s="9" t="n"/>
      <c r="J86" s="9" t="n"/>
      <c r="K86" s="9" t="n"/>
      <c r="L86" s="9" t="n"/>
      <c r="M86" s="9" t="n"/>
      <c r="N86" s="9" t="n"/>
      <c r="O86" s="9" t="n"/>
      <c r="P86" s="9" t="n"/>
      <c r="Q86" s="9" t="inlineStr">
        <is>
          <t>L-P Archaeology</t>
        </is>
      </c>
      <c r="R86" s="9" t="n"/>
      <c r="S86" s="9" t="n"/>
      <c r="T86" s="9" t="n"/>
      <c r="U86" s="9" t="n"/>
      <c r="V86" s="9" t="n"/>
      <c r="W86" s="9" t="inlineStr">
        <is>
          <t>Packages and libraries</t>
        </is>
      </c>
      <c r="X86" s="9" t="inlineStr">
        <is>
          <t>QGIS</t>
        </is>
      </c>
      <c r="Y86" s="9" t="inlineStr">
        <is>
          <t>Site mapping</t>
        </is>
      </c>
      <c r="Z86" s="9" t="n"/>
      <c r="AA86" s="9" t="n"/>
      <c r="AB86" s="9" t="n"/>
      <c r="AC86" s="9" t="n"/>
      <c r="AD86" s="9" t="n"/>
      <c r="AE86" s="10" t="inlineStr">
        <is>
          <t>https://archive.org/details/github.com-lparchaeology-ArkGrid_-_2016-09-02_16-36-40</t>
        </is>
      </c>
      <c r="AF86" s="9" t="n"/>
      <c r="AG86" s="9" t="n"/>
    </row>
    <row r="87">
      <c r="A87" s="9" t="inlineStr">
        <is>
          <t>arkhe</t>
        </is>
      </c>
      <c r="B87" s="9" t="inlineStr">
        <is>
          <t>Tools for cleaning rectangular data</t>
        </is>
      </c>
      <c r="C87" s="10" t="inlineStr">
        <is>
          <t>https://github.com/tesselle/arkhe</t>
        </is>
      </c>
      <c r="D87" s="9" t="n"/>
      <c r="E87" s="9" t="n"/>
      <c r="F87" s="9" t="n"/>
      <c r="G87" s="9" t="n"/>
      <c r="H87" s="9" t="n"/>
      <c r="I87" s="9" t="n"/>
      <c r="J87" s="9" t="n"/>
      <c r="K87" s="10" t="inlineStr">
        <is>
          <t>https://cran.r-project.org/package=arkhe</t>
        </is>
      </c>
      <c r="L87" s="9" t="n"/>
      <c r="M87" s="9" t="n"/>
      <c r="N87" s="10" t="inlineStr">
        <is>
          <t>https://packages.tesselle.org/arkhe/</t>
        </is>
      </c>
      <c r="O87" s="9" t="n"/>
      <c r="P87" s="9" t="inlineStr">
        <is>
          <t>10.5281/zenodo.3526659</t>
        </is>
      </c>
      <c r="Q87" s="9" t="inlineStr">
        <is>
          <t>tesselle</t>
        </is>
      </c>
      <c r="R87" s="9" t="n"/>
      <c r="S87" s="9" t="n"/>
      <c r="T87" s="9" t="n"/>
      <c r="U87" s="9" t="n"/>
      <c r="V87" s="9" t="n"/>
      <c r="W87" s="9" t="inlineStr">
        <is>
          <t>Packages and libraries</t>
        </is>
      </c>
      <c r="X87" s="9" t="inlineStr">
        <is>
          <t>R</t>
        </is>
      </c>
      <c r="Y87" s="9" t="inlineStr">
        <is>
          <t>Statistical analysis</t>
        </is>
      </c>
      <c r="Z87" s="9" t="n"/>
      <c r="AA87" s="9" t="n"/>
      <c r="AB87" s="9" t="n"/>
      <c r="AC87" s="9" t="n"/>
      <c r="AD87" s="9" t="n"/>
      <c r="AE87" s="10" t="inlineStr">
        <is>
          <t>https://archive.org/details/github.com-tesselle-arkhe_-_2021-01-26_18-26-42</t>
        </is>
      </c>
      <c r="AF87" s="9" t="n"/>
      <c r="AG87" s="9" t="n"/>
    </row>
    <row r="88">
      <c r="A88" s="9" t="inlineStr">
        <is>
          <t>ArkMatrix</t>
        </is>
      </c>
      <c r="B88" s="9" t="inlineStr">
        <is>
          <t>A tool for creating and manipulating Harris Matrices, part of the Archaeological Recording Kit ARK.</t>
        </is>
      </c>
      <c r="C88" s="9" t="n"/>
      <c r="D88" s="9" t="n"/>
      <c r="E88" s="10" t="inlineStr">
        <is>
          <t>https://gitlab.com/arklab/ArkMatrix</t>
        </is>
      </c>
      <c r="F88" s="9" t="n"/>
      <c r="G88" s="9" t="n"/>
      <c r="H88" s="9" t="n"/>
      <c r="I88" s="9" t="n"/>
      <c r="J88" s="9" t="n"/>
      <c r="K88" s="9" t="n"/>
      <c r="L88" s="9" t="n"/>
      <c r="M88" s="9" t="n"/>
      <c r="N88" s="9" t="n"/>
      <c r="O88" s="9" t="n"/>
      <c r="P88" s="9" t="n"/>
      <c r="Q88" s="9" t="inlineStr">
        <is>
          <t>arklab</t>
        </is>
      </c>
      <c r="R88" s="9" t="n"/>
      <c r="S88" s="9" t="n"/>
      <c r="T88" s="9" t="n"/>
      <c r="U88" s="9" t="n"/>
      <c r="V88" s="9" t="n"/>
      <c r="W88" s="9" t="inlineStr">
        <is>
          <t>Packages and libraries</t>
        </is>
      </c>
      <c r="X88" s="9" t="inlineStr">
        <is>
          <t>Python</t>
        </is>
      </c>
      <c r="Y88" s="9" t="inlineStr">
        <is>
          <t>Harris matrix</t>
        </is>
      </c>
      <c r="Z88" s="9" t="n"/>
      <c r="AA88" s="9" t="n"/>
      <c r="AB88" s="9" t="n"/>
      <c r="AC88" s="9" t="n"/>
      <c r="AD88" s="9" t="n"/>
      <c r="AE88" s="10" t="inlineStr">
        <is>
          <t>https://archive.org/details/gitlab.com-arklab-ArkMatrix_-_2020-03-31_10-32-20</t>
        </is>
      </c>
      <c r="AF88" s="9" t="n"/>
      <c r="AG88" s="9" t="n"/>
    </row>
    <row r="89">
      <c r="A89" s="9" t="inlineStr">
        <is>
          <t>ArkScan</t>
        </is>
      </c>
      <c r="B89" s="9" t="inlineStr">
        <is>
          <t>A simple gui app to simplify scanning single context plans.</t>
        </is>
      </c>
      <c r="C89" s="10" t="inlineStr">
        <is>
          <t>https://github.com/lparchaeology/ArkScan</t>
        </is>
      </c>
      <c r="D89" s="9" t="n"/>
      <c r="E89" s="9" t="n"/>
      <c r="F89" s="9" t="n"/>
      <c r="G89" s="9" t="n"/>
      <c r="H89" s="9" t="n"/>
      <c r="I89" s="9" t="n"/>
      <c r="J89" s="9" t="n"/>
      <c r="K89" s="9" t="n"/>
      <c r="L89" s="9" t="n"/>
      <c r="M89" s="9" t="n"/>
      <c r="N89" s="9" t="n"/>
      <c r="O89" s="9" t="n"/>
      <c r="P89" s="9" t="n"/>
      <c r="Q89" s="9" t="inlineStr">
        <is>
          <t>L-P Archaeology</t>
        </is>
      </c>
      <c r="R89" s="9" t="n"/>
      <c r="S89" s="9" t="n"/>
      <c r="T89" s="9" t="n"/>
      <c r="U89" s="9" t="n"/>
      <c r="V89" s="9" t="n"/>
      <c r="W89" s="9" t="inlineStr">
        <is>
          <t>Standalone software</t>
        </is>
      </c>
      <c r="X89" s="9" t="n"/>
      <c r="Y89" s="9" t="inlineStr">
        <is>
          <t>Site mapping</t>
        </is>
      </c>
      <c r="Z89" s="9" t="n"/>
      <c r="AA89" s="9" t="n"/>
      <c r="AB89" s="9" t="n"/>
      <c r="AC89" s="9" t="n"/>
      <c r="AD89" s="9" t="n"/>
      <c r="AE89" s="10" t="inlineStr">
        <is>
          <t>https://archive.org/details/github.com-lparchaeology-ArkScan_-_2015-07-28_08-06-46</t>
        </is>
      </c>
      <c r="AF89" s="9" t="n"/>
      <c r="AG89" s="9" t="n"/>
    </row>
    <row r="90">
      <c r="A90" s="9" t="inlineStr">
        <is>
          <t>ArkSpatial</t>
        </is>
      </c>
      <c r="B90" s="9" t="inlineStr">
        <is>
          <t>A QGIS plugin to simplfy digitization of archaeological plans drawn using the Museum of London Single Context Recording methodology.</t>
        </is>
      </c>
      <c r="C90" s="10" t="inlineStr">
        <is>
          <t>https://github.com/lparchaeology/ArkSpatial</t>
        </is>
      </c>
      <c r="D90" s="9" t="n"/>
      <c r="E90" s="9" t="n"/>
      <c r="F90" s="9" t="n"/>
      <c r="G90" s="9" t="n"/>
      <c r="H90" s="9" t="n"/>
      <c r="I90" s="9" t="n"/>
      <c r="J90" s="9" t="n"/>
      <c r="K90" s="9" t="n"/>
      <c r="L90" s="9" t="n"/>
      <c r="M90" s="9" t="n"/>
      <c r="N90" s="9" t="n"/>
      <c r="O90" s="9" t="n"/>
      <c r="P90" s="9" t="n"/>
      <c r="Q90" s="9" t="inlineStr">
        <is>
          <t>L-P Archaeology</t>
        </is>
      </c>
      <c r="R90" s="9" t="n"/>
      <c r="S90" s="9" t="n"/>
      <c r="T90" s="9" t="n"/>
      <c r="U90" s="9" t="n"/>
      <c r="V90" s="9" t="n"/>
      <c r="W90" s="9" t="inlineStr">
        <is>
          <t>Packages and libraries</t>
        </is>
      </c>
      <c r="X90" s="9" t="inlineStr">
        <is>
          <t>QGIS</t>
        </is>
      </c>
      <c r="Y90" s="9" t="inlineStr">
        <is>
          <t>Site mapping</t>
        </is>
      </c>
      <c r="Z90" s="9" t="n"/>
      <c r="AA90" s="9" t="n"/>
      <c r="AB90" s="9" t="n"/>
      <c r="AC90" s="9" t="n"/>
      <c r="AD90" s="9" t="n"/>
      <c r="AE90" s="10" t="inlineStr">
        <is>
          <t>https://archive.org/details/github.com-lparchaeology-ArkSpatial_-_2018-09-22_18-11-06</t>
        </is>
      </c>
      <c r="AF90" s="9" t="n"/>
      <c r="AG90" s="9" t="n"/>
    </row>
    <row r="91">
      <c r="A91" s="9" t="inlineStr">
        <is>
          <t>Arothron</t>
        </is>
      </c>
      <c r="B91" s="9" t="inlineStr">
        <is>
          <t>Tools of Virtual Anthropology to build virtual cavities as endocasts, to align two disarticulated models belonging to the same specimen, and functions to import and export format files into another format.</t>
        </is>
      </c>
      <c r="C91" s="10" t="inlineStr">
        <is>
          <t>https://github.com/AProfico/Arothron</t>
        </is>
      </c>
      <c r="D91" s="9" t="n"/>
      <c r="E91" s="9" t="n"/>
      <c r="F91" s="9" t="n"/>
      <c r="G91" s="9" t="n"/>
      <c r="H91" s="9" t="n"/>
      <c r="I91" s="9" t="n"/>
      <c r="J91" s="9" t="n"/>
      <c r="K91" s="9" t="n"/>
      <c r="L91" s="9" t="n"/>
      <c r="M91" s="9" t="n"/>
      <c r="N91" s="9" t="n"/>
      <c r="O91" s="9" t="n"/>
      <c r="P91" s="9" t="n"/>
      <c r="Q91" s="9" t="inlineStr">
        <is>
          <t>Arothron</t>
        </is>
      </c>
      <c r="R91" s="9" t="n"/>
      <c r="S91" s="9" t="n"/>
      <c r="T91" s="9" t="n"/>
      <c r="U91" s="9" t="n"/>
      <c r="V91" s="9" t="n"/>
      <c r="W91" s="9" t="inlineStr">
        <is>
          <t>Packages and libraries</t>
        </is>
      </c>
      <c r="X91" s="9" t="inlineStr">
        <is>
          <t>R</t>
        </is>
      </c>
      <c r="Y91" s="9" t="inlineStr">
        <is>
          <t>Biological anthropology</t>
        </is>
      </c>
      <c r="Z91" s="9" t="inlineStr">
        <is>
          <t>Zooarchaeology</t>
        </is>
      </c>
      <c r="AA91" s="9" t="inlineStr">
        <is>
          <t>Shape recognition</t>
        </is>
      </c>
      <c r="AB91" s="9" t="inlineStr">
        <is>
          <t>3D modelling</t>
        </is>
      </c>
      <c r="AC91" s="9" t="n"/>
      <c r="AD91" s="9" t="n"/>
      <c r="AE91" s="10" t="inlineStr">
        <is>
          <t>https://archive.org/details/github.com-AProfico-Arothron_-_2019-04-26_10-53-43</t>
        </is>
      </c>
      <c r="AF91" s="9" t="n"/>
      <c r="AG91" s="9" t="n"/>
    </row>
    <row r="92">
      <c r="A92" s="9" t="inlineStr">
        <is>
          <t>ARQUB</t>
        </is>
      </c>
      <c r="B92" s="9" t="inlineStr">
        <is>
          <t>Scripts at the ARQUB group to work with compositional data on archaeometric studies.</t>
        </is>
      </c>
      <c r="C92" s="10" t="inlineStr">
        <is>
          <t>https://github.com/jbuxeda/ARQUB</t>
        </is>
      </c>
      <c r="D92" s="9" t="n"/>
      <c r="E92" s="9" t="n"/>
      <c r="F92" s="9" t="n"/>
      <c r="G92" s="9" t="n"/>
      <c r="H92" s="9" t="n"/>
      <c r="I92" s="9" t="n"/>
      <c r="J92" s="9" t="n"/>
      <c r="K92" s="9" t="n"/>
      <c r="L92" s="9" t="n"/>
      <c r="M92" s="9" t="n"/>
      <c r="N92" s="9" t="n"/>
      <c r="O92" s="9" t="n"/>
      <c r="P92" s="9" t="n"/>
      <c r="Q92" s="9" t="inlineStr">
        <is>
          <t>jbuxeda</t>
        </is>
      </c>
      <c r="R92" s="9" t="n"/>
      <c r="S92" s="9" t="n"/>
      <c r="T92" s="9" t="n"/>
      <c r="U92" s="9" t="n"/>
      <c r="V92" s="9" t="n"/>
      <c r="W92" s="9" t="inlineStr">
        <is>
          <t>Scripts</t>
        </is>
      </c>
      <c r="X92" s="9" t="inlineStr">
        <is>
          <t>R</t>
        </is>
      </c>
      <c r="Y92" s="9" t="inlineStr">
        <is>
          <t>Statistical analysis</t>
        </is>
      </c>
      <c r="Z92" s="9" t="n"/>
      <c r="AA92" s="9" t="n"/>
      <c r="AB92" s="9" t="n"/>
      <c r="AC92" s="9" t="n"/>
      <c r="AD92" s="9" t="n"/>
      <c r="AE92" s="9" t="n"/>
      <c r="AF92" s="9" t="n"/>
      <c r="AG92" s="9" t="n"/>
    </row>
    <row r="93">
      <c r="A93" s="9" t="inlineStr">
        <is>
          <t>Arran</t>
        </is>
      </c>
      <c r="B93" s="9" t="inlineStr">
        <is>
          <t>A benchmark dataset for automated detection of archaeological sites on LiDAR data.</t>
        </is>
      </c>
      <c r="C93" s="10" t="inlineStr">
        <is>
          <t>https://github.com/ickramer/Arran</t>
        </is>
      </c>
      <c r="D93" s="9" t="n"/>
      <c r="E93" s="9" t="n"/>
      <c r="F93" s="9" t="n"/>
      <c r="G93" s="9" t="n"/>
      <c r="H93" s="9" t="n"/>
      <c r="I93" s="9" t="n"/>
      <c r="J93" s="9" t="n"/>
      <c r="K93" s="9" t="n"/>
      <c r="L93" s="9" t="n"/>
      <c r="M93" s="9" t="n"/>
      <c r="N93" s="9" t="n"/>
      <c r="O93" s="9" t="n"/>
      <c r="P93" s="9" t="n"/>
      <c r="Q93" s="9" t="inlineStr">
        <is>
          <t>ickramer</t>
        </is>
      </c>
      <c r="R93" s="9" t="n"/>
      <c r="S93" s="9" t="n"/>
      <c r="T93" s="9" t="n"/>
      <c r="U93" s="9" t="n"/>
      <c r="V93" s="9" t="n"/>
      <c r="W93" s="9" t="inlineStr">
        <is>
          <t>Lists and datasets</t>
        </is>
      </c>
      <c r="X93" s="9" t="n"/>
      <c r="Y93" s="9" t="inlineStr">
        <is>
          <t>LiDAR</t>
        </is>
      </c>
      <c r="Z93" s="9" t="inlineStr">
        <is>
          <t>Aerial and satellite imagery</t>
        </is>
      </c>
      <c r="AA93" s="9" t="n"/>
      <c r="AB93" s="9" t="n"/>
      <c r="AC93" s="9" t="n"/>
      <c r="AD93" s="9" t="n"/>
      <c r="AE93" s="10" t="inlineStr">
        <is>
          <t>https://archive.org/details/github.com-ickramer-Arran_-_2020-01-09_19-22-36</t>
        </is>
      </c>
      <c r="AF93" s="9" t="n"/>
      <c r="AG93" s="9" t="n"/>
    </row>
    <row r="94">
      <c r="A94" s="9" t="inlineStr">
        <is>
          <t>arshm-release</t>
        </is>
      </c>
      <c r="B94" s="9" t="inlineStr">
        <is>
          <t>Experimental mobile app demoing cultural heritage documentation tools in augmented reality. Supports capturing and annotating photos in 3D space. Proof-of-concept features in the app include image anchoring and surface drawing tools.</t>
        </is>
      </c>
      <c r="C94" s="10" t="inlineStr">
        <is>
          <t>https://github.com/zacharyliu/arshm-release</t>
        </is>
      </c>
      <c r="D94" s="9" t="n"/>
      <c r="E94" s="9" t="n"/>
      <c r="F94" s="9" t="n"/>
      <c r="G94" s="9" t="n"/>
      <c r="H94" s="9" t="n"/>
      <c r="I94" s="9" t="n"/>
      <c r="J94" s="9" t="n"/>
      <c r="K94" s="9" t="n"/>
      <c r="L94" s="9" t="n"/>
      <c r="M94" s="9" t="n"/>
      <c r="N94" s="9" t="n"/>
      <c r="O94" s="9" t="n"/>
      <c r="P94" s="9" t="n"/>
      <c r="Q94" s="9" t="inlineStr">
        <is>
          <t>zacharyliu</t>
        </is>
      </c>
      <c r="R94" s="9" t="n"/>
      <c r="S94" s="9" t="n"/>
      <c r="T94" s="9" t="n"/>
      <c r="U94" s="9" t="n"/>
      <c r="V94" s="9" t="n"/>
      <c r="W94" s="9" t="inlineStr">
        <is>
          <t>Packages and libraries</t>
        </is>
      </c>
      <c r="X94" s="9" t="inlineStr">
        <is>
          <t>Mobile app</t>
        </is>
      </c>
      <c r="Y94" s="9" t="inlineStr">
        <is>
          <t>Augmented reality</t>
        </is>
      </c>
      <c r="Z94" s="9" t="n"/>
      <c r="AA94" s="9" t="n"/>
      <c r="AB94" s="9" t="n"/>
      <c r="AC94" s="9" t="n"/>
      <c r="AD94" s="9" t="n"/>
      <c r="AE94" s="10" t="inlineStr">
        <is>
          <t>https://archive.org/details/github.com-zacharyliu-arshm-release_-_2018-07-27_23-22-39</t>
        </is>
      </c>
      <c r="AF94" s="9" t="n"/>
      <c r="AG94" s="9" t="n"/>
    </row>
    <row r="95">
      <c r="A95" s="9" t="inlineStr">
        <is>
          <t>artefact-morpho.R</t>
        </is>
      </c>
      <c r="B95" s="9" t="inlineStr">
        <is>
          <t>R code for converting B&amp;W jpgs of artefact silhouettes to matrices and computing basic Elliptical Fourier statistics, including PCA and MANOVA.</t>
        </is>
      </c>
      <c r="C95" s="9" t="n"/>
      <c r="D95" s="10" t="inlineStr">
        <is>
          <t>https://gist.github.com/benmarwick/6260541</t>
        </is>
      </c>
      <c r="E95" s="9" t="n"/>
      <c r="F95" s="9" t="n"/>
      <c r="G95" s="9" t="n"/>
      <c r="H95" s="9" t="n"/>
      <c r="I95" s="9" t="n"/>
      <c r="J95" s="9" t="n"/>
      <c r="K95" s="9" t="n"/>
      <c r="L95" s="9" t="n"/>
      <c r="M95" s="9" t="n"/>
      <c r="N95" s="9" t="n"/>
      <c r="O95" s="9" t="n"/>
      <c r="P95" s="9" t="n"/>
      <c r="Q95" s="9" t="inlineStr">
        <is>
          <t>benmarwick</t>
        </is>
      </c>
      <c r="R95" s="9" t="n"/>
      <c r="S95" s="9" t="n"/>
      <c r="T95" s="9" t="n"/>
      <c r="U95" s="9" t="n"/>
      <c r="V95" s="9" t="n"/>
      <c r="W95" s="9" t="inlineStr">
        <is>
          <t>Scripts</t>
        </is>
      </c>
      <c r="X95" s="9" t="inlineStr">
        <is>
          <t>R</t>
        </is>
      </c>
      <c r="Y95" s="9" t="inlineStr">
        <is>
          <t>Shape recognition</t>
        </is>
      </c>
      <c r="Z95" s="9" t="n"/>
      <c r="AA95" s="9" t="n"/>
      <c r="AB95" s="9" t="n"/>
      <c r="AC95" s="9" t="n"/>
      <c r="AD95" s="9" t="n"/>
      <c r="AE95" s="10" t="inlineStr">
        <is>
          <t>https://archive.org/details/gist.github.com-6260541_-_2015-12-21_05-58-59</t>
        </is>
      </c>
      <c r="AF95" s="9" t="n"/>
      <c r="AG95" s="9" t="n"/>
    </row>
    <row r="96">
      <c r="A96" s="9" t="inlineStr">
        <is>
          <t>Artifact_Class_Diversity</t>
        </is>
      </c>
      <c r="B96" s="9" t="inlineStr">
        <is>
          <t>Estimates artifact class diversity in multiple geographic regions.</t>
        </is>
      </c>
      <c r="C96" s="10" t="inlineStr">
        <is>
          <t>https://github.com/taphocoenose/Artifact_Class_Diversity</t>
        </is>
      </c>
      <c r="D96" s="9" t="n"/>
      <c r="E96" s="9" t="n"/>
      <c r="F96" s="9" t="n"/>
      <c r="G96" s="9" t="n"/>
      <c r="H96" s="9" t="n"/>
      <c r="I96" s="9" t="n"/>
      <c r="J96" s="9" t="n"/>
      <c r="K96" s="9" t="n"/>
      <c r="L96" s="9" t="n"/>
      <c r="M96" s="9" t="n"/>
      <c r="N96" s="9" t="n"/>
      <c r="O96" s="9" t="n"/>
      <c r="P96" s="9" t="n"/>
      <c r="Q96" s="9" t="inlineStr">
        <is>
          <t>taphocoenose</t>
        </is>
      </c>
      <c r="R96" s="9" t="n"/>
      <c r="S96" s="9" t="n"/>
      <c r="T96" s="9" t="n"/>
      <c r="U96" s="9" t="n"/>
      <c r="V96" s="9" t="n"/>
      <c r="W96" s="9" t="inlineStr">
        <is>
          <t>Scripts</t>
        </is>
      </c>
      <c r="X96" s="9" t="inlineStr">
        <is>
          <t>R</t>
        </is>
      </c>
      <c r="Y96" s="9" t="inlineStr">
        <is>
          <t>Spatial analysis</t>
        </is>
      </c>
      <c r="Z96" s="9" t="n"/>
      <c r="AA96" s="9" t="n"/>
      <c r="AB96" s="9" t="n"/>
      <c r="AC96" s="9" t="n"/>
      <c r="AD96" s="9" t="n"/>
      <c r="AE96" s="10" t="inlineStr">
        <is>
          <t>https://archive.org/details/github.com-taphocoenose-Artifact_Class_Diversity_-_2020-10-06_16-50-13</t>
        </is>
      </c>
      <c r="AF96" s="9" t="n"/>
      <c r="AG96" s="9" t="n"/>
    </row>
    <row r="97">
      <c r="A97" s="9" t="inlineStr">
        <is>
          <t>Artifacts-Analyzer</t>
        </is>
      </c>
      <c r="B97" s="9" t="inlineStr">
        <is>
          <t>Python script for analyzing data sets of archaeological artifacts containing only Boolean and categorical variables.</t>
        </is>
      </c>
      <c r="C97" s="10" t="inlineStr">
        <is>
          <t>https://github.com/Eythan31/Artifacts-Analyzer</t>
        </is>
      </c>
      <c r="D97" s="9" t="n"/>
      <c r="E97" s="9" t="n"/>
      <c r="F97" s="9" t="n"/>
      <c r="G97" s="9" t="n"/>
      <c r="H97" s="9" t="n"/>
      <c r="I97" s="9" t="n"/>
      <c r="J97" s="9" t="n"/>
      <c r="K97" s="9" t="n"/>
      <c r="L97" s="9" t="n"/>
      <c r="M97" s="9" t="n"/>
      <c r="N97" s="9" t="n"/>
      <c r="O97" s="9" t="n"/>
      <c r="P97" s="9" t="n"/>
      <c r="Q97" s="9" t="inlineStr">
        <is>
          <t>Eythan31</t>
        </is>
      </c>
      <c r="R97" s="9" t="n"/>
      <c r="S97" s="9" t="n"/>
      <c r="T97" s="9" t="n"/>
      <c r="U97" s="9" t="n"/>
      <c r="V97" s="9" t="n"/>
      <c r="W97" s="9" t="inlineStr">
        <is>
          <t>Packages and libraries</t>
        </is>
      </c>
      <c r="X97" s="9" t="inlineStr">
        <is>
          <t>Python</t>
        </is>
      </c>
      <c r="Y97" s="9" t="inlineStr">
        <is>
          <t>Statistical analysis</t>
        </is>
      </c>
      <c r="Z97" s="9" t="n"/>
      <c r="AA97" s="9" t="n"/>
      <c r="AB97" s="9" t="n"/>
      <c r="AC97" s="9" t="n"/>
      <c r="AD97" s="9" t="n"/>
      <c r="AE97" s="9" t="n"/>
      <c r="AF97" s="9" t="n"/>
      <c r="AG97" s="9" t="n"/>
    </row>
    <row r="98">
      <c r="A98" s="9" t="inlineStr">
        <is>
          <t>AtlantGIS</t>
        </is>
      </c>
      <c r="B98" s="9" t="inlineStr">
        <is>
          <t>Faked GIS-Datasets, simulating an island in the Atlantic for educational purposes in using GIS in archaeology</t>
        </is>
      </c>
      <c r="C98" s="10" t="inlineStr">
        <is>
          <t>https://github.com/kacebe/AtlantGIS</t>
        </is>
      </c>
      <c r="D98" s="9" t="n"/>
      <c r="E98" s="9" t="n"/>
      <c r="F98" s="9" t="n"/>
      <c r="G98" s="9" t="n"/>
      <c r="H98" s="9" t="n"/>
      <c r="I98" s="9" t="n"/>
      <c r="J98" s="9" t="n"/>
      <c r="K98" s="9" t="n"/>
      <c r="L98" s="9" t="n"/>
      <c r="M98" s="9" t="n"/>
      <c r="N98" s="9" t="n"/>
      <c r="O98" s="9" t="n"/>
      <c r="P98" s="9" t="n"/>
      <c r="Q98" s="9" t="inlineStr">
        <is>
          <t>kacebe</t>
        </is>
      </c>
      <c r="R98" s="9" t="n"/>
      <c r="S98" s="9" t="n"/>
      <c r="T98" s="9" t="n"/>
      <c r="U98" s="9" t="n"/>
      <c r="V98" s="9" t="n"/>
      <c r="W98" s="9" t="inlineStr">
        <is>
          <t>Lists and datasets</t>
        </is>
      </c>
      <c r="X98" s="9" t="n"/>
      <c r="Y98" s="9" t="inlineStr">
        <is>
          <t>Educational resources and practical guides</t>
        </is>
      </c>
      <c r="Z98" s="9" t="n"/>
      <c r="AA98" s="9" t="n"/>
      <c r="AB98" s="9" t="n"/>
      <c r="AC98" s="9" t="n"/>
      <c r="AD98" s="9" t="n"/>
      <c r="AE98" s="10" t="inlineStr">
        <is>
          <t>https://archive.org/details/github.com-kacebe-AtlantGIS_-_2020-11-18_10-27-26</t>
        </is>
      </c>
      <c r="AF98" s="9" t="n"/>
      <c r="AG98" s="9" t="n"/>
    </row>
    <row r="99">
      <c r="A99" s="9" t="inlineStr">
        <is>
          <t>babylonian-hours</t>
        </is>
      </c>
      <c r="B99" s="9" t="inlineStr">
        <is>
          <t>A digital clock which computes your local time in 'seasonal-hours'.</t>
        </is>
      </c>
      <c r="C99" s="10" t="inlineStr">
        <is>
          <t>https://github.com/willismonroe/babylonian-hours</t>
        </is>
      </c>
      <c r="D99" s="9" t="n"/>
      <c r="E99" s="9" t="n"/>
      <c r="F99" s="9" t="n"/>
      <c r="G99" s="9" t="n"/>
      <c r="H99" s="9" t="n"/>
      <c r="I99" s="9" t="n"/>
      <c r="J99" s="9" t="n"/>
      <c r="K99" s="9" t="n"/>
      <c r="L99" s="9" t="n"/>
      <c r="M99" s="9" t="n"/>
      <c r="N99" s="9" t="n"/>
      <c r="O99" s="9" t="n"/>
      <c r="P99" s="9" t="n"/>
      <c r="Q99" s="9" t="inlineStr">
        <is>
          <t>willismonroe</t>
        </is>
      </c>
      <c r="R99" s="9" t="n"/>
      <c r="S99" s="9" t="n"/>
      <c r="T99" s="9" t="n"/>
      <c r="U99" s="9" t="n"/>
      <c r="V99" s="9" t="n"/>
      <c r="W99" s="9" t="inlineStr">
        <is>
          <t>Standalone software</t>
        </is>
      </c>
      <c r="X99" s="9" t="n"/>
      <c r="Y99" s="9" t="inlineStr">
        <is>
          <t>Simulation</t>
        </is>
      </c>
      <c r="Z99" s="9" t="n"/>
      <c r="AA99" s="9" t="n"/>
      <c r="AB99" s="9" t="n"/>
      <c r="AC99" s="9" t="n"/>
      <c r="AD99" s="9" t="n"/>
      <c r="AE99" s="10" t="inlineStr">
        <is>
          <t>https://archive.org/details/github.com-willismonroe-babylonian-hours_-_2019-01-05_20-36-50</t>
        </is>
      </c>
      <c r="AF99" s="9" t="n"/>
      <c r="AG99" s="9" t="n"/>
    </row>
    <row r="100">
      <c r="A100" s="9" t="inlineStr">
        <is>
          <t>BAM</t>
        </is>
      </c>
      <c r="B100" s="9" t="inlineStr">
        <is>
          <t>A tool for the geospatial analysis, literary network visualization, and plot mapping of ancient texts.</t>
        </is>
      </c>
      <c r="C100" s="10" t="inlineStr">
        <is>
          <t>https://github.com/Big-Ancient-Mediterranean/BAM</t>
        </is>
      </c>
      <c r="D100" s="9" t="n"/>
      <c r="E100" s="9" t="n"/>
      <c r="F100" s="9" t="n"/>
      <c r="G100" s="9" t="n"/>
      <c r="H100" s="9" t="n"/>
      <c r="I100" s="9" t="n"/>
      <c r="J100" s="9" t="n"/>
      <c r="K100" s="9" t="n"/>
      <c r="L100" s="9" t="n"/>
      <c r="M100" s="9" t="n"/>
      <c r="N100" s="9" t="n"/>
      <c r="O100" s="9" t="n"/>
      <c r="P100" s="9" t="n"/>
      <c r="Q100" s="9" t="inlineStr">
        <is>
          <t>Big-Ancient-Mediterranean</t>
        </is>
      </c>
      <c r="R100" s="9" t="n"/>
      <c r="S100" s="9" t="n"/>
      <c r="T100" s="9" t="n"/>
      <c r="U100" s="9" t="n"/>
      <c r="V100" s="9" t="n"/>
      <c r="W100" s="9" t="inlineStr">
        <is>
          <t>Standalone software</t>
        </is>
      </c>
      <c r="X100" s="9" t="n"/>
      <c r="Y100" s="9" t="inlineStr">
        <is>
          <t>Literary analysis and epigraphy</t>
        </is>
      </c>
      <c r="Z100" s="9" t="n"/>
      <c r="AA100" s="9" t="n"/>
      <c r="AB100" s="9" t="n"/>
      <c r="AC100" s="9" t="n"/>
      <c r="AD100" s="9" t="n"/>
      <c r="AE100" s="10" t="inlineStr">
        <is>
          <t>https://archive.org/details/github.com-Big-Ancient-Mediterranean-BAM_-_2018-09-16_12-29-16</t>
        </is>
      </c>
      <c r="AF100" s="9" t="n"/>
      <c r="AG100" s="9" t="n"/>
    </row>
    <row r="101">
      <c r="A101" s="9" t="inlineStr">
        <is>
          <t>baorista</t>
        </is>
      </c>
      <c r="B101" s="9" t="inlineStr">
        <is>
          <t>Provides a Bayesian inferential tool for analysing time-frequencies of archaeological events associated with time spans typically obtained from relative chronological sequences (e.g. periods and phases).</t>
        </is>
      </c>
      <c r="C101" s="10" t="inlineStr">
        <is>
          <t>https://github.com/ercrema/baorista</t>
        </is>
      </c>
      <c r="D101" s="9" t="n"/>
      <c r="E101" s="9" t="n"/>
      <c r="F101" s="9" t="n"/>
      <c r="G101" s="9" t="n"/>
      <c r="H101" s="9" t="n"/>
      <c r="I101" s="9" t="n"/>
      <c r="J101" s="9" t="n"/>
      <c r="K101" s="9" t="n"/>
      <c r="L101" s="9" t="n"/>
      <c r="M101" s="9" t="n"/>
      <c r="N101" s="9" t="n"/>
      <c r="O101" s="10" t="inlineStr">
        <is>
          <t>https://doi.org/10.1111/arcm.12984</t>
        </is>
      </c>
      <c r="P101" s="9" t="n"/>
      <c r="Q101" s="9" t="inlineStr">
        <is>
          <t>ercrema</t>
        </is>
      </c>
      <c r="R101" s="9" t="n"/>
      <c r="S101" s="9" t="n"/>
      <c r="T101" s="9" t="n"/>
      <c r="U101" s="9" t="n"/>
      <c r="V101" s="9" t="n"/>
      <c r="W101" s="9" t="inlineStr">
        <is>
          <t>Packages and libraries</t>
        </is>
      </c>
      <c r="X101" s="9" t="inlineStr">
        <is>
          <t>R</t>
        </is>
      </c>
      <c r="Y101" s="9" t="inlineStr">
        <is>
          <t>Chronological modelling</t>
        </is>
      </c>
      <c r="Z101" s="9" t="inlineStr">
        <is>
          <t>Data management</t>
        </is>
      </c>
      <c r="AA101" s="9" t="n"/>
      <c r="AB101" s="9" t="n"/>
      <c r="AC101" s="9" t="n"/>
      <c r="AD101" s="9" t="n"/>
      <c r="AE101" s="9" t="n"/>
      <c r="AF101" s="9" t="n"/>
      <c r="AG101" s="9" t="n"/>
    </row>
    <row r="102">
      <c r="A102" s="9" t="inlineStr">
        <is>
          <t>BasicMapping</t>
        </is>
      </c>
      <c r="B102" s="9" t="inlineStr">
        <is>
          <t>Working with map data in R.</t>
        </is>
      </c>
      <c r="C102" s="9" t="n"/>
      <c r="D102" s="9" t="n"/>
      <c r="E102" s="9" t="n"/>
      <c r="F102" s="9" t="n"/>
      <c r="G102" s="9" t="n"/>
      <c r="H102" s="9" t="n"/>
      <c r="I102" s="9" t="n"/>
      <c r="J102" s="9" t="n"/>
      <c r="K102" s="9" t="n"/>
      <c r="L102" s="9" t="n"/>
      <c r="M102" s="9" t="n"/>
      <c r="N102" s="10" t="inlineStr">
        <is>
          <t>http://www.mattpeeples.net/modules/BasicMapping.html</t>
        </is>
      </c>
      <c r="O102" s="9" t="n"/>
      <c r="P102" s="9" t="n"/>
      <c r="Q102" s="9" t="inlineStr">
        <is>
          <t>mpeeples2008</t>
        </is>
      </c>
      <c r="R102" s="9" t="n"/>
      <c r="S102" s="9" t="n"/>
      <c r="T102" s="9" t="n"/>
      <c r="U102" s="9" t="n"/>
      <c r="V102" s="9" t="n"/>
      <c r="W102" s="9" t="inlineStr">
        <is>
          <t>Scripts</t>
        </is>
      </c>
      <c r="X102" s="9" t="inlineStr">
        <is>
          <t>R</t>
        </is>
      </c>
      <c r="Y102" s="9" t="inlineStr">
        <is>
          <t>Statistical analysis</t>
        </is>
      </c>
      <c r="Z102" s="9" t="n"/>
      <c r="AA102" s="9" t="n"/>
      <c r="AB102" s="9" t="n"/>
      <c r="AC102" s="9" t="n"/>
      <c r="AD102" s="9" t="n"/>
      <c r="AE102" s="9" t="n"/>
      <c r="AF102" s="9" t="n"/>
      <c r="AG102" s="9" t="n"/>
    </row>
    <row r="103">
      <c r="A103" s="9" t="inlineStr">
        <is>
          <t>baydem</t>
        </is>
      </c>
      <c r="B103" s="9" t="inlineStr">
        <is>
          <t>Bayesian tools for reconstructing past demography.</t>
        </is>
      </c>
      <c r="C103" s="10" t="inlineStr">
        <is>
          <t>https://github.com/eehh-stanford/baydem</t>
        </is>
      </c>
      <c r="D103" s="9" t="n"/>
      <c r="E103" s="9" t="n"/>
      <c r="F103" s="9" t="n"/>
      <c r="G103" s="9" t="n"/>
      <c r="H103" s="9" t="n"/>
      <c r="I103" s="9" t="n"/>
      <c r="J103" s="9" t="n"/>
      <c r="K103" s="9" t="n"/>
      <c r="L103" s="9" t="n"/>
      <c r="M103" s="9" t="n"/>
      <c r="N103" s="10" t="inlineStr">
        <is>
          <t>https://eehh-stanford.github.io/baydem/</t>
        </is>
      </c>
      <c r="O103" s="9" t="n"/>
      <c r="P103" s="9" t="n"/>
      <c r="Q103" s="9" t="inlineStr">
        <is>
          <t>MichaelHoltonPrice</t>
        </is>
      </c>
      <c r="R103" s="9" t="inlineStr">
        <is>
          <t>bocinsky</t>
        </is>
      </c>
      <c r="S103" s="9" t="n"/>
      <c r="T103" s="9" t="n"/>
      <c r="U103" s="9" t="n"/>
      <c r="V103" s="9" t="n"/>
      <c r="W103" s="9" t="inlineStr">
        <is>
          <t>Packages and libraries</t>
        </is>
      </c>
      <c r="X103" s="9" t="inlineStr">
        <is>
          <t>R</t>
        </is>
      </c>
      <c r="Y103" s="9" t="inlineStr">
        <is>
          <t>Radiocarbon dating, calibration and sequencing</t>
        </is>
      </c>
      <c r="Z103" s="9" t="inlineStr">
        <is>
          <t>Palaeobotany</t>
        </is>
      </c>
      <c r="AA103" s="9" t="n"/>
      <c r="AB103" s="9" t="n"/>
      <c r="AC103" s="9" t="n"/>
      <c r="AD103" s="9" t="n"/>
      <c r="AE103" s="10" t="inlineStr">
        <is>
          <t>https://archive.org/details/github.com-eehh-stanford-baydem_-_2021-04-09_19-24-36</t>
        </is>
      </c>
      <c r="AF103" s="9" t="n"/>
      <c r="AG103" s="9" t="n"/>
    </row>
    <row r="104">
      <c r="A104" s="9" t="inlineStr">
        <is>
          <t>BayLum</t>
        </is>
      </c>
      <c r="B104" s="9" t="inlineStr">
        <is>
          <t>An R package for chronological Bayesian models integrated for Optically Stimulated OSL, Luminescence Dating</t>
        </is>
      </c>
      <c r="C104" s="10" t="inlineStr">
        <is>
          <t>https://github.com/crp2a/BayLum</t>
        </is>
      </c>
      <c r="D104" s="9" t="n"/>
      <c r="E104" s="9" t="n"/>
      <c r="F104" s="9" t="n"/>
      <c r="G104" s="9" t="n"/>
      <c r="H104" s="9" t="n"/>
      <c r="I104" s="9" t="n"/>
      <c r="J104" s="9" t="n"/>
      <c r="K104" s="10" t="inlineStr">
        <is>
          <t>https://cran.r-project.org/package=BayLum</t>
        </is>
      </c>
      <c r="L104" s="9" t="n"/>
      <c r="M104" s="9" t="n"/>
      <c r="N104" s="10" t="inlineStr">
        <is>
          <t>https://crp2a.github.io/BayLum/</t>
        </is>
      </c>
      <c r="O104" s="9" t="n"/>
      <c r="P104" s="9" t="inlineStr">
        <is>
          <t>10.5281/zenodo.4311266</t>
        </is>
      </c>
      <c r="Q104" s="9" t="inlineStr">
        <is>
          <t>philippe-a</t>
        </is>
      </c>
      <c r="R104" s="9" t="inlineStr">
        <is>
          <t>RLumSK</t>
        </is>
      </c>
      <c r="S104" s="9" t="n"/>
      <c r="T104" s="9" t="n"/>
      <c r="U104" s="9" t="n"/>
      <c r="V104" s="9" t="n"/>
      <c r="W104" s="9" t="inlineStr">
        <is>
          <t>Packages and libraries</t>
        </is>
      </c>
      <c r="X104" s="9" t="inlineStr">
        <is>
          <t>R</t>
        </is>
      </c>
      <c r="Y104" s="9" t="inlineStr">
        <is>
          <t>Luminescence dating</t>
        </is>
      </c>
      <c r="Z104" s="9" t="n"/>
      <c r="AA104" s="9" t="n"/>
      <c r="AB104" s="9" t="n"/>
      <c r="AC104" s="9" t="n"/>
      <c r="AD104" s="9" t="n"/>
      <c r="AE104" s="10" t="inlineStr">
        <is>
          <t>https://archive.org/details/github.com-crp2a-BayLum_-_2021-01-03_12-01-54</t>
        </is>
      </c>
      <c r="AF104" s="9" t="n"/>
      <c r="AG104" s="9" t="n"/>
    </row>
    <row r="105">
      <c r="A105" s="9" t="inlineStr">
        <is>
          <t>Bchron</t>
        </is>
      </c>
      <c r="B105" s="9" t="inlineStr">
        <is>
          <t>Radiocarbon Dating, Age-Depth Modelling, Relative Sea Level Rate Estimation, and Non-Parametric Phase Modelling</t>
        </is>
      </c>
      <c r="C105" s="10" t="inlineStr">
        <is>
          <t>https://github.com/andrewcparnell/Bchron</t>
        </is>
      </c>
      <c r="D105" s="9" t="n"/>
      <c r="E105" s="9" t="n"/>
      <c r="F105" s="9" t="n"/>
      <c r="G105" s="9" t="n"/>
      <c r="H105" s="9" t="n"/>
      <c r="I105" s="9" t="n"/>
      <c r="J105" s="9" t="n"/>
      <c r="K105" s="10" t="inlineStr">
        <is>
          <t>https://cran.r-project.org/package=Bchron</t>
        </is>
      </c>
      <c r="L105" s="9" t="n"/>
      <c r="M105" s="9" t="n"/>
      <c r="N105" s="9" t="n"/>
      <c r="O105" s="9" t="n"/>
      <c r="P105" s="9" t="n"/>
      <c r="Q105" s="9" t="inlineStr">
        <is>
          <t>andrewcparnell</t>
        </is>
      </c>
      <c r="R105" s="9" t="n"/>
      <c r="S105" s="9" t="n"/>
      <c r="T105" s="9" t="n"/>
      <c r="U105" s="9" t="n"/>
      <c r="V105" s="9" t="n"/>
      <c r="W105" s="9" t="inlineStr">
        <is>
          <t>Packages and libraries</t>
        </is>
      </c>
      <c r="X105" s="9" t="inlineStr">
        <is>
          <t>R</t>
        </is>
      </c>
      <c r="Y105" s="9" t="inlineStr">
        <is>
          <t>Radiocarbon dating, calibration and sequencing</t>
        </is>
      </c>
      <c r="Z105" s="9" t="n"/>
      <c r="AA105" s="9" t="n"/>
      <c r="AB105" s="9" t="n"/>
      <c r="AC105" s="9" t="n"/>
      <c r="AD105" s="9" t="n"/>
      <c r="AE105" s="10" t="inlineStr">
        <is>
          <t>https://archive.org/details/github.com-andrewcparnell-Bchron_-_2021-02-01_13-37-47</t>
        </is>
      </c>
      <c r="AF105" s="9" t="n"/>
      <c r="AG105" s="9" t="n"/>
    </row>
    <row r="106">
      <c r="A106" s="9" t="inlineStr">
        <is>
          <t>benmarwickDY-XYZ-data-on-an-irregular-grid-to-an-interpolated-raster.r</t>
        </is>
      </c>
      <c r="B106" s="9" t="inlineStr">
        <is>
          <t>Plotting remote sensing data, especially how to go from XYZ data on an irregular grid to an interpolated raster</t>
        </is>
      </c>
      <c r="C106" s="9" t="n"/>
      <c r="D106" s="10" t="inlineStr">
        <is>
          <t>https://gist.github.com/benmarwick/7331879</t>
        </is>
      </c>
      <c r="E106" s="9" t="n"/>
      <c r="F106" s="9" t="n"/>
      <c r="G106" s="9" t="n"/>
      <c r="H106" s="9" t="n"/>
      <c r="I106" s="9" t="n"/>
      <c r="J106" s="9" t="n"/>
      <c r="K106" s="9" t="n"/>
      <c r="L106" s="9" t="n"/>
      <c r="M106" s="9" t="n"/>
      <c r="N106" s="9" t="n"/>
      <c r="O106" s="9" t="n"/>
      <c r="P106" s="9" t="n"/>
      <c r="Q106" s="9" t="inlineStr">
        <is>
          <t>benmarwick</t>
        </is>
      </c>
      <c r="R106" s="9" t="n"/>
      <c r="S106" s="9" t="n"/>
      <c r="T106" s="9" t="n"/>
      <c r="U106" s="9" t="n"/>
      <c r="V106" s="9" t="n"/>
      <c r="W106" s="9" t="inlineStr">
        <is>
          <t>Scripts</t>
        </is>
      </c>
      <c r="X106" s="9" t="inlineStr">
        <is>
          <t>R</t>
        </is>
      </c>
      <c r="Y106" s="9" t="inlineStr">
        <is>
          <t>Aerial and satellite imagery</t>
        </is>
      </c>
      <c r="Z106" s="9" t="n"/>
      <c r="AA106" s="9" t="n"/>
      <c r="AB106" s="9" t="n"/>
      <c r="AC106" s="9" t="n"/>
      <c r="AD106" s="9" t="n"/>
      <c r="AE106" s="10" t="inlineStr">
        <is>
          <t>https://archive.org/details/gist.github.com-7331879_-_2015-12-27_20-29-23</t>
        </is>
      </c>
      <c r="AF106" s="9" t="n"/>
      <c r="AG106" s="9" t="n"/>
    </row>
    <row r="107">
      <c r="A107" s="9" t="inlineStr">
        <is>
          <t>benmarwickopencontext.r</t>
        </is>
      </c>
      <c r="B107" s="9" t="inlineStr">
        <is>
          <t>Experimenting with the opencontext.org API using R</t>
        </is>
      </c>
      <c r="C107" s="9" t="n"/>
      <c r="D107" s="10" t="inlineStr">
        <is>
          <t>https://gist.github.com/benmarwick/50aa4c39b7d955d0ec40</t>
        </is>
      </c>
      <c r="E107" s="9" t="n"/>
      <c r="F107" s="9" t="n"/>
      <c r="G107" s="9" t="n"/>
      <c r="H107" s="9" t="n"/>
      <c r="I107" s="9" t="n"/>
      <c r="J107" s="9" t="n"/>
      <c r="K107" s="9" t="n"/>
      <c r="L107" s="9" t="n"/>
      <c r="M107" s="9" t="n"/>
      <c r="N107" s="9" t="n"/>
      <c r="O107" s="9" t="n"/>
      <c r="P107" s="9" t="n"/>
      <c r="Q107" s="9" t="inlineStr">
        <is>
          <t>benmarwick</t>
        </is>
      </c>
      <c r="R107" s="9" t="n"/>
      <c r="S107" s="9" t="n"/>
      <c r="T107" s="9" t="n"/>
      <c r="U107" s="9" t="n"/>
      <c r="V107" s="9" t="n"/>
      <c r="W107" s="9" t="inlineStr">
        <is>
          <t>Scripts</t>
        </is>
      </c>
      <c r="X107" s="9" t="inlineStr">
        <is>
          <t>R</t>
        </is>
      </c>
      <c r="Y107" s="9" t="inlineStr">
        <is>
          <t>API interfaces and web scrapers</t>
        </is>
      </c>
      <c r="Z107" s="9" t="n"/>
      <c r="AA107" s="9" t="n"/>
      <c r="AB107" s="9" t="n"/>
      <c r="AC107" s="9" t="n"/>
      <c r="AD107" s="9" t="n"/>
      <c r="AE107" s="10" t="inlineStr">
        <is>
          <t>https://archive.org/details/gist.github.com-50aa4c39b7d955d0ec40_-_2016-09-16_22-55-57</t>
        </is>
      </c>
      <c r="AF107" s="9" t="n"/>
      <c r="AG107" s="9" t="n"/>
    </row>
    <row r="108">
      <c r="A108" s="9" t="inlineStr">
        <is>
          <t>Bibliographic Database of African Scholarship on African Archaeology</t>
        </is>
      </c>
      <c r="B108" s="9" t="inlineStr">
        <is>
          <t>An open-access database of African archaeology publications by African and Afrodescendant scholars.</t>
        </is>
      </c>
      <c r="C108" s="9" t="n"/>
      <c r="D108" s="9" t="n"/>
      <c r="E108" s="9" t="n"/>
      <c r="F108" s="9" t="n"/>
      <c r="G108" s="9" t="n"/>
      <c r="H108" s="9" t="n"/>
      <c r="I108" s="9" t="n"/>
      <c r="J108" s="9" t="n"/>
      <c r="K108" s="9" t="n"/>
      <c r="L108" s="9" t="n"/>
      <c r="M108" s="9" t="n"/>
      <c r="N108" s="10" t="inlineStr">
        <is>
          <t>https://bibdaa.rice.edu/</t>
        </is>
      </c>
      <c r="O108" s="9" t="n"/>
      <c r="P108" s="9" t="n"/>
      <c r="Q108" s="9" t="inlineStr">
        <is>
          <t>J. Fleisher</t>
        </is>
      </c>
      <c r="R108" s="9" t="inlineStr">
        <is>
          <t>M. Prendergast</t>
        </is>
      </c>
      <c r="S108" s="9" t="inlineStr">
        <is>
          <t>K. Ranhorn</t>
        </is>
      </c>
      <c r="T108" s="9" t="inlineStr">
        <is>
          <t>H. Woldekiros</t>
        </is>
      </c>
      <c r="U108" s="9" t="n"/>
      <c r="V108" s="9" t="n"/>
      <c r="W108" s="9" t="inlineStr">
        <is>
          <t>Lists and datasets</t>
        </is>
      </c>
      <c r="X108" s="9" t="n"/>
      <c r="Y108" s="9" t="inlineStr">
        <is>
          <t>Bibliography</t>
        </is>
      </c>
      <c r="Z108" s="9" t="inlineStr">
        <is>
          <t>Ethics and professional development</t>
        </is>
      </c>
      <c r="AA108" s="9" t="inlineStr">
        <is>
          <t>Educational resources and practical guides</t>
        </is>
      </c>
      <c r="AB108" s="9" t="n"/>
      <c r="AC108" s="9" t="n"/>
      <c r="AD108" s="9" t="n"/>
      <c r="AE108" s="9" t="n"/>
      <c r="AF108" s="9" t="n"/>
      <c r="AG108" s="9" t="n"/>
    </row>
    <row r="109">
      <c r="A109" s="9" t="inlineStr">
        <is>
          <t>binford</t>
        </is>
      </c>
      <c r="B109" s="9" t="inlineStr">
        <is>
          <t>Datasets used in Binford's 2001 book "Constructing Frames of Reference: An Analytical Method for Archaeological Theory Building Using Ethnographic and Environmental Data Sets</t>
        </is>
      </c>
      <c r="C109" s="10" t="inlineStr">
        <is>
          <t>https://github.com/benmarwick/binford</t>
        </is>
      </c>
      <c r="D109" s="9" t="n"/>
      <c r="E109" s="9" t="n"/>
      <c r="F109" s="9" t="n"/>
      <c r="G109" s="9" t="n"/>
      <c r="H109" s="9" t="n"/>
      <c r="I109" s="9" t="n"/>
      <c r="J109" s="9" t="n"/>
      <c r="K109" s="9" t="n"/>
      <c r="L109" s="9" t="n"/>
      <c r="M109" s="9" t="n"/>
      <c r="N109" s="9" t="n"/>
      <c r="O109" s="9" t="n"/>
      <c r="P109" s="9" t="n"/>
      <c r="Q109" s="9" t="inlineStr">
        <is>
          <t>benmarwick</t>
        </is>
      </c>
      <c r="R109" s="9" t="n"/>
      <c r="S109" s="9" t="n"/>
      <c r="T109" s="9" t="n"/>
      <c r="U109" s="9" t="n"/>
      <c r="V109" s="9" t="n"/>
      <c r="W109" s="9" t="inlineStr">
        <is>
          <t>Lists and datasets</t>
        </is>
      </c>
      <c r="X109" s="9" t="n"/>
      <c r="Y109" s="9" t="inlineStr">
        <is>
          <t>Datasets</t>
        </is>
      </c>
      <c r="Z109" s="9" t="n"/>
      <c r="AA109" s="9" t="n"/>
      <c r="AB109" s="9" t="n"/>
      <c r="AC109" s="9" t="n"/>
      <c r="AD109" s="9" t="n"/>
      <c r="AE109" s="10" t="inlineStr">
        <is>
          <t>https://archive.org/details/github.com-benmarwick-binford_-_2017-06-20_12-21-46</t>
        </is>
      </c>
      <c r="AF109" s="9" t="n"/>
      <c r="AG109" s="9" t="n"/>
    </row>
    <row r="110">
      <c r="A110" s="9" t="inlineStr">
        <is>
          <t>Binomial-Co-occurrence-Assessment</t>
        </is>
      </c>
      <c r="B110" s="9" t="inlineStr">
        <is>
          <t>R script that implements a means for statistically assessing the degree of co-occurrence between classes within a dataset.</t>
        </is>
      </c>
      <c r="C110" s="10" t="inlineStr">
        <is>
          <t>https://github.com/mpeeples2008/Binomial-Co-occurrence-Assessment</t>
        </is>
      </c>
      <c r="D110" s="9" t="n"/>
      <c r="E110" s="9" t="n"/>
      <c r="F110" s="9" t="n"/>
      <c r="G110" s="9" t="n"/>
      <c r="H110" s="9" t="n"/>
      <c r="I110" s="9" t="n"/>
      <c r="J110" s="9" t="n"/>
      <c r="K110" s="9" t="n"/>
      <c r="L110" s="9" t="n"/>
      <c r="M110" s="9" t="n"/>
      <c r="N110" s="9" t="n"/>
      <c r="O110" s="9" t="n"/>
      <c r="P110" s="9" t="n"/>
      <c r="Q110" s="9" t="inlineStr">
        <is>
          <t>mpeeples2008</t>
        </is>
      </c>
      <c r="R110" s="9" t="n"/>
      <c r="S110" s="9" t="n"/>
      <c r="T110" s="9" t="n"/>
      <c r="U110" s="9" t="n"/>
      <c r="V110" s="9" t="n"/>
      <c r="W110" s="9" t="inlineStr">
        <is>
          <t>Scripts</t>
        </is>
      </c>
      <c r="X110" s="9" t="inlineStr">
        <is>
          <t>R</t>
        </is>
      </c>
      <c r="Y110" s="9" t="inlineStr">
        <is>
          <t>Statistical analysis</t>
        </is>
      </c>
      <c r="Z110" s="9" t="n"/>
      <c r="AA110" s="9" t="n"/>
      <c r="AB110" s="9" t="n"/>
      <c r="AC110" s="9" t="n"/>
      <c r="AD110" s="9" t="n"/>
      <c r="AE110" s="10" t="inlineStr">
        <is>
          <t>https://archive.org/details/github.com-mpeeples2008-Binomial-Co-occurrence-Assessment_-_2018-05-11_03-58-41</t>
        </is>
      </c>
      <c r="AF110" s="9" t="n"/>
      <c r="AG110" s="9" t="n"/>
    </row>
    <row r="111">
      <c r="A111" s="9" t="inlineStr">
        <is>
          <t>bioanth</t>
        </is>
      </c>
      <c r="B111" s="9" t="inlineStr">
        <is>
          <t>An R package that provides datasets useful for biological and forensic anthropology.</t>
        </is>
      </c>
      <c r="C111" s="10" t="inlineStr">
        <is>
          <t>https://github.com/geanes/bioanth</t>
        </is>
      </c>
      <c r="D111" s="9" t="n"/>
      <c r="E111" s="9" t="n"/>
      <c r="F111" s="9" t="n"/>
      <c r="G111" s="9" t="n"/>
      <c r="H111" s="9" t="n"/>
      <c r="I111" s="9" t="n"/>
      <c r="J111" s="9" t="n"/>
      <c r="K111" s="9" t="n"/>
      <c r="L111" s="9" t="n"/>
      <c r="M111" s="9" t="n"/>
      <c r="N111" s="9" t="n"/>
      <c r="O111" s="9" t="n"/>
      <c r="P111" s="9" t="n"/>
      <c r="Q111" s="9" t="inlineStr">
        <is>
          <t>geanes</t>
        </is>
      </c>
      <c r="R111" s="9" t="n"/>
      <c r="S111" s="9" t="n"/>
      <c r="T111" s="9" t="n"/>
      <c r="U111" s="9" t="n"/>
      <c r="V111" s="9" t="n"/>
      <c r="W111" s="9" t="inlineStr">
        <is>
          <t>Packages and libraries</t>
        </is>
      </c>
      <c r="X111" s="9" t="inlineStr">
        <is>
          <t>R</t>
        </is>
      </c>
      <c r="Y111" s="9" t="inlineStr">
        <is>
          <t>Biological anthropology</t>
        </is>
      </c>
      <c r="Z111" s="9" t="n"/>
      <c r="AA111" s="9" t="n"/>
      <c r="AB111" s="9" t="n"/>
      <c r="AC111" s="9" t="n"/>
      <c r="AD111" s="9" t="n"/>
      <c r="AE111" s="10" t="inlineStr">
        <is>
          <t>https://archive.org/details/github.com-geanes-bioanth_-_2015-02-27_03-40-21</t>
        </is>
      </c>
      <c r="AF111" s="9" t="n"/>
      <c r="AG111" s="9" t="n"/>
    </row>
    <row r="112">
      <c r="A112" s="9" t="inlineStr">
        <is>
          <t>BioArch_R</t>
        </is>
      </c>
      <c r="B112" s="9" t="inlineStr">
        <is>
          <t>Apps and functions for use in Bioarchaeology</t>
        </is>
      </c>
      <c r="C112" s="10" t="inlineStr">
        <is>
          <t>https://github.com/AlisJay/BioArch_R</t>
        </is>
      </c>
      <c r="D112" s="9" t="n"/>
      <c r="E112" s="9" t="n"/>
      <c r="F112" s="9" t="n"/>
      <c r="G112" s="9" t="n"/>
      <c r="H112" s="9" t="n"/>
      <c r="I112" s="9" t="n"/>
      <c r="J112" s="9" t="n"/>
      <c r="K112" s="9" t="n"/>
      <c r="L112" s="9" t="n"/>
      <c r="M112" s="9" t="n"/>
      <c r="N112" s="9" t="n"/>
      <c r="O112" s="9" t="n"/>
      <c r="P112" s="9" t="n"/>
      <c r="Q112" s="9" t="inlineStr">
        <is>
          <t>AlisJay</t>
        </is>
      </c>
      <c r="R112" s="9" t="n"/>
      <c r="S112" s="9" t="n"/>
      <c r="T112" s="9" t="n"/>
      <c r="U112" s="9" t="n"/>
      <c r="V112" s="9" t="n"/>
      <c r="W112" s="9" t="inlineStr">
        <is>
          <t>Packages and libraries</t>
        </is>
      </c>
      <c r="X112" s="9" t="inlineStr">
        <is>
          <t>R</t>
        </is>
      </c>
      <c r="Y112" s="9" t="inlineStr">
        <is>
          <t>Biological anthropology</t>
        </is>
      </c>
      <c r="Z112" s="9" t="n"/>
      <c r="AA112" s="9" t="n"/>
      <c r="AB112" s="9" t="n"/>
      <c r="AC112" s="9" t="n"/>
      <c r="AD112" s="9" t="n"/>
      <c r="AE112" s="9" t="n"/>
      <c r="AF112" s="9" t="n"/>
      <c r="AG112" s="9" t="n"/>
    </row>
    <row r="113">
      <c r="A113" s="9" t="inlineStr">
        <is>
          <t>BioProfile</t>
        </is>
      </c>
      <c r="B113" s="9" t="inlineStr">
        <is>
          <t>A shiny app which uses the results of standard osteological methods to create a basic biological profile</t>
        </is>
      </c>
      <c r="C113" s="10" t="inlineStr">
        <is>
          <t>https://github.com/AlisJay/BioProfile</t>
        </is>
      </c>
      <c r="D113" s="9" t="n"/>
      <c r="E113" s="9" t="n"/>
      <c r="F113" s="9" t="n"/>
      <c r="G113" s="9" t="n"/>
      <c r="H113" s="9" t="n"/>
      <c r="I113" s="9" t="n"/>
      <c r="J113" s="9" t="n"/>
      <c r="K113" s="9" t="n"/>
      <c r="L113" s="9" t="n"/>
      <c r="M113" s="9" t="n"/>
      <c r="N113" s="10" t="inlineStr">
        <is>
          <t>https://alisjay.shinyapps.io/BioProfile</t>
        </is>
      </c>
      <c r="O113" s="9" t="n"/>
      <c r="P113" s="9" t="n"/>
      <c r="Q113" s="9" t="inlineStr">
        <is>
          <t>AlisJay</t>
        </is>
      </c>
      <c r="R113" s="9" t="n"/>
      <c r="S113" s="9" t="n"/>
      <c r="T113" s="9" t="n"/>
      <c r="U113" s="9" t="n"/>
      <c r="V113" s="9" t="n"/>
      <c r="W113" s="9" t="inlineStr">
        <is>
          <t>Packages and libraries</t>
        </is>
      </c>
      <c r="X113" s="9" t="inlineStr">
        <is>
          <t>R</t>
        </is>
      </c>
      <c r="Y113" s="9" t="inlineStr">
        <is>
          <t>Biological anthropology</t>
        </is>
      </c>
      <c r="Z113" s="9" t="n"/>
      <c r="AA113" s="9" t="n"/>
      <c r="AB113" s="9" t="n"/>
      <c r="AC113" s="9" t="n"/>
      <c r="AD113" s="9" t="n"/>
      <c r="AE113" s="9" t="n"/>
      <c r="AF113" s="9" t="n"/>
      <c r="AG113" s="9" t="n"/>
    </row>
    <row r="114">
      <c r="A114" s="9" t="inlineStr">
        <is>
          <t>bleiglas</t>
        </is>
      </c>
      <c r="B114" s="9" t="inlineStr">
        <is>
          <t>An R package that provides functions for 3D tessellation with Voro++ and subsequent horizontal cutting of the resulting polygons for 2D plotting. It was developed for archaeological spatiotemporal data, but may as well be used for other three dimensional contexts.</t>
        </is>
      </c>
      <c r="C114" s="10" t="inlineStr">
        <is>
          <t>https://github.com/nevrome/bleiglas</t>
        </is>
      </c>
      <c r="D114" s="9" t="n"/>
      <c r="E114" s="9" t="n"/>
      <c r="F114" s="9" t="n"/>
      <c r="G114" s="9" t="n"/>
      <c r="H114" s="9" t="n"/>
      <c r="I114" s="9" t="n"/>
      <c r="J114" s="9" t="n"/>
      <c r="K114" s="9" t="n"/>
      <c r="L114" s="9" t="n"/>
      <c r="M114" s="9" t="n"/>
      <c r="N114" s="9" t="n"/>
      <c r="O114" s="10" t="inlineStr">
        <is>
          <t>https://doi.org/10.21105/joss.03092</t>
        </is>
      </c>
      <c r="P114" s="9" t="n"/>
      <c r="Q114" s="9" t="inlineStr">
        <is>
          <t>nevrome</t>
        </is>
      </c>
      <c r="R114" s="9" t="inlineStr">
        <is>
          <t>stschiff</t>
        </is>
      </c>
      <c r="S114" s="9" t="n"/>
      <c r="T114" s="9" t="n"/>
      <c r="U114" s="9" t="n"/>
      <c r="V114" s="9" t="n"/>
      <c r="W114" s="9" t="inlineStr">
        <is>
          <t>Packages and libraries</t>
        </is>
      </c>
      <c r="X114" s="9" t="inlineStr">
        <is>
          <t>R</t>
        </is>
      </c>
      <c r="Y114" s="9" t="inlineStr">
        <is>
          <t>Spatial analysis</t>
        </is>
      </c>
      <c r="Z114" s="9" t="inlineStr">
        <is>
          <t>3D modelling</t>
        </is>
      </c>
      <c r="AA114" s="9" t="n"/>
      <c r="AB114" s="9" t="n"/>
      <c r="AC114" s="9" t="n"/>
      <c r="AD114" s="9" t="n"/>
      <c r="AE114" s="10" t="inlineStr">
        <is>
          <t>https://archive.org/details/github.com-nevrome-bleiglas_-_2021-04-10_13-49-19</t>
        </is>
      </c>
      <c r="AF114" s="9" t="n"/>
      <c r="AG114" s="9" t="n"/>
    </row>
    <row r="115">
      <c r="A115" s="9" t="inlineStr">
        <is>
          <t>Bonify</t>
        </is>
      </c>
      <c r="B115" s="9" t="inlineStr">
        <is>
          <t>Access and visualize 3D models of faunal remains.</t>
        </is>
      </c>
      <c r="C115" s="9" t="n"/>
      <c r="D115" s="9" t="n"/>
      <c r="E115" s="9" t="n"/>
      <c r="F115" s="9" t="n"/>
      <c r="G115" s="9" t="n"/>
      <c r="H115" s="9" t="n"/>
      <c r="I115" s="9" t="n"/>
      <c r="J115" s="9" t="n"/>
      <c r="K115" s="9" t="n"/>
      <c r="L115" s="9" t="n"/>
      <c r="M115" s="9" t="n"/>
      <c r="N115" s="10" t="inlineStr">
        <is>
          <t>https://www.digitalbones.eu</t>
        </is>
      </c>
      <c r="O115" s="9" t="n"/>
      <c r="P115" s="9" t="n"/>
      <c r="Q115" s="9" t="inlineStr">
        <is>
          <t>garynobles</t>
        </is>
      </c>
      <c r="R115" s="9" t="inlineStr">
        <is>
          <t>Canan Cakirlar</t>
        </is>
      </c>
      <c r="S115" s="9" t="inlineStr">
        <is>
          <t>Nynke de Boer</t>
        </is>
      </c>
      <c r="T115" s="9" t="n"/>
      <c r="U115" s="9" t="n"/>
      <c r="V115" s="9" t="n"/>
      <c r="W115" s="9" t="inlineStr">
        <is>
          <t>Standalone software</t>
        </is>
      </c>
      <c r="X115" s="9" t="n"/>
      <c r="Y115" s="9" t="inlineStr">
        <is>
          <t>3D modelling</t>
        </is>
      </c>
      <c r="Z115" s="9" t="inlineStr">
        <is>
          <t>Zooarchaeology</t>
        </is>
      </c>
      <c r="AA115" s="9" t="n"/>
      <c r="AB115" s="9" t="n"/>
      <c r="AC115" s="9" t="n"/>
      <c r="AD115" s="9" t="n"/>
      <c r="AE115" s="9" t="n"/>
      <c r="AF115" s="9" t="n"/>
      <c r="AG115" s="9" t="n"/>
    </row>
    <row r="116">
      <c r="A116" s="9" t="inlineStr">
        <is>
          <t>Bootstrap-Correspondence-Analysis</t>
        </is>
      </c>
      <c r="B116" s="9" t="inlineStr">
        <is>
          <t>R-script for conducting and evaluating bootstrapped correspondence analyses.</t>
        </is>
      </c>
      <c r="C116" s="10" t="inlineStr">
        <is>
          <t>https://github.com/mpeeples2008/Bootstrap-Correspondence-Analysis</t>
        </is>
      </c>
      <c r="D116" s="9" t="n"/>
      <c r="E116" s="9" t="n"/>
      <c r="F116" s="9" t="n"/>
      <c r="G116" s="9" t="n"/>
      <c r="H116" s="9" t="n"/>
      <c r="I116" s="9" t="n"/>
      <c r="J116" s="9" t="n"/>
      <c r="K116" s="9" t="n"/>
      <c r="L116" s="9" t="n"/>
      <c r="M116" s="9" t="n"/>
      <c r="N116" s="10" t="inlineStr">
        <is>
          <t>http://www.mattpeeples.net/caboot.html</t>
        </is>
      </c>
      <c r="O116" s="9" t="n"/>
      <c r="P116" s="9" t="n"/>
      <c r="Q116" s="9" t="inlineStr">
        <is>
          <t>mpeeples2008</t>
        </is>
      </c>
      <c r="R116" s="9" t="n"/>
      <c r="S116" s="9" t="n"/>
      <c r="T116" s="9" t="n"/>
      <c r="U116" s="9" t="n"/>
      <c r="V116" s="9" t="n"/>
      <c r="W116" s="9" t="inlineStr">
        <is>
          <t>Scripts</t>
        </is>
      </c>
      <c r="X116" s="9" t="inlineStr">
        <is>
          <t>R</t>
        </is>
      </c>
      <c r="Y116" s="9" t="inlineStr">
        <is>
          <t>Statistical analysis</t>
        </is>
      </c>
      <c r="Z116" s="9" t="n"/>
      <c r="AA116" s="9" t="n"/>
      <c r="AB116" s="9" t="n"/>
      <c r="AC116" s="9" t="n"/>
      <c r="AD116" s="9" t="n"/>
      <c r="AE116" s="10" t="inlineStr">
        <is>
          <t>https://archive.org/details/github.com-mpeeples2008-Bootstrap-Correspondence-Analysis_-_2018-05-10_21-36-03</t>
        </is>
      </c>
      <c r="AF116" s="9" t="n"/>
      <c r="AG116" s="9" t="n"/>
    </row>
    <row r="117">
      <c r="A117" s="9" t="inlineStr">
        <is>
          <t>BraDypUS</t>
        </is>
      </c>
      <c r="B117" s="9" t="inlineStr">
        <is>
          <t>Creating, impementing and publishing relational databases on the Web, especially for the archaeolgical domain.</t>
        </is>
      </c>
      <c r="C117" s="10" t="inlineStr">
        <is>
          <t>https://github.com/lab-archeologia-digitale/BraDypUS</t>
        </is>
      </c>
      <c r="D117" s="9" t="n"/>
      <c r="E117" s="9" t="n"/>
      <c r="F117" s="9" t="n"/>
      <c r="G117" s="9" t="n"/>
      <c r="H117" s="9" t="n"/>
      <c r="I117" s="9" t="n"/>
      <c r="J117" s="9" t="n"/>
      <c r="K117" s="9" t="n"/>
      <c r="L117" s="9" t="n"/>
      <c r="M117" s="9" t="n"/>
      <c r="N117" s="9" t="n"/>
      <c r="O117" s="9" t="n"/>
      <c r="P117" s="9" t="inlineStr">
        <is>
          <t>10.5281/zenodo.5577979.svg</t>
        </is>
      </c>
      <c r="Q117" s="9" t="inlineStr">
        <is>
          <t>lab-archeologia-digitale</t>
        </is>
      </c>
      <c r="R117" s="9" t="n"/>
      <c r="S117" s="9" t="n"/>
      <c r="T117" s="9" t="n"/>
      <c r="U117" s="9" t="n"/>
      <c r="V117" s="9" t="n"/>
      <c r="W117" s="9" t="inlineStr">
        <is>
          <t>Standalone software</t>
        </is>
      </c>
      <c r="X117" s="9" t="n"/>
      <c r="Y117" s="9" t="inlineStr">
        <is>
          <t>Data management</t>
        </is>
      </c>
      <c r="Z117" s="9" t="n"/>
      <c r="AA117" s="9" t="n"/>
      <c r="AB117" s="9" t="n"/>
      <c r="AC117" s="9" t="n"/>
      <c r="AD117" s="9" t="n"/>
      <c r="AE117" s="9" t="n"/>
      <c r="AF117" s="9" t="n"/>
      <c r="AG117" s="9" t="n"/>
    </row>
    <row r="118">
      <c r="A118" s="9" t="inlineStr">
        <is>
          <t>Brainerd-Robinson-Similarity-Coefficient-and-Sampling-Error-Assessment</t>
        </is>
      </c>
      <c r="B118" s="9" t="inlineStr">
        <is>
          <t>Script for calculating Brainerd-Robinson coefficients based on tabular count or percent data. This script also estimates the probability that a given difference between two samples is the product of sampling error.</t>
        </is>
      </c>
      <c r="C118" s="10" t="inlineStr">
        <is>
          <t>https://github.com/mpeeples2008/Brainerd-Robinson-Similarity-Coefficient-and-Sampling-Error-Assessment</t>
        </is>
      </c>
      <c r="D118" s="9" t="n"/>
      <c r="E118" s="9" t="n"/>
      <c r="F118" s="9" t="n"/>
      <c r="G118" s="9" t="n"/>
      <c r="H118" s="9" t="n"/>
      <c r="I118" s="9" t="n"/>
      <c r="J118" s="9" t="n"/>
      <c r="K118" s="9" t="n"/>
      <c r="L118" s="9" t="n"/>
      <c r="M118" s="9" t="n"/>
      <c r="N118" s="10" t="inlineStr">
        <is>
          <t>http://www.mattpeeples.net/BR.html</t>
        </is>
      </c>
      <c r="O118" s="9" t="n"/>
      <c r="P118" s="9" t="n"/>
      <c r="Q118" s="9" t="inlineStr">
        <is>
          <t>mpeeples2008</t>
        </is>
      </c>
      <c r="R118" s="9" t="n"/>
      <c r="S118" s="9" t="n"/>
      <c r="T118" s="9" t="n"/>
      <c r="U118" s="9" t="n"/>
      <c r="V118" s="9" t="n"/>
      <c r="W118" s="9" t="inlineStr">
        <is>
          <t>Scripts</t>
        </is>
      </c>
      <c r="X118" s="9" t="inlineStr">
        <is>
          <t>R</t>
        </is>
      </c>
      <c r="Y118" s="9" t="inlineStr">
        <is>
          <t>Statistical analysis</t>
        </is>
      </c>
      <c r="Z118" s="9" t="n"/>
      <c r="AA118" s="9" t="n"/>
      <c r="AB118" s="9" t="n"/>
      <c r="AC118" s="9" t="n"/>
      <c r="AD118" s="9" t="n"/>
      <c r="AE118" s="10" t="inlineStr">
        <is>
          <t>https://archive.org/details/github.com-mpeeples2008-brainerd-robinson-similarity-coefficient-and-sampling-er</t>
        </is>
      </c>
      <c r="AF118" s="9" t="n"/>
      <c r="AG118" s="9" t="n"/>
    </row>
    <row r="119">
      <c r="A119" s="9" t="inlineStr">
        <is>
          <t>Bridging the Gap ENCODE Database</t>
        </is>
      </c>
      <c r="B119" s="9" t="inlineStr">
        <is>
          <t>Shared definitions of digital competences needed by graduate students in the programmes focusing on written cultural heritage.</t>
        </is>
      </c>
      <c r="C119" s="9" t="n"/>
      <c r="D119" s="9" t="n"/>
      <c r="E119" s="9" t="n"/>
      <c r="F119" s="9" t="n"/>
      <c r="G119" s="9" t="n"/>
      <c r="H119" s="9" t="n"/>
      <c r="I119" s="9" t="n"/>
      <c r="J119" s="9" t="n"/>
      <c r="K119" s="9" t="n"/>
      <c r="L119" s="9" t="n"/>
      <c r="M119" s="9" t="n"/>
      <c r="N119" s="10" t="inlineStr">
        <is>
          <t>https://encode.uni-hamburg.de/index.html</t>
        </is>
      </c>
      <c r="O119" s="9" t="n"/>
      <c r="P119" s="9" t="n"/>
      <c r="Q119" s="9" t="inlineStr">
        <is>
          <t>Bridging the Gap ENCODE Database</t>
        </is>
      </c>
      <c r="R119" s="9" t="n"/>
      <c r="S119" s="9" t="n"/>
      <c r="T119" s="9" t="n"/>
      <c r="U119" s="9" t="n"/>
      <c r="V119" s="9" t="n"/>
      <c r="W119" s="9" t="inlineStr">
        <is>
          <t>Specifications, protocols and schemas</t>
        </is>
      </c>
      <c r="X119" s="9" t="n"/>
      <c r="Y119" s="9" t="inlineStr">
        <is>
          <t>Schemas and ontologies</t>
        </is>
      </c>
      <c r="Z119" s="9" t="inlineStr">
        <is>
          <t>Educational resources and practical guides</t>
        </is>
      </c>
      <c r="AA119" s="9" t="inlineStr">
        <is>
          <t>Ethics and professional development</t>
        </is>
      </c>
      <c r="AB119" s="9" t="n"/>
      <c r="AC119" s="9" t="n"/>
      <c r="AD119" s="9" t="n"/>
      <c r="AE119" s="9" t="n"/>
      <c r="AF119" s="9" t="n"/>
      <c r="AG119" s="9" t="n"/>
    </row>
    <row r="120">
      <c r="A120" s="9" t="inlineStr">
        <is>
          <t>c14</t>
        </is>
      </c>
      <c r="B120" s="9" t="inlineStr">
        <is>
          <t>R package for tidy radiocarbon data.</t>
        </is>
      </c>
      <c r="C120" s="10" t="inlineStr">
        <is>
          <t>https://github.com/joeroe/c14</t>
        </is>
      </c>
      <c r="D120" s="9" t="n"/>
      <c r="E120" s="9" t="n"/>
      <c r="F120" s="9" t="n"/>
      <c r="G120" s="9" t="n"/>
      <c r="H120" s="9" t="n"/>
      <c r="I120" s="9" t="n"/>
      <c r="J120" s="9" t="n"/>
      <c r="K120" s="9" t="n"/>
      <c r="L120" s="9" t="n"/>
      <c r="M120" s="9" t="n"/>
      <c r="N120" s="10" t="inlineStr">
        <is>
          <t>https://c14.joeroe.io</t>
        </is>
      </c>
      <c r="O120" s="9" t="n"/>
      <c r="P120" s="9" t="n"/>
      <c r="Q120" s="9" t="inlineStr">
        <is>
          <t>joeroe</t>
        </is>
      </c>
      <c r="R120" s="9" t="n"/>
      <c r="S120" s="9" t="n"/>
      <c r="T120" s="9" t="n"/>
      <c r="U120" s="9" t="n"/>
      <c r="V120" s="9" t="n"/>
      <c r="W120" s="9" t="inlineStr">
        <is>
          <t>Packages and libraries</t>
        </is>
      </c>
      <c r="X120" s="9" t="inlineStr">
        <is>
          <t>R</t>
        </is>
      </c>
      <c r="Y120" s="9" t="inlineStr">
        <is>
          <t>Radiocarbon dating, calibration and sequencing</t>
        </is>
      </c>
      <c r="Z120" s="9" t="n"/>
      <c r="AA120" s="9" t="n"/>
      <c r="AB120" s="9" t="n"/>
      <c r="AC120" s="9" t="n"/>
      <c r="AD120" s="9" t="n"/>
      <c r="AE120" s="10" t="inlineStr">
        <is>
          <t>https://archive.org/details/github.com-joeroe-c14_-_2021-05-06_14-30-31</t>
        </is>
      </c>
      <c r="AF120" s="9" t="n"/>
      <c r="AG120" s="9" t="n"/>
    </row>
    <row r="121">
      <c r="A121" s="9" t="inlineStr">
        <is>
          <t>c14-date-extractor</t>
        </is>
      </c>
      <c r="B121" s="9" t="inlineStr">
        <is>
          <t>Script for extracting c14 dates from text.</t>
        </is>
      </c>
      <c r="C121" s="10" t="inlineStr">
        <is>
          <t>https://github.com/alexbrandsen/c14-date-extractor</t>
        </is>
      </c>
      <c r="D121" s="9" t="n"/>
      <c r="E121" s="9" t="n"/>
      <c r="F121" s="9" t="n"/>
      <c r="G121" s="9" t="n"/>
      <c r="H121" s="9" t="n"/>
      <c r="I121" s="9" t="n"/>
      <c r="J121" s="9" t="n"/>
      <c r="K121" s="9" t="n"/>
      <c r="L121" s="9" t="n"/>
      <c r="M121" s="9" t="n"/>
      <c r="N121" s="9" t="n"/>
      <c r="O121" s="9" t="n"/>
      <c r="P121" s="9" t="n"/>
      <c r="Q121" s="9" t="inlineStr">
        <is>
          <t>alexbrandsen</t>
        </is>
      </c>
      <c r="R121" s="9" t="n"/>
      <c r="S121" s="9" t="n"/>
      <c r="T121" s="9" t="n"/>
      <c r="U121" s="9" t="n"/>
      <c r="V121" s="9" t="n"/>
      <c r="W121" s="9" t="inlineStr">
        <is>
          <t>Scripts</t>
        </is>
      </c>
      <c r="X121" s="9" t="n"/>
      <c r="Y121" s="9" t="inlineStr">
        <is>
          <t>Bits and bobs</t>
        </is>
      </c>
      <c r="Z121" s="9" t="inlineStr">
        <is>
          <t>Radiocarbon dating, calibration and sequencing</t>
        </is>
      </c>
      <c r="AA121" s="9" t="inlineStr">
        <is>
          <t>Writing</t>
        </is>
      </c>
      <c r="AB121" s="9" t="n"/>
      <c r="AC121" s="9" t="n"/>
      <c r="AD121" s="9" t="n"/>
      <c r="AE121" s="9" t="n"/>
      <c r="AF121" s="9" t="n"/>
      <c r="AG121" s="9" t="n"/>
    </row>
    <row r="122">
      <c r="A122" s="9" t="inlineStr">
        <is>
          <t>c14-laboratory-code</t>
        </is>
      </c>
      <c r="B122" s="9" t="inlineStr">
        <is>
          <t>List of all past and present radiocarbon laboratory codes known to have been used in published references.</t>
        </is>
      </c>
      <c r="C122" s="10" t="inlineStr">
        <is>
          <t>https://github.com/letreiro/c14-laboratory-code</t>
        </is>
      </c>
      <c r="D122" s="9" t="n"/>
      <c r="E122" s="9" t="n"/>
      <c r="F122" s="9" t="n"/>
      <c r="G122" s="9" t="n"/>
      <c r="H122" s="9" t="n"/>
      <c r="I122" s="9" t="n"/>
      <c r="J122" s="9" t="n"/>
      <c r="K122" s="9" t="n"/>
      <c r="L122" s="9" t="n"/>
      <c r="M122" s="9" t="n"/>
      <c r="N122" s="9" t="n"/>
      <c r="O122" s="9" t="n"/>
      <c r="P122" s="9" t="n"/>
      <c r="Q122" s="9" t="inlineStr">
        <is>
          <t>letreiro</t>
        </is>
      </c>
      <c r="R122" s="9" t="n"/>
      <c r="S122" s="9" t="n"/>
      <c r="T122" s="9" t="n"/>
      <c r="U122" s="9" t="n"/>
      <c r="V122" s="9" t="n"/>
      <c r="W122" s="9" t="inlineStr">
        <is>
          <t>Lists and datasets</t>
        </is>
      </c>
      <c r="X122" s="9" t="n"/>
      <c r="Y122" s="9" t="inlineStr">
        <is>
          <t>Datasets</t>
        </is>
      </c>
      <c r="Z122" s="9" t="inlineStr">
        <is>
          <t>Radiocarbon dating, calibration and sequencing</t>
        </is>
      </c>
      <c r="AA122" s="9" t="n"/>
      <c r="AB122" s="9" t="n"/>
      <c r="AC122" s="9" t="n"/>
      <c r="AD122" s="9" t="n"/>
      <c r="AE122" s="10" t="inlineStr">
        <is>
          <t>https://archive.org/details/github.com-letreiro-c14-laboratory-code_-_2021-04-15_03-11-35</t>
        </is>
      </c>
      <c r="AF122" s="9" t="n"/>
      <c r="AG122" s="9" t="n"/>
    </row>
    <row r="123">
      <c r="A123" s="9" t="inlineStr">
        <is>
          <t>c14bazAAR</t>
        </is>
      </c>
      <c r="B123" s="9" t="inlineStr">
        <is>
          <t>R package to query different openly accessible radiocarbon date databases, allowing for basic data cleaning, calibration and merging</t>
        </is>
      </c>
      <c r="C123" s="10" t="inlineStr">
        <is>
          <t>https://github.com/ropensci/c14bazAAR</t>
        </is>
      </c>
      <c r="D123" s="9" t="n"/>
      <c r="E123" s="9" t="n"/>
      <c r="F123" s="9" t="n"/>
      <c r="G123" s="9" t="n"/>
      <c r="H123" s="9" t="n"/>
      <c r="I123" s="9" t="n"/>
      <c r="J123" s="9" t="n"/>
      <c r="K123" s="9" t="n"/>
      <c r="L123" s="9" t="n"/>
      <c r="M123" s="9" t="n"/>
      <c r="N123" s="9" t="n"/>
      <c r="O123" s="10" t="inlineStr">
        <is>
          <t>https://doi.org/10.21105/joss.01914</t>
        </is>
      </c>
      <c r="P123" s="9" t="n"/>
      <c r="Q123" s="9" t="inlineStr">
        <is>
          <t>ISAAKiel</t>
        </is>
      </c>
      <c r="R123" s="9" t="n"/>
      <c r="S123" s="9" t="n"/>
      <c r="T123" s="9" t="n"/>
      <c r="U123" s="9" t="n"/>
      <c r="V123" s="9" t="n"/>
      <c r="W123" s="9" t="inlineStr">
        <is>
          <t>Packages and libraries</t>
        </is>
      </c>
      <c r="X123" s="9" t="inlineStr">
        <is>
          <t>R</t>
        </is>
      </c>
      <c r="Y123" s="9" t="inlineStr">
        <is>
          <t>API interfaces and web scrapers</t>
        </is>
      </c>
      <c r="Z123" s="9" t="inlineStr">
        <is>
          <t>Radiocarbon dating, calibration and sequencing</t>
        </is>
      </c>
      <c r="AA123" s="9" t="n"/>
      <c r="AB123" s="9" t="n"/>
      <c r="AC123" s="9" t="n"/>
      <c r="AD123" s="9" t="n"/>
      <c r="AE123" s="10" t="inlineStr">
        <is>
          <t>https://archive.org/details/github.com-ropensci-c14bazAAR_-_2021-01-28_19-41-36</t>
        </is>
      </c>
      <c r="AF123" s="9" t="n"/>
      <c r="AG123" s="9" t="n"/>
    </row>
    <row r="124">
      <c r="A124" s="9" t="inlineStr">
        <is>
          <t>c14Intervals</t>
        </is>
      </c>
      <c r="B124" s="9" t="inlineStr">
        <is>
          <t>R package for calculating probability intervals and point estimates for calibrated radiocarbon dates.</t>
        </is>
      </c>
      <c r="C124" s="10" t="inlineStr">
        <is>
          <t>https://github.com/jallison7/c14Intervals</t>
        </is>
      </c>
      <c r="D124" s="9" t="n"/>
      <c r="E124" s="9" t="n"/>
      <c r="F124" s="9" t="n"/>
      <c r="G124" s="9" t="n"/>
      <c r="H124" s="9" t="n"/>
      <c r="I124" s="9" t="n"/>
      <c r="J124" s="9" t="n"/>
      <c r="K124" s="9" t="n"/>
      <c r="L124" s="9" t="n"/>
      <c r="M124" s="9" t="n"/>
      <c r="N124" s="9" t="n"/>
      <c r="O124" s="9" t="n"/>
      <c r="P124" s="9" t="n"/>
      <c r="Q124" s="9" t="inlineStr">
        <is>
          <t>jallison7</t>
        </is>
      </c>
      <c r="R124" s="9" t="n"/>
      <c r="S124" s="9" t="n"/>
      <c r="T124" s="9" t="n"/>
      <c r="U124" s="9" t="n"/>
      <c r="V124" s="9" t="n"/>
      <c r="W124" s="9" t="inlineStr">
        <is>
          <t>Packages and libraries</t>
        </is>
      </c>
      <c r="X124" s="9" t="inlineStr">
        <is>
          <t>R</t>
        </is>
      </c>
      <c r="Y124" s="9" t="inlineStr">
        <is>
          <t>Radiocarbon dating, calibration and sequencing</t>
        </is>
      </c>
      <c r="Z124" s="9" t="n"/>
      <c r="AA124" s="9" t="n"/>
      <c r="AB124" s="9" t="n"/>
      <c r="AC124" s="9" t="n"/>
      <c r="AD124" s="9" t="n"/>
      <c r="AE124" s="9" t="n"/>
      <c r="AF124" s="9" t="n"/>
      <c r="AG124" s="9" t="n"/>
    </row>
    <row r="125">
      <c r="A125" s="9" t="inlineStr">
        <is>
          <t>ca</t>
        </is>
      </c>
      <c r="B125" s="9" t="inlineStr">
        <is>
          <t>R Script for Seriation Using Correspondence Analysis.</t>
        </is>
      </c>
      <c r="C125" s="9" t="n"/>
      <c r="D125" s="9" t="n"/>
      <c r="E125" s="9" t="n"/>
      <c r="F125" s="9" t="n"/>
      <c r="G125" s="9" t="n"/>
      <c r="H125" s="9" t="n"/>
      <c r="I125" s="9" t="n"/>
      <c r="J125" s="9" t="n"/>
      <c r="K125" s="9" t="n"/>
      <c r="L125" s="9" t="n"/>
      <c r="M125" s="9" t="n"/>
      <c r="N125" s="10" t="inlineStr">
        <is>
          <t>http://www.mattpeeples.net/ca.html</t>
        </is>
      </c>
      <c r="O125" s="9" t="n"/>
      <c r="P125" s="9" t="n"/>
      <c r="Q125" s="9" t="inlineStr">
        <is>
          <t>mpeeples2008</t>
        </is>
      </c>
      <c r="R125" s="9" t="n"/>
      <c r="S125" s="9" t="n"/>
      <c r="T125" s="9" t="n"/>
      <c r="U125" s="9" t="n"/>
      <c r="V125" s="9" t="n"/>
      <c r="W125" s="9" t="inlineStr">
        <is>
          <t>Scripts</t>
        </is>
      </c>
      <c r="X125" s="9" t="inlineStr">
        <is>
          <t>R</t>
        </is>
      </c>
      <c r="Y125" s="9" t="inlineStr">
        <is>
          <t>Statistical analysis</t>
        </is>
      </c>
      <c r="Z125" s="9" t="inlineStr">
        <is>
          <t>Seriation</t>
        </is>
      </c>
      <c r="AA125" s="9" t="n"/>
      <c r="AB125" s="9" t="n"/>
      <c r="AC125" s="9" t="n"/>
      <c r="AD125" s="9" t="n"/>
      <c r="AE125" s="9" t="n"/>
      <c r="AF125" s="9" t="n"/>
      <c r="AG125" s="9" t="n"/>
    </row>
    <row r="126">
      <c r="A126" s="9" t="inlineStr">
        <is>
          <t>caa</t>
        </is>
      </c>
      <c r="B126" s="9" t="inlineStr">
        <is>
          <t>Statistical methods for archaeological data analysis, course website repository.</t>
        </is>
      </c>
      <c r="C126" s="10" t="inlineStr">
        <is>
          <t>https://github.com/BernCoDALab/caa</t>
        </is>
      </c>
      <c r="D126" s="9" t="n"/>
      <c r="E126" s="9" t="n"/>
      <c r="F126" s="9" t="n"/>
      <c r="G126" s="9" t="n"/>
      <c r="H126" s="9" t="n"/>
      <c r="I126" s="9" t="n"/>
      <c r="J126" s="9" t="n"/>
      <c r="K126" s="9" t="n"/>
      <c r="L126" s="9" t="n"/>
      <c r="M126" s="9" t="n"/>
      <c r="N126" s="9" t="n"/>
      <c r="O126" s="9" t="n"/>
      <c r="P126" s="9" t="n"/>
      <c r="Q126" s="9" t="inlineStr">
        <is>
          <t>BernCoDALab</t>
        </is>
      </c>
      <c r="R126" s="9" t="n"/>
      <c r="S126" s="9" t="n"/>
      <c r="T126" s="9" t="n"/>
      <c r="U126" s="9" t="n"/>
      <c r="V126" s="9" t="n"/>
      <c r="W126" s="9" t="inlineStr">
        <is>
          <t>Guides</t>
        </is>
      </c>
      <c r="X126" s="9" t="n"/>
      <c r="Y126" s="9" t="inlineStr">
        <is>
          <t>Educational resources and practical guides</t>
        </is>
      </c>
      <c r="Z126" s="9" t="n"/>
      <c r="AA126" s="9" t="n"/>
      <c r="AB126" s="9" t="n"/>
      <c r="AC126" s="9" t="n"/>
      <c r="AD126" s="9" t="n"/>
      <c r="AE126" s="10" t="inlineStr">
        <is>
          <t>https://archive.org/details/github.com-BernCoDALab-caa_-_2021-06-23_13-44-53</t>
        </is>
      </c>
      <c r="AF126" s="9" t="n"/>
      <c r="AG126" s="9" t="n"/>
    </row>
    <row r="127">
      <c r="A127" s="9" t="inlineStr">
        <is>
          <t>caa2019_halfway_house</t>
        </is>
      </c>
      <c r="B127" s="9" t="inlineStr">
        <is>
          <t>This poster presents an approach that helps archaeological projects maintain an authoritative database, while retaining the flexibility and accessibility needed for ongoing research with multiple collaborators, by implementing a server-client architecture to maintain a single, consistent research database.</t>
        </is>
      </c>
      <c r="C127" s="10" t="inlineStr">
        <is>
          <t>https://github.com/joeroe/caa2019_halfway_house</t>
        </is>
      </c>
      <c r="D127" s="9" t="n"/>
      <c r="E127" s="9" t="n"/>
      <c r="F127" s="9" t="n"/>
      <c r="G127" s="9" t="n"/>
      <c r="H127" s="9" t="n"/>
      <c r="I127" s="9" t="n"/>
      <c r="J127" s="9" t="n"/>
      <c r="K127" s="9" t="n"/>
      <c r="L127" s="9" t="n"/>
      <c r="M127" s="9" t="n"/>
      <c r="N127" s="9" t="n"/>
      <c r="O127" s="9" t="n"/>
      <c r="P127" s="9" t="n"/>
      <c r="Q127" s="9" t="inlineStr">
        <is>
          <t>joeroe</t>
        </is>
      </c>
      <c r="R127" s="9" t="n"/>
      <c r="S127" s="9" t="n"/>
      <c r="T127" s="9" t="n"/>
      <c r="U127" s="9" t="n"/>
      <c r="V127" s="9" t="n"/>
      <c r="W127" s="9" t="inlineStr">
        <is>
          <t>Guides</t>
        </is>
      </c>
      <c r="X127" s="9" t="n"/>
      <c r="Y127" s="9" t="inlineStr">
        <is>
          <t>Data management</t>
        </is>
      </c>
      <c r="Z127" s="9" t="n"/>
      <c r="AA127" s="9" t="n"/>
      <c r="AB127" s="9" t="n"/>
      <c r="AC127" s="9" t="n"/>
      <c r="AD127" s="9" t="n"/>
      <c r="AE127" s="10" t="inlineStr">
        <is>
          <t>https://archive.org/details/github.com-joeroe-caa2019_halfway_house_-_2019-04-23_10-08-49</t>
        </is>
      </c>
      <c r="AF127" s="9" t="n"/>
      <c r="AG127" s="9" t="n"/>
    </row>
    <row r="128">
      <c r="A128" s="9" t="inlineStr">
        <is>
          <t>caddonet</t>
        </is>
      </c>
      <c r="B128" s="9" t="inlineStr">
        <is>
          <t>Peer reviewed and indexed articles published on Caddo archaeology since 2000.</t>
        </is>
      </c>
      <c r="C128" s="10" t="inlineStr">
        <is>
          <t>https://github.com/aksel-blaise/caddonet</t>
        </is>
      </c>
      <c r="D128" s="9" t="n"/>
      <c r="E128" s="9" t="n"/>
      <c r="F128" s="9" t="n"/>
      <c r="G128" s="9" t="n"/>
      <c r="H128" s="9" t="n"/>
      <c r="I128" s="9" t="n"/>
      <c r="J128" s="9" t="n"/>
      <c r="K128" s="9" t="n"/>
      <c r="L128" s="9" t="n"/>
      <c r="M128" s="9" t="n"/>
      <c r="N128" s="10" t="inlineStr">
        <is>
          <t>https://aksel-blaise.github.io/caddonet/</t>
        </is>
      </c>
      <c r="O128" s="9" t="n"/>
      <c r="P128" s="9" t="n"/>
      <c r="Q128" s="9" t="inlineStr">
        <is>
          <t>aksel-blaise</t>
        </is>
      </c>
      <c r="R128" s="9" t="n"/>
      <c r="S128" s="9" t="n"/>
      <c r="T128" s="9" t="n"/>
      <c r="U128" s="9" t="n"/>
      <c r="V128" s="9" t="n"/>
      <c r="W128" s="9" t="inlineStr">
        <is>
          <t>Standalone software</t>
        </is>
      </c>
      <c r="X128" s="9" t="n"/>
      <c r="Y128" s="9" t="inlineStr">
        <is>
          <t>Datasets</t>
        </is>
      </c>
      <c r="Z128" s="9" t="inlineStr">
        <is>
          <t>Bibliography</t>
        </is>
      </c>
      <c r="AA128" s="9" t="n"/>
      <c r="AB128" s="9" t="n"/>
      <c r="AC128" s="9" t="n"/>
      <c r="AD128" s="9" t="n"/>
      <c r="AE128" s="10" t="inlineStr">
        <is>
          <t>https://archive.org/details/github.com-aksel-blaise-caddonet_-_2020-04-03_11-10-46</t>
        </is>
      </c>
      <c r="AF128" s="9" t="n"/>
      <c r="AG128" s="9" t="n"/>
    </row>
    <row r="129">
      <c r="A129" s="9" t="inlineStr">
        <is>
          <t>CAinterprTools</t>
        </is>
      </c>
      <c r="B129" s="9" t="inlineStr">
        <is>
          <t>R package to help interpreting Correspondence Analysis' results.</t>
        </is>
      </c>
      <c r="C129" s="10" t="inlineStr">
        <is>
          <t>https://github.com/gianmarcoalberti/CAinterprTools</t>
        </is>
      </c>
      <c r="D129" s="9" t="n"/>
      <c r="E129" s="9" t="n"/>
      <c r="F129" s="9" t="n"/>
      <c r="G129" s="9" t="n"/>
      <c r="H129" s="9" t="n"/>
      <c r="I129" s="9" t="n"/>
      <c r="J129" s="9" t="n"/>
      <c r="K129" s="9" t="n"/>
      <c r="L129" s="9" t="n"/>
      <c r="M129" s="9" t="n"/>
      <c r="N129" s="9" t="n"/>
      <c r="O129" s="9" t="n"/>
      <c r="P129" s="9" t="n"/>
      <c r="Q129" s="9" t="inlineStr">
        <is>
          <t>gianmarcoalberti</t>
        </is>
      </c>
      <c r="R129" s="9" t="n"/>
      <c r="S129" s="9" t="n"/>
      <c r="T129" s="9" t="n"/>
      <c r="U129" s="9" t="n"/>
      <c r="V129" s="9" t="n"/>
      <c r="W129" s="9" t="inlineStr">
        <is>
          <t>Packages and libraries</t>
        </is>
      </c>
      <c r="X129" s="9" t="inlineStr">
        <is>
          <t>R</t>
        </is>
      </c>
      <c r="Y129" s="9" t="inlineStr">
        <is>
          <t>Statistical analysis</t>
        </is>
      </c>
      <c r="Z129" s="9" t="n"/>
      <c r="AA129" s="9" t="n"/>
      <c r="AB129" s="9" t="n"/>
      <c r="AC129" s="9" t="n"/>
      <c r="AD129" s="9" t="n"/>
      <c r="AE129" s="10" t="inlineStr">
        <is>
          <t>https://archive.org/details/github.com-gianmarcoalberti-CAinterprTools_-_2018-05-30_15-29-32</t>
        </is>
      </c>
      <c r="AF129" s="9" t="n"/>
      <c r="AG129" s="9" t="n"/>
    </row>
    <row r="130">
      <c r="A130" s="9" t="inlineStr">
        <is>
          <t>calibrator</t>
        </is>
      </c>
      <c r="B130" s="9" t="inlineStr">
        <is>
          <t>Small command line tool for 14C calibration.</t>
        </is>
      </c>
      <c r="C130" s="10" t="inlineStr">
        <is>
          <t>https://github.com/ISAAKiel/calibrator</t>
        </is>
      </c>
      <c r="D130" s="9" t="n"/>
      <c r="E130" s="9" t="n"/>
      <c r="F130" s="9" t="n"/>
      <c r="G130" s="9" t="n"/>
      <c r="H130" s="9" t="n"/>
      <c r="I130" s="9" t="n"/>
      <c r="J130" s="9" t="n"/>
      <c r="K130" s="9" t="n"/>
      <c r="L130" s="9" t="n"/>
      <c r="M130" s="9" t="n"/>
      <c r="N130" s="10" t="inlineStr">
        <is>
          <t>https://isaakiel.github.io/calibrator/</t>
        </is>
      </c>
      <c r="O130" s="9" t="n"/>
      <c r="P130" s="9" t="n"/>
      <c r="Q130" s="9" t="inlineStr">
        <is>
          <t>ISAAKiel</t>
        </is>
      </c>
      <c r="R130" s="9" t="n"/>
      <c r="S130" s="9" t="n"/>
      <c r="T130" s="9" t="n"/>
      <c r="U130" s="9" t="n"/>
      <c r="V130" s="9" t="n"/>
      <c r="W130" s="9" t="inlineStr">
        <is>
          <t>Standalone software</t>
        </is>
      </c>
      <c r="X130" s="9" t="n"/>
      <c r="Y130" s="9" t="inlineStr">
        <is>
          <t>Radiocarbon dating, calibration and sequencing</t>
        </is>
      </c>
      <c r="Z130" s="9" t="n"/>
      <c r="AA130" s="9" t="n"/>
      <c r="AB130" s="9" t="n"/>
      <c r="AC130" s="9" t="n"/>
      <c r="AD130" s="9" t="n"/>
      <c r="AE130" s="10" t="inlineStr">
        <is>
          <t>https://archive.org/details/github.com-ISAAKiel-calibrator_-_2020-07-08_15-16-12</t>
        </is>
      </c>
      <c r="AF130" s="9" t="n"/>
      <c r="AG130" s="9" t="n"/>
    </row>
    <row r="131">
      <c r="A131" s="9" t="inlineStr">
        <is>
          <t>CalPal-Database</t>
        </is>
      </c>
      <c r="B131" s="9" t="inlineStr">
        <is>
          <t>CalPal 14C-Database created by Bernhard Weninger (Universität zu Köln) as part of the CalPal software package. This repository serves as an interface to access the data more easily.</t>
        </is>
      </c>
      <c r="C131" s="10" t="inlineStr">
        <is>
          <t>https://github.com/nevrome/CalPal-Database</t>
        </is>
      </c>
      <c r="D131" s="9" t="n"/>
      <c r="E131" s="9" t="n"/>
      <c r="F131" s="9" t="n"/>
      <c r="G131" s="9" t="n"/>
      <c r="H131" s="9" t="n"/>
      <c r="I131" s="9" t="n"/>
      <c r="J131" s="9" t="n"/>
      <c r="K131" s="9" t="n"/>
      <c r="L131" s="9" t="n"/>
      <c r="M131" s="9" t="n"/>
      <c r="N131" s="9" t="n"/>
      <c r="O131" s="9" t="n"/>
      <c r="P131" s="9" t="n"/>
      <c r="Q131" s="9" t="inlineStr">
        <is>
          <t>nevrome</t>
        </is>
      </c>
      <c r="R131" s="9" t="n"/>
      <c r="S131" s="9" t="n"/>
      <c r="T131" s="9" t="n"/>
      <c r="U131" s="9" t="n"/>
      <c r="V131" s="9" t="n"/>
      <c r="W131" s="9" t="inlineStr">
        <is>
          <t>Lists and datasets</t>
        </is>
      </c>
      <c r="X131" s="9" t="n"/>
      <c r="Y131" s="9" t="inlineStr">
        <is>
          <t>Datasets</t>
        </is>
      </c>
      <c r="Z131" s="9" t="inlineStr">
        <is>
          <t>Radiocarbon dating, calibration and sequencing</t>
        </is>
      </c>
      <c r="AA131" s="9" t="n"/>
      <c r="AB131" s="9" t="n"/>
      <c r="AC131" s="9" t="n"/>
      <c r="AD131" s="9" t="n"/>
      <c r="AE131" s="10" t="inlineStr">
        <is>
          <t>https://archive.org/details/github.com-nevrome-CalPal-Database_-_2020-08-30_12-27-59</t>
        </is>
      </c>
      <c r="AF131" s="9" t="n"/>
      <c r="AG131" s="9" t="n"/>
    </row>
    <row r="132">
      <c r="A132" s="9" t="inlineStr">
        <is>
          <t>carbon14</t>
        </is>
      </c>
      <c r="B132" s="9" t="inlineStr">
        <is>
          <t>The goal of carbon14 is to provide a tidy interface to radiocarbon dating, to promote its inclusion in reproducible manuscripts</t>
        </is>
      </c>
      <c r="C132" s="10" t="inlineStr">
        <is>
          <t>https://github.com/paleolimbot/carbon14</t>
        </is>
      </c>
      <c r="D132" s="9" t="n"/>
      <c r="E132" s="9" t="n"/>
      <c r="F132" s="9" t="n"/>
      <c r="G132" s="9" t="n"/>
      <c r="H132" s="9" t="n"/>
      <c r="I132" s="9" t="n"/>
      <c r="J132" s="9" t="n"/>
      <c r="K132" s="9" t="n"/>
      <c r="L132" s="9" t="n"/>
      <c r="M132" s="9" t="n"/>
      <c r="N132" s="9" t="n"/>
      <c r="O132" s="9" t="n"/>
      <c r="P132" s="9" t="n"/>
      <c r="Q132" s="9" t="inlineStr">
        <is>
          <t>paleolimbot</t>
        </is>
      </c>
      <c r="R132" s="9" t="n"/>
      <c r="S132" s="9" t="n"/>
      <c r="T132" s="9" t="n"/>
      <c r="U132" s="9" t="n"/>
      <c r="V132" s="9" t="n"/>
      <c r="W132" s="9" t="inlineStr">
        <is>
          <t>Packages and libraries</t>
        </is>
      </c>
      <c r="X132" s="9" t="inlineStr">
        <is>
          <t>R</t>
        </is>
      </c>
      <c r="Y132" s="9" t="inlineStr">
        <is>
          <t>Radiocarbon dating, calibration and sequencing</t>
        </is>
      </c>
      <c r="Z132" s="9" t="n"/>
      <c r="AA132" s="9" t="n"/>
      <c r="AB132" s="9" t="n"/>
      <c r="AC132" s="9" t="n"/>
      <c r="AD132" s="9" t="n"/>
      <c r="AE132" s="10" t="inlineStr">
        <is>
          <t>https://archive.org/details/github.com-paleolimbot-carbon14_-_2018-03-14_14-20-15</t>
        </is>
      </c>
      <c r="AF132" s="9" t="n"/>
      <c r="AG132" s="9" t="n"/>
    </row>
    <row r="133">
      <c r="A133" s="9" t="inlineStr">
        <is>
          <t>carbondate</t>
        </is>
      </c>
      <c r="B133" s="9" t="inlineStr">
        <is>
          <t>R package to analyse multiple radiocarbon determinations.</t>
        </is>
      </c>
      <c r="C133" s="10" t="inlineStr">
        <is>
          <t>https://github.com/TJHeaton/carbondate</t>
        </is>
      </c>
      <c r="D133" s="9" t="n"/>
      <c r="E133" s="9" t="n"/>
      <c r="F133" s="9" t="n"/>
      <c r="G133" s="9" t="n"/>
      <c r="H133" s="9" t="n"/>
      <c r="I133" s="9" t="n"/>
      <c r="J133" s="9" t="n"/>
      <c r="K133" s="10" t="inlineStr">
        <is>
          <t>https://cran.r-project.org/package=carbondate</t>
        </is>
      </c>
      <c r="L133" s="9" t="n"/>
      <c r="M133" s="9" t="n"/>
      <c r="N133" s="10" t="inlineStr">
        <is>
          <t>https://tjheaton.github.io/carbondate/</t>
        </is>
      </c>
      <c r="O133" s="10" t="inlineStr">
        <is>
          <t>https://doi.org/10.1111/rssc.12599</t>
        </is>
      </c>
      <c r="P133" s="9" t="n"/>
      <c r="Q133" s="9" t="inlineStr">
        <is>
          <t>TJHeaton</t>
        </is>
      </c>
      <c r="R133" s="9" t="inlineStr">
        <is>
          <t>sara-amira-alassam</t>
        </is>
      </c>
      <c r="S133" s="9" t="n"/>
      <c r="T133" s="9" t="n"/>
      <c r="U133" s="9" t="n"/>
      <c r="V133" s="9" t="n"/>
      <c r="W133" s="9" t="inlineStr">
        <is>
          <t>Packages and libraries</t>
        </is>
      </c>
      <c r="X133" s="9" t="inlineStr">
        <is>
          <t>R</t>
        </is>
      </c>
      <c r="Y133" s="9" t="inlineStr">
        <is>
          <t>Radiocarbon dating, calibration and sequencing</t>
        </is>
      </c>
      <c r="Z133" s="9" t="n"/>
      <c r="AA133" s="9" t="n"/>
      <c r="AB133" s="9" t="n"/>
      <c r="AC133" s="9" t="n"/>
      <c r="AD133" s="9" t="n"/>
      <c r="AE133" s="9" t="n"/>
      <c r="AF133" s="9" t="n"/>
      <c r="AG133" s="9" t="n"/>
    </row>
    <row r="134">
      <c r="A134" s="9" t="inlineStr">
        <is>
          <t>caribbean-14C</t>
        </is>
      </c>
      <c r="B134" s="9" t="inlineStr">
        <is>
          <t>A compilation of anthropogenic radiocarbon dates for the Caribbean region.</t>
        </is>
      </c>
      <c r="C134" s="10" t="inlineStr">
        <is>
          <t>https://github.com/philriris/caribbean-14C</t>
        </is>
      </c>
      <c r="D134" s="9" t="n"/>
      <c r="E134" s="9" t="n"/>
      <c r="F134" s="9" t="n"/>
      <c r="G134" s="9" t="n"/>
      <c r="H134" s="9" t="n"/>
      <c r="I134" s="9" t="n"/>
      <c r="J134" s="9" t="n"/>
      <c r="K134" s="9" t="n"/>
      <c r="L134" s="9" t="n"/>
      <c r="M134" s="9" t="n"/>
      <c r="N134" s="9" t="n"/>
      <c r="O134" s="9" t="n"/>
      <c r="P134" s="9" t="n"/>
      <c r="Q134" s="9" t="inlineStr">
        <is>
          <t>philriris</t>
        </is>
      </c>
      <c r="R134" s="9" t="n"/>
      <c r="S134" s="9" t="n"/>
      <c r="T134" s="9" t="n"/>
      <c r="U134" s="9" t="n"/>
      <c r="V134" s="9" t="n"/>
      <c r="W134" s="9" t="inlineStr">
        <is>
          <t>Lists and datasets</t>
        </is>
      </c>
      <c r="X134" s="9" t="n"/>
      <c r="Y134" s="9" t="inlineStr">
        <is>
          <t>Datasets</t>
        </is>
      </c>
      <c r="Z134" s="9" t="inlineStr">
        <is>
          <t>Radiocarbon dating, calibration and sequencing</t>
        </is>
      </c>
      <c r="AA134" s="9" t="n"/>
      <c r="AB134" s="9" t="n"/>
      <c r="AC134" s="9" t="n"/>
      <c r="AD134" s="9" t="n"/>
      <c r="AE134" s="10" t="inlineStr">
        <is>
          <t>https://archive.org/details/github.com-philriris-caribbean-14C_-_2021-06-21_10-55-36</t>
        </is>
      </c>
      <c r="AF134" s="9" t="n"/>
      <c r="AG134" s="9" t="n"/>
    </row>
    <row r="135">
      <c r="A135" s="9" t="inlineStr">
        <is>
          <t>CAseriation</t>
        </is>
      </c>
      <c r="B135" s="9" t="inlineStr">
        <is>
          <t>R Package for contingency tables seriation via Correspondence Analysis.</t>
        </is>
      </c>
      <c r="C135" s="10" t="inlineStr">
        <is>
          <t>https://github.com/gianmarcoalberti/CAseriation</t>
        </is>
      </c>
      <c r="D135" s="9" t="n"/>
      <c r="E135" s="9" t="n"/>
      <c r="F135" s="9" t="n"/>
      <c r="G135" s="9" t="n"/>
      <c r="H135" s="9" t="n"/>
      <c r="I135" s="9" t="n"/>
      <c r="J135" s="9" t="n"/>
      <c r="K135" s="9" t="n"/>
      <c r="L135" s="9" t="n"/>
      <c r="M135" s="9" t="n"/>
      <c r="N135" s="9" t="n"/>
      <c r="O135" s="9" t="n"/>
      <c r="P135" s="9" t="n"/>
      <c r="Q135" s="9" t="inlineStr">
        <is>
          <t>gianmarcoalberti</t>
        </is>
      </c>
      <c r="R135" s="9" t="n"/>
      <c r="S135" s="9" t="n"/>
      <c r="T135" s="9" t="n"/>
      <c r="U135" s="9" t="n"/>
      <c r="V135" s="9" t="n"/>
      <c r="W135" s="9" t="inlineStr">
        <is>
          <t>Packages and libraries</t>
        </is>
      </c>
      <c r="X135" s="9" t="inlineStr">
        <is>
          <t>R</t>
        </is>
      </c>
      <c r="Y135" s="9" t="inlineStr">
        <is>
          <t>Statistical analysis</t>
        </is>
      </c>
      <c r="Z135" s="9" t="inlineStr">
        <is>
          <t>Seriation</t>
        </is>
      </c>
      <c r="AA135" s="9" t="n"/>
      <c r="AB135" s="9" t="n"/>
      <c r="AC135" s="9" t="n"/>
      <c r="AD135" s="9" t="n"/>
      <c r="AE135" s="10" t="inlineStr">
        <is>
          <t>https://archive.org/details/github.com-gianmarcoalberti-CAseriation_-_2018-06-10_15-14-41</t>
        </is>
      </c>
      <c r="AF135" s="9" t="n"/>
      <c r="AG135" s="9" t="n"/>
    </row>
    <row r="136">
      <c r="A136" s="9" t="inlineStr">
        <is>
          <t>cawd</t>
        </is>
      </c>
      <c r="B136" s="9" t="inlineStr">
        <is>
          <t>An R package that collects together data for the ancient world</t>
        </is>
      </c>
      <c r="C136" s="10" t="inlineStr">
        <is>
          <t>https://github.com/sfsheath/cawd</t>
        </is>
      </c>
      <c r="D136" s="9" t="n"/>
      <c r="E136" s="9" t="n"/>
      <c r="F136" s="9" t="n"/>
      <c r="G136" s="9" t="n"/>
      <c r="H136" s="9" t="n"/>
      <c r="I136" s="9" t="n"/>
      <c r="J136" s="9" t="n"/>
      <c r="K136" s="9" t="n"/>
      <c r="L136" s="9" t="n"/>
      <c r="M136" s="9" t="n"/>
      <c r="N136" s="9" t="n"/>
      <c r="O136" s="9" t="n"/>
      <c r="P136" s="9" t="n"/>
      <c r="Q136" s="9" t="inlineStr">
        <is>
          <t>sfsheath</t>
        </is>
      </c>
      <c r="R136" s="9" t="n"/>
      <c r="S136" s="9" t="n"/>
      <c r="T136" s="9" t="n"/>
      <c r="U136" s="9" t="n"/>
      <c r="V136" s="9" t="n"/>
      <c r="W136" s="9" t="inlineStr">
        <is>
          <t>Packages and libraries</t>
        </is>
      </c>
      <c r="X136" s="9" t="inlineStr">
        <is>
          <t>R</t>
        </is>
      </c>
      <c r="Y136" s="9" t="inlineStr">
        <is>
          <t>API interfaces and web scrapers</t>
        </is>
      </c>
      <c r="Z136" s="9" t="n"/>
      <c r="AA136" s="9" t="n"/>
      <c r="AB136" s="9" t="n"/>
      <c r="AC136" s="9" t="n"/>
      <c r="AD136" s="9" t="n"/>
      <c r="AE136" s="10" t="inlineStr">
        <is>
          <t>https://archive.org/details/github.com-sfsheath-cawd_-_2017-12-21_20-32-33</t>
        </is>
      </c>
      <c r="AF136" s="9" t="n"/>
      <c r="AG136" s="9" t="n"/>
    </row>
    <row r="137">
      <c r="A137" s="9" t="inlineStr">
        <is>
          <t>cca</t>
        </is>
      </c>
      <c r="B137" s="9" t="inlineStr">
        <is>
          <t>Colossal Cave Adventure digital palaeography and epigraphy project.</t>
        </is>
      </c>
      <c r="C137" s="10" t="inlineStr">
        <is>
          <t>https://github.com/adreinhard/cca</t>
        </is>
      </c>
      <c r="D137" s="9" t="n"/>
      <c r="E137" s="9" t="n"/>
      <c r="F137" s="9" t="n"/>
      <c r="G137" s="9" t="n"/>
      <c r="H137" s="9" t="n"/>
      <c r="I137" s="9" t="n"/>
      <c r="J137" s="9" t="n"/>
      <c r="K137" s="9" t="n"/>
      <c r="L137" s="9" t="n"/>
      <c r="M137" s="9" t="n"/>
      <c r="N137" s="9" t="n"/>
      <c r="O137" s="9" t="n"/>
      <c r="P137" s="9" t="n"/>
      <c r="Q137" s="9" t="inlineStr">
        <is>
          <t>adreinhard</t>
        </is>
      </c>
      <c r="R137" s="9" t="n"/>
      <c r="S137" s="9" t="n"/>
      <c r="T137" s="9" t="n"/>
      <c r="U137" s="9" t="n"/>
      <c r="V137" s="9" t="n"/>
      <c r="W137" s="9" t="inlineStr">
        <is>
          <t>Products</t>
        </is>
      </c>
      <c r="X137" s="9" t="n"/>
      <c r="Y137" s="9" t="inlineStr">
        <is>
          <t>Games</t>
        </is>
      </c>
      <c r="Z137" s="9" t="n"/>
      <c r="AA137" s="9" t="n"/>
      <c r="AB137" s="9" t="n"/>
      <c r="AC137" s="9" t="n"/>
      <c r="AD137" s="9" t="n"/>
      <c r="AE137" s="10" t="inlineStr">
        <is>
          <t>https://archive.org/details/github.com-adreinhard-cca_-_2019-01-09_15-37-54</t>
        </is>
      </c>
      <c r="AF137" s="9" t="n"/>
      <c r="AG137" s="9" t="n"/>
    </row>
    <row r="138">
      <c r="A138" s="9" t="inlineStr">
        <is>
          <t>CeraMatch</t>
        </is>
      </c>
      <c r="B138" s="9" t="inlineStr">
        <is>
          <t>Visual shape-matching of ceramics profiles.</t>
        </is>
      </c>
      <c r="C138" s="10" t="inlineStr">
        <is>
          <t>https://github.com/demjanp/CeraMatch</t>
        </is>
      </c>
      <c r="D138" s="9" t="n"/>
      <c r="E138" s="9" t="n"/>
      <c r="F138" s="9" t="n"/>
      <c r="G138" s="9" t="n"/>
      <c r="H138" s="9" t="n"/>
      <c r="I138" s="9" t="n"/>
      <c r="J138" s="9" t="n"/>
      <c r="K138" s="9" t="n"/>
      <c r="L138" s="9" t="n"/>
      <c r="M138" s="9" t="n"/>
      <c r="N138" s="9" t="n"/>
      <c r="O138" s="9" t="n"/>
      <c r="P138" s="9" t="n"/>
      <c r="Q138" s="9" t="inlineStr">
        <is>
          <t>demjanp</t>
        </is>
      </c>
      <c r="R138" s="9" t="n"/>
      <c r="S138" s="9" t="n"/>
      <c r="T138" s="9" t="n"/>
      <c r="U138" s="9" t="n"/>
      <c r="V138" s="9" t="n"/>
      <c r="W138" s="9" t="inlineStr">
        <is>
          <t>Packages and libraries</t>
        </is>
      </c>
      <c r="X138" s="9" t="inlineStr">
        <is>
          <t>Python</t>
        </is>
      </c>
      <c r="Y138" s="9" t="inlineStr">
        <is>
          <t>Shape recognition</t>
        </is>
      </c>
      <c r="Z138" s="9" t="inlineStr">
        <is>
          <t>Ceramic analysis</t>
        </is>
      </c>
      <c r="AA138" s="9" t="n"/>
      <c r="AB138" s="9" t="n"/>
      <c r="AC138" s="9" t="n"/>
      <c r="AD138" s="9" t="n"/>
      <c r="AE138" s="10" t="inlineStr">
        <is>
          <t>https://archive.org/details/github.com-demjanp-CeraMatch_-_2021-01-26_21-06-30</t>
        </is>
      </c>
      <c r="AF138" s="9" t="n"/>
      <c r="AG138" s="9" t="n"/>
    </row>
    <row r="139">
      <c r="A139" s="9" t="inlineStr">
        <is>
          <t>Ceramic_Dashboard</t>
        </is>
      </c>
      <c r="B139" s="9" t="inlineStr">
        <is>
          <t>Dashboard showing ceramic EDA and interaction network construction in the Late Prehistoric Central Illinois River Valley.</t>
        </is>
      </c>
      <c r="C139" s="10" t="inlineStr">
        <is>
          <t>https://github.com/ajupton/Ceramic_Dashboard</t>
        </is>
      </c>
      <c r="D139" s="9" t="n"/>
      <c r="E139" s="9" t="n"/>
      <c r="F139" s="9" t="n"/>
      <c r="G139" s="9" t="n"/>
      <c r="H139" s="9" t="n"/>
      <c r="I139" s="9" t="n"/>
      <c r="J139" s="9" t="n"/>
      <c r="K139" s="9" t="n"/>
      <c r="L139" s="9" t="n"/>
      <c r="M139" s="9" t="n"/>
      <c r="N139" s="10" t="inlineStr">
        <is>
          <t>https://aupton.shinyapps.io/CeramicDashboard/</t>
        </is>
      </c>
      <c r="O139" s="9" t="n"/>
      <c r="P139" s="9" t="n"/>
      <c r="Q139" s="9" t="inlineStr">
        <is>
          <t>ajupton</t>
        </is>
      </c>
      <c r="R139" s="9" t="n"/>
      <c r="S139" s="9" t="n"/>
      <c r="T139" s="9" t="n"/>
      <c r="U139" s="9" t="n"/>
      <c r="V139" s="9" t="n"/>
      <c r="W139" s="9" t="inlineStr">
        <is>
          <t>Products</t>
        </is>
      </c>
      <c r="X139" s="9" t="n"/>
      <c r="Y139" s="9" t="inlineStr">
        <is>
          <t>API interfaces and web scrapers</t>
        </is>
      </c>
      <c r="Z139" s="9" t="inlineStr">
        <is>
          <t>Data management</t>
        </is>
      </c>
      <c r="AA139" s="9" t="inlineStr">
        <is>
          <t>Ceramic analysis</t>
        </is>
      </c>
      <c r="AB139" s="9" t="n"/>
      <c r="AC139" s="9" t="n"/>
      <c r="AD139" s="9" t="n"/>
      <c r="AE139" s="10" t="inlineStr">
        <is>
          <t>https://archive.org/details/github.com-ajupton-Ceramic_Dashboard_-_2019-07-18_16-24-44</t>
        </is>
      </c>
      <c r="AF139" s="9" t="n"/>
      <c r="AG139" s="9" t="n"/>
    </row>
    <row r="140">
      <c r="A140" s="9" t="inlineStr">
        <is>
          <t>ceramic-computation</t>
        </is>
      </c>
      <c r="B140" s="9" t="inlineStr">
        <is>
          <t>R scripts for digitizing, processing, analyzing, and comparing archaeological ceramic 2d profile drawings, photographs, and other data.</t>
        </is>
      </c>
      <c r="C140" s="10" t="inlineStr">
        <is>
          <t>https://github.com/anatolian/ceramic-computation</t>
        </is>
      </c>
      <c r="D140" s="9" t="n"/>
      <c r="E140" s="9" t="n"/>
      <c r="F140" s="9" t="n"/>
      <c r="G140" s="9" t="n"/>
      <c r="H140" s="9" t="n"/>
      <c r="I140" s="9" t="n"/>
      <c r="J140" s="9" t="n"/>
      <c r="K140" s="9" t="n"/>
      <c r="L140" s="9" t="n"/>
      <c r="M140" s="9" t="n"/>
      <c r="N140" s="9" t="n"/>
      <c r="O140" s="9" t="n"/>
      <c r="P140" s="9" t="n"/>
      <c r="Q140" s="9" t="inlineStr">
        <is>
          <t>anatolian</t>
        </is>
      </c>
      <c r="R140" s="9" t="n"/>
      <c r="S140" s="9" t="n"/>
      <c r="T140" s="9" t="n"/>
      <c r="U140" s="9" t="n"/>
      <c r="V140" s="9" t="n"/>
      <c r="W140" s="9" t="inlineStr">
        <is>
          <t>Scripts</t>
        </is>
      </c>
      <c r="X140" s="9" t="inlineStr">
        <is>
          <t>R</t>
        </is>
      </c>
      <c r="Y140" s="9" t="inlineStr">
        <is>
          <t>Shape recognition</t>
        </is>
      </c>
      <c r="Z140" s="9" t="inlineStr">
        <is>
          <t>Ceramic analysis</t>
        </is>
      </c>
      <c r="AA140" s="9" t="n"/>
      <c r="AB140" s="9" t="n"/>
      <c r="AC140" s="9" t="n"/>
      <c r="AD140" s="9" t="n"/>
      <c r="AE140" s="10" t="inlineStr">
        <is>
          <t>https://archive.org/details/github.com-anatolian-ceramic-computation_-_2017-10-19_23-59-22</t>
        </is>
      </c>
      <c r="AF140" s="9" t="n"/>
      <c r="AG140" s="9" t="n"/>
    </row>
    <row r="141">
      <c r="A141" s="9" t="inlineStr">
        <is>
          <t>Ceramic-Frequency-Date-Plot</t>
        </is>
      </c>
      <c r="B141" s="9" t="inlineStr">
        <is>
          <t>This R script produces a exploratory visual for assessing site date ranges originally suggested to me by Wesley Bernardini Redlands University</t>
        </is>
      </c>
      <c r="C141" s="10" t="inlineStr">
        <is>
          <t>https://github.com/mpeeples2008/Ceramic-Frequency-Date-Plot</t>
        </is>
      </c>
      <c r="D141" s="9" t="n"/>
      <c r="E141" s="9" t="n"/>
      <c r="F141" s="9" t="n"/>
      <c r="G141" s="9" t="n"/>
      <c r="H141" s="9" t="n"/>
      <c r="I141" s="9" t="n"/>
      <c r="J141" s="9" t="n"/>
      <c r="K141" s="9" t="n"/>
      <c r="L141" s="9" t="n"/>
      <c r="M141" s="9" t="n"/>
      <c r="N141" s="9" t="n"/>
      <c r="O141" s="9" t="n"/>
      <c r="P141" s="9" t="n"/>
      <c r="Q141" s="9" t="inlineStr">
        <is>
          <t>mpeeples2008</t>
        </is>
      </c>
      <c r="R141" s="9" t="n"/>
      <c r="S141" s="9" t="n"/>
      <c r="T141" s="9" t="n"/>
      <c r="U141" s="9" t="n"/>
      <c r="V141" s="9" t="n"/>
      <c r="W141" s="9" t="inlineStr">
        <is>
          <t>Scripts</t>
        </is>
      </c>
      <c r="X141" s="9" t="inlineStr">
        <is>
          <t>R</t>
        </is>
      </c>
      <c r="Y141" s="9" t="inlineStr">
        <is>
          <t>Diagrams and visualizations</t>
        </is>
      </c>
      <c r="Z141" s="9" t="inlineStr">
        <is>
          <t>Ceramic analysis</t>
        </is>
      </c>
      <c r="AA141" s="9" t="n"/>
      <c r="AB141" s="9" t="n"/>
      <c r="AC141" s="9" t="n"/>
      <c r="AD141" s="9" t="n"/>
      <c r="AE141" s="10" t="inlineStr">
        <is>
          <t>https://archive.org/details/github.com-mpeeples2008-Ceramic-Frequency-Date-Plot_-_2018-05-11_04-48-23</t>
        </is>
      </c>
      <c r="AF141" s="9" t="n"/>
      <c r="AG141" s="9" t="n"/>
    </row>
    <row r="142">
      <c r="A142" s="9" t="inlineStr">
        <is>
          <t>CeramicApportioning</t>
        </is>
      </c>
      <c r="B142" s="9" t="inlineStr">
        <is>
          <t>A method for chronological apportioning of ceramic assemblages that considers site occupation dates, ceramic production dates, and popularity distribution curves.</t>
        </is>
      </c>
      <c r="C142" s="10" t="inlineStr">
        <is>
          <t>https://github.com/mpeeples2008/CeramicApportioning</t>
        </is>
      </c>
      <c r="D142" s="9" t="n"/>
      <c r="E142" s="9" t="n"/>
      <c r="F142" s="9" t="n"/>
      <c r="G142" s="9" t="n"/>
      <c r="H142" s="9" t="n"/>
      <c r="I142" s="9" t="n"/>
      <c r="J142" s="9" t="n"/>
      <c r="K142" s="9" t="n"/>
      <c r="L142" s="9" t="n"/>
      <c r="M142" s="9" t="n"/>
      <c r="N142" s="9" t="n"/>
      <c r="O142" s="9" t="n"/>
      <c r="P142" s="9" t="n"/>
      <c r="Q142" s="9" t="inlineStr">
        <is>
          <t>mpeeples2008</t>
        </is>
      </c>
      <c r="R142" s="9" t="n"/>
      <c r="S142" s="9" t="n"/>
      <c r="T142" s="9" t="n"/>
      <c r="U142" s="9" t="n"/>
      <c r="V142" s="9" t="n"/>
      <c r="W142" s="9" t="inlineStr">
        <is>
          <t>Scripts</t>
        </is>
      </c>
      <c r="X142" s="9" t="inlineStr">
        <is>
          <t>R</t>
        </is>
      </c>
      <c r="Y142" s="9" t="inlineStr">
        <is>
          <t>Chronological modelling</t>
        </is>
      </c>
      <c r="Z142" s="9" t="inlineStr">
        <is>
          <t>Ceramic analysis</t>
        </is>
      </c>
      <c r="AA142" s="9" t="n"/>
      <c r="AB142" s="9" t="n"/>
      <c r="AC142" s="9" t="n"/>
      <c r="AD142" s="9" t="n"/>
      <c r="AE142" s="10" t="inlineStr">
        <is>
          <t>https://archive.org/details/github.com-mpeeples2008-CeramicApportioning_-_2021-05-27_23-46-40</t>
        </is>
      </c>
      <c r="AF142" s="9" t="n"/>
      <c r="AG142" s="9" t="n"/>
    </row>
    <row r="143">
      <c r="A143" s="9" t="inlineStr">
        <is>
          <t>charcoalhearths</t>
        </is>
      </c>
      <c r="B143" s="9" t="inlineStr">
        <is>
          <t>Work with geotifs to detect charcoal hearths</t>
        </is>
      </c>
      <c r="C143" s="10" t="inlineStr">
        <is>
          <t>https://github.com/jeffblackadar/charcoalhearths</t>
        </is>
      </c>
      <c r="D143" s="9" t="n"/>
      <c r="E143" s="9" t="n"/>
      <c r="F143" s="9" t="n"/>
      <c r="G143" s="9" t="n"/>
      <c r="H143" s="9" t="n"/>
      <c r="I143" s="9" t="n"/>
      <c r="J143" s="9" t="n"/>
      <c r="K143" s="9" t="n"/>
      <c r="L143" s="9" t="n"/>
      <c r="M143" s="9" t="n"/>
      <c r="N143" s="9" t="n"/>
      <c r="O143" s="9" t="n"/>
      <c r="P143" s="9" t="n"/>
      <c r="Q143" s="9" t="inlineStr">
        <is>
          <t>jeffblackadar</t>
        </is>
      </c>
      <c r="R143" s="9" t="n"/>
      <c r="S143" s="9" t="n"/>
      <c r="T143" s="9" t="n"/>
      <c r="U143" s="9" t="n"/>
      <c r="V143" s="9" t="n"/>
      <c r="W143" s="9" t="inlineStr">
        <is>
          <t>Packages and libraries</t>
        </is>
      </c>
      <c r="X143" s="9" t="inlineStr">
        <is>
          <t>Python</t>
        </is>
      </c>
      <c r="Y143" s="9" t="inlineStr">
        <is>
          <t>Aerial and satellite imagery</t>
        </is>
      </c>
      <c r="Z143" s="9" t="inlineStr">
        <is>
          <t>Shape recognition</t>
        </is>
      </c>
      <c r="AA143" s="9" t="n"/>
      <c r="AB143" s="9" t="n"/>
      <c r="AC143" s="9" t="n"/>
      <c r="AD143" s="9" t="n"/>
      <c r="AE143" s="9" t="n"/>
      <c r="AF143" s="9" t="n"/>
      <c r="AG143" s="9" t="n"/>
    </row>
    <row r="144">
      <c r="A144" s="9" t="inlineStr">
        <is>
          <t>CHARM</t>
        </is>
      </c>
      <c r="B144" s="9" t="inlineStr">
        <is>
          <t>Cultural heritage abstract reference model.</t>
        </is>
      </c>
      <c r="C144" s="9" t="n"/>
      <c r="D144" s="9" t="n"/>
      <c r="E144" s="9" t="n"/>
      <c r="F144" s="9" t="n"/>
      <c r="G144" s="9" t="n"/>
      <c r="H144" s="9" t="n"/>
      <c r="I144" s="9" t="n"/>
      <c r="J144" s="9" t="n"/>
      <c r="K144" s="9" t="n"/>
      <c r="L144" s="9" t="n"/>
      <c r="M144" s="9" t="n"/>
      <c r="N144" s="10" t="inlineStr">
        <is>
          <t>http://www.charminfo.org/</t>
        </is>
      </c>
      <c r="O144" s="9" t="n"/>
      <c r="P144" s="9" t="n"/>
      <c r="Q144" s="9" t="inlineStr">
        <is>
          <t>CHARM</t>
        </is>
      </c>
      <c r="R144" s="9" t="n"/>
      <c r="S144" s="9" t="n"/>
      <c r="T144" s="9" t="n"/>
      <c r="U144" s="9" t="n"/>
      <c r="V144" s="9" t="n"/>
      <c r="W144" s="9" t="inlineStr">
        <is>
          <t>Specifications, protocols and schemas</t>
        </is>
      </c>
      <c r="X144" s="9" t="n"/>
      <c r="Y144" s="9" t="inlineStr">
        <is>
          <t>Data management</t>
        </is>
      </c>
      <c r="Z144" s="9" t="inlineStr">
        <is>
          <t>Schemas and ontologies</t>
        </is>
      </c>
      <c r="AA144" s="9" t="n"/>
      <c r="AB144" s="9" t="n"/>
      <c r="AC144" s="9" t="n"/>
      <c r="AD144" s="9" t="n"/>
      <c r="AE144" s="9" t="n"/>
      <c r="AF144" s="9" t="n"/>
      <c r="AG144" s="9" t="n"/>
    </row>
    <row r="145">
      <c r="A145" s="9" t="inlineStr">
        <is>
          <t>CharTool</t>
        </is>
      </c>
      <c r="B145" s="9" t="inlineStr">
        <is>
          <t>CharTool is a macro tool for quantifying charcoal particles for paleoecological research applications.</t>
        </is>
      </c>
      <c r="C145" s="10" t="inlineStr">
        <is>
          <t>https://github.com/gsnitker/CharTool</t>
        </is>
      </c>
      <c r="D145" s="9" t="n"/>
      <c r="E145" s="9" t="n"/>
      <c r="F145" s="9" t="n"/>
      <c r="G145" s="9" t="n"/>
      <c r="H145" s="9" t="n"/>
      <c r="I145" s="9" t="n"/>
      <c r="J145" s="9" t="n"/>
      <c r="K145" s="9" t="n"/>
      <c r="L145" s="9" t="n"/>
      <c r="M145" s="9" t="n"/>
      <c r="N145" s="9" t="n"/>
      <c r="O145" s="9" t="n"/>
      <c r="P145" s="9" t="n"/>
      <c r="Q145" s="9" t="inlineStr">
        <is>
          <t>gsnitker</t>
        </is>
      </c>
      <c r="R145" s="9" t="n"/>
      <c r="S145" s="9" t="n"/>
      <c r="T145" s="9" t="n"/>
      <c r="U145" s="9" t="n"/>
      <c r="V145" s="9" t="n"/>
      <c r="W145" s="9" t="inlineStr">
        <is>
          <t>Standalone software</t>
        </is>
      </c>
      <c r="X145" s="9" t="n"/>
      <c r="Y145" s="9" t="inlineStr">
        <is>
          <t>Palaeobotany</t>
        </is>
      </c>
      <c r="Z145" s="9" t="n"/>
      <c r="AA145" s="9" t="n"/>
      <c r="AB145" s="9" t="n"/>
      <c r="AC145" s="9" t="n"/>
      <c r="AD145" s="9" t="n"/>
      <c r="AE145" s="10" t="inlineStr">
        <is>
          <t>https://archive.org/details/github.com-gsnitker-CharTool_-_2020-04-06_21-46-45</t>
        </is>
      </c>
      <c r="AF145" s="9" t="n"/>
      <c r="AG145" s="9" t="n"/>
    </row>
    <row r="146">
      <c r="A146" s="9" t="inlineStr">
        <is>
          <t>cherish</t>
        </is>
      </c>
      <c r="B146" s="9" t="inlineStr">
        <is>
          <t>Cherish is a tool that aids archaeologists and designers to represent historical, urban and archaeological structures and sites in 3D by means of image manipulation and sketching. Combine disparate data types such as photographs, illustrations, diagrams, text annotations, point cloud representation, etc, into a comprehensive 3D space, to make 3D sense of the data.</t>
        </is>
      </c>
      <c r="C146" s="10" t="inlineStr">
        <is>
          <t>https://github.com/vicrucann/cherish</t>
        </is>
      </c>
      <c r="D146" s="9" t="n"/>
      <c r="E146" s="9" t="n"/>
      <c r="F146" s="9" t="n"/>
      <c r="G146" s="9" t="n"/>
      <c r="H146" s="9" t="n"/>
      <c r="I146" s="9" t="n"/>
      <c r="J146" s="9" t="n"/>
      <c r="K146" s="9" t="n"/>
      <c r="L146" s="9" t="n"/>
      <c r="M146" s="9" t="n"/>
      <c r="N146" s="9" t="n"/>
      <c r="O146" s="9" t="n"/>
      <c r="P146" s="9" t="n"/>
      <c r="Q146" s="9" t="inlineStr">
        <is>
          <t>vicrucann</t>
        </is>
      </c>
      <c r="R146" s="9" t="n"/>
      <c r="S146" s="9" t="n"/>
      <c r="T146" s="9" t="n"/>
      <c r="U146" s="9" t="n"/>
      <c r="V146" s="9" t="n"/>
      <c r="W146" s="9" t="inlineStr">
        <is>
          <t>Standalone software</t>
        </is>
      </c>
      <c r="X146" s="9" t="n"/>
      <c r="Y146" s="9" t="inlineStr">
        <is>
          <t>3D modelling</t>
        </is>
      </c>
      <c r="Z146" s="9" t="n"/>
      <c r="AA146" s="9" t="n"/>
      <c r="AB146" s="9" t="n"/>
      <c r="AC146" s="9" t="n"/>
      <c r="AD146" s="9" t="n"/>
      <c r="AE146" s="9" t="n"/>
      <c r="AF146" s="9" t="n"/>
      <c r="AG146" s="9" t="n"/>
    </row>
    <row r="147">
      <c r="A147" s="9" t="inlineStr">
        <is>
          <t>chi-field-manual</t>
        </is>
      </c>
      <c r="B147" s="9" t="inlineStr">
        <is>
          <t>A bookdown powered manual for the small scale cultural heritage organization looking to leverage various chi techniques for their own collections.</t>
        </is>
      </c>
      <c r="C147" s="10" t="inlineStr">
        <is>
          <t>https://github.com/XLabCU/chi-field-manual</t>
        </is>
      </c>
      <c r="D147" s="9" t="n"/>
      <c r="E147" s="9" t="n"/>
      <c r="F147" s="9" t="n"/>
      <c r="G147" s="9" t="n"/>
      <c r="H147" s="9" t="n"/>
      <c r="I147" s="9" t="n"/>
      <c r="J147" s="9" t="n"/>
      <c r="K147" s="9" t="n"/>
      <c r="L147" s="9" t="n"/>
      <c r="M147" s="9" t="n"/>
      <c r="N147" s="10" t="inlineStr">
        <is>
          <t>https://xlabcu.github.io/chi-field-manual</t>
        </is>
      </c>
      <c r="O147" s="9" t="n"/>
      <c r="P147" s="9" t="n"/>
      <c r="Q147" s="9" t="inlineStr">
        <is>
          <t>XLabCU</t>
        </is>
      </c>
      <c r="R147" s="9" t="n"/>
      <c r="S147" s="9" t="n"/>
      <c r="T147" s="9" t="n"/>
      <c r="U147" s="9" t="n"/>
      <c r="V147" s="9" t="n"/>
      <c r="W147" s="9" t="inlineStr">
        <is>
          <t>Guides</t>
        </is>
      </c>
      <c r="X147" s="9" t="n"/>
      <c r="Y147" s="9" t="inlineStr">
        <is>
          <t>Educational resources and practical guides</t>
        </is>
      </c>
      <c r="Z147" s="9" t="inlineStr">
        <is>
          <t>Statistical analysis</t>
        </is>
      </c>
      <c r="AA147" s="9" t="n"/>
      <c r="AB147" s="9" t="n"/>
      <c r="AC147" s="9" t="n"/>
      <c r="AD147" s="9" t="n"/>
      <c r="AE147" s="9" t="n"/>
      <c r="AF147" s="9" t="n"/>
      <c r="AG147" s="9" t="n"/>
    </row>
    <row r="148">
      <c r="A148" s="9" t="inlineStr">
        <is>
          <t>chrongler</t>
        </is>
      </c>
      <c r="B148" s="9" t="inlineStr">
        <is>
          <t>Provides convenience functions that are helpful for working with archaeological or historical data, where chronological information is stored as a period.</t>
        </is>
      </c>
      <c r="C148" s="10" t="inlineStr">
        <is>
          <t>https://github.com/lsteinmann/chrongler</t>
        </is>
      </c>
      <c r="D148" s="9" t="n"/>
      <c r="E148" s="9" t="n"/>
      <c r="F148" s="9" t="n"/>
      <c r="G148" s="9" t="n"/>
      <c r="H148" s="9" t="n"/>
      <c r="I148" s="9" t="n"/>
      <c r="J148" s="9" t="n"/>
      <c r="K148" s="9" t="n"/>
      <c r="L148" s="9" t="n"/>
      <c r="M148" s="9" t="n"/>
      <c r="N148" s="9" t="n"/>
      <c r="O148" s="9" t="n"/>
      <c r="P148" s="9" t="n"/>
      <c r="Q148" s="9" t="inlineStr">
        <is>
          <t>lsteinmann</t>
        </is>
      </c>
      <c r="R148" s="9" t="n"/>
      <c r="S148" s="9" t="n"/>
      <c r="T148" s="9" t="n"/>
      <c r="U148" s="9" t="n"/>
      <c r="V148" s="9" t="n"/>
      <c r="W148" s="9" t="inlineStr">
        <is>
          <t>Packages and libraries</t>
        </is>
      </c>
      <c r="X148" s="9" t="inlineStr">
        <is>
          <t>R</t>
        </is>
      </c>
      <c r="Y148" s="9" t="inlineStr">
        <is>
          <t>Chronological modelling</t>
        </is>
      </c>
      <c r="Z148" s="9" t="inlineStr">
        <is>
          <t>Data management</t>
        </is>
      </c>
      <c r="AA148" s="9" t="n"/>
      <c r="AB148" s="9" t="n"/>
      <c r="AC148" s="9" t="n"/>
      <c r="AD148" s="9" t="n"/>
      <c r="AE148" s="9" t="n"/>
      <c r="AF148" s="9" t="n"/>
      <c r="AG148" s="9" t="n"/>
    </row>
    <row r="149">
      <c r="A149" s="9" t="inlineStr">
        <is>
          <t>chrono_spatial_modelling</t>
        </is>
      </c>
      <c r="B149" s="9" t="inlineStr">
        <is>
          <t>This is an example implementation of chrono-spatial modelling of settlement activities.</t>
        </is>
      </c>
      <c r="C149" s="10" t="inlineStr">
        <is>
          <t>https://github.com/demjanp/chrono_spatial_modelling</t>
        </is>
      </c>
      <c r="D149" s="9" t="n"/>
      <c r="E149" s="9" t="n"/>
      <c r="F149" s="9" t="n"/>
      <c r="G149" s="9" t="n"/>
      <c r="H149" s="9" t="n"/>
      <c r="I149" s="9" t="n"/>
      <c r="J149" s="9" t="n"/>
      <c r="K149" s="9" t="n"/>
      <c r="L149" s="9" t="n"/>
      <c r="M149" s="9" t="n"/>
      <c r="N149" s="9" t="n"/>
      <c r="O149" s="9" t="n"/>
      <c r="P149" s="9" t="n"/>
      <c r="Q149" s="9" t="inlineStr">
        <is>
          <t>demjanp</t>
        </is>
      </c>
      <c r="R149" s="9" t="n"/>
      <c r="S149" s="9" t="n"/>
      <c r="T149" s="9" t="n"/>
      <c r="U149" s="9" t="n"/>
      <c r="V149" s="9" t="n"/>
      <c r="W149" s="9" t="inlineStr">
        <is>
          <t>Guides</t>
        </is>
      </c>
      <c r="X149" s="9" t="inlineStr">
        <is>
          <t>Python</t>
        </is>
      </c>
      <c r="Y149" s="9" t="inlineStr">
        <is>
          <t>Spatial analysis</t>
        </is>
      </c>
      <c r="Z149" s="9" t="n"/>
      <c r="AA149" s="9" t="n"/>
      <c r="AB149" s="9" t="n"/>
      <c r="AC149" s="9" t="n"/>
      <c r="AD149" s="9" t="n"/>
      <c r="AE149" s="10" t="inlineStr">
        <is>
          <t>https://archive.org/details/github.com-demjanp-chrono_spatial_modelling_-_2019-11-26_16-13-58</t>
        </is>
      </c>
      <c r="AF149" s="9" t="n"/>
      <c r="AG149" s="9" t="n"/>
    </row>
    <row r="150">
      <c r="A150" s="9" t="inlineStr">
        <is>
          <t>chronochrt</t>
        </is>
      </c>
      <c r="B150" s="9" t="inlineStr">
        <is>
          <t>Building chronological charts easily with R.</t>
        </is>
      </c>
      <c r="C150" s="9" t="n"/>
      <c r="D150" s="9" t="n"/>
      <c r="E150" s="10" t="inlineStr">
        <is>
          <t>https://gitlab.com/roset/chronochrt</t>
        </is>
      </c>
      <c r="F150" s="9" t="n"/>
      <c r="G150" s="9" t="n"/>
      <c r="H150" s="9" t="n"/>
      <c r="I150" s="9" t="n"/>
      <c r="J150" s="9" t="n"/>
      <c r="K150" s="10" t="inlineStr">
        <is>
          <t>https://cran.r-project.org/package=chronochrt</t>
        </is>
      </c>
      <c r="L150" s="9" t="n"/>
      <c r="M150" s="9" t="n"/>
      <c r="N150" s="9" t="n"/>
      <c r="O150" s="9" t="n"/>
      <c r="P150" s="9" t="n"/>
      <c r="Q150" s="9" t="inlineStr">
        <is>
          <t>roset</t>
        </is>
      </c>
      <c r="R150" s="9" t="n"/>
      <c r="S150" s="9" t="n"/>
      <c r="T150" s="9" t="n"/>
      <c r="U150" s="9" t="n"/>
      <c r="V150" s="9" t="n"/>
      <c r="W150" s="9" t="inlineStr">
        <is>
          <t>Packages and libraries</t>
        </is>
      </c>
      <c r="X150" s="9" t="inlineStr">
        <is>
          <t>R</t>
        </is>
      </c>
      <c r="Y150" s="9" t="inlineStr">
        <is>
          <t>Chronological modelling</t>
        </is>
      </c>
      <c r="Z150" s="9" t="n"/>
      <c r="AA150" s="9" t="n"/>
      <c r="AB150" s="9" t="n"/>
      <c r="AC150" s="9" t="n"/>
      <c r="AD150" s="9" t="n"/>
      <c r="AE150" s="9" t="n"/>
      <c r="AF150" s="9" t="n"/>
      <c r="AG150" s="9" t="n"/>
    </row>
    <row r="151">
      <c r="A151" s="9" t="inlineStr">
        <is>
          <t>ChronoLog</t>
        </is>
      </c>
      <c r="B151" s="9" t="inlineStr">
        <is>
          <t>A tool for computer-assisted chronological research.</t>
        </is>
      </c>
      <c r="C151" s="9" t="n"/>
      <c r="D151" s="9" t="n"/>
      <c r="E151" s="9" t="n"/>
      <c r="F151" s="9" t="n"/>
      <c r="G151" s="9" t="n"/>
      <c r="H151" s="9" t="n"/>
      <c r="I151" s="9" t="n"/>
      <c r="J151" s="9" t="n"/>
      <c r="K151" s="9" t="n"/>
      <c r="L151" s="9" t="n"/>
      <c r="M151" s="9" t="n"/>
      <c r="N151" s="10" t="inlineStr">
        <is>
          <t>https://chrono.ulb.be/</t>
        </is>
      </c>
      <c r="O151" s="9" t="n"/>
      <c r="P151" s="9" t="inlineStr">
        <is>
          <t>10.1016/j.jas.2020.105225</t>
        </is>
      </c>
      <c r="Q151" s="9" t="inlineStr">
        <is>
          <t>Eythan Levy</t>
        </is>
      </c>
      <c r="R151" s="9" t="inlineStr">
        <is>
          <t>Frédéric Pluquet</t>
        </is>
      </c>
      <c r="S151" s="9" t="inlineStr">
        <is>
          <t>Gilles Geeraerts</t>
        </is>
      </c>
      <c r="T151" s="9" t="n"/>
      <c r="U151" s="9" t="n"/>
      <c r="V151" s="9" t="n"/>
      <c r="W151" s="9" t="inlineStr">
        <is>
          <t>Standalone software</t>
        </is>
      </c>
      <c r="X151" s="9" t="n"/>
      <c r="Y151" s="9" t="inlineStr">
        <is>
          <t>Chronological modelling</t>
        </is>
      </c>
      <c r="Z151" s="9" t="n"/>
      <c r="AA151" s="9" t="n"/>
      <c r="AB151" s="9" t="n"/>
      <c r="AC151" s="9" t="n"/>
      <c r="AD151" s="9" t="n"/>
      <c r="AE151" s="9" t="n"/>
      <c r="AF151" s="9" t="n"/>
      <c r="AG151" s="9" t="n"/>
    </row>
    <row r="152">
      <c r="A152" s="9" t="inlineStr">
        <is>
          <t>chronomodel</t>
        </is>
      </c>
      <c r="B152" s="9" t="inlineStr">
        <is>
          <t>Chronological Modelling of Archaeological Data using Bayesian Statistics.</t>
        </is>
      </c>
      <c r="C152" s="10" t="inlineStr">
        <is>
          <t>https://github.com/Chronomodel/chronomodel</t>
        </is>
      </c>
      <c r="D152" s="9" t="n"/>
      <c r="E152" s="9" t="n"/>
      <c r="F152" s="9" t="n"/>
      <c r="G152" s="9" t="n"/>
      <c r="H152" s="9" t="n"/>
      <c r="I152" s="9" t="n"/>
      <c r="J152" s="9" t="n"/>
      <c r="K152" s="9" t="n"/>
      <c r="L152" s="9" t="n"/>
      <c r="M152" s="9" t="n"/>
      <c r="N152" s="10" t="inlineStr">
        <is>
          <t>https://chronomodel.com/</t>
        </is>
      </c>
      <c r="O152" s="9" t="n"/>
      <c r="P152" s="9" t="n"/>
      <c r="Q152" s="9" t="inlineStr">
        <is>
          <t>Chronomodel</t>
        </is>
      </c>
      <c r="R152" s="9" t="n"/>
      <c r="S152" s="9" t="n"/>
      <c r="T152" s="9" t="n"/>
      <c r="U152" s="9" t="n"/>
      <c r="V152" s="9" t="n"/>
      <c r="W152" s="9" t="inlineStr">
        <is>
          <t>Standalone software</t>
        </is>
      </c>
      <c r="X152" s="9" t="n"/>
      <c r="Y152" s="9" t="inlineStr">
        <is>
          <t>Chronological modelling</t>
        </is>
      </c>
      <c r="Z152" s="9" t="n"/>
      <c r="AA152" s="9" t="n"/>
      <c r="AB152" s="9" t="n"/>
      <c r="AC152" s="9" t="n"/>
      <c r="AD152" s="9" t="n"/>
      <c r="AE152" s="10" t="inlineStr">
        <is>
          <t>https://archive.org/details/github.com-Chronomodel-chronomodel_-_2021-02-02_16-41-52</t>
        </is>
      </c>
      <c r="AF152" s="9" t="n"/>
      <c r="AG152" s="9" t="n"/>
    </row>
    <row r="153">
      <c r="A153" s="9" t="inlineStr">
        <is>
          <t>Chronophage</t>
        </is>
      </c>
      <c r="B153" s="9" t="inlineStr">
        <is>
          <t>Applications for obtaining chronograms (quantified chronology diagrams) and time distribution curves of archaeological or historical units from quantified dating indicators treated as inaccuracy intervals.</t>
        </is>
      </c>
      <c r="C153" s="9" t="n"/>
      <c r="D153" s="9" t="n"/>
      <c r="E153" s="9" t="n"/>
      <c r="F153" s="9" t="n"/>
      <c r="G153" s="9" t="n"/>
      <c r="H153" s="9" t="n"/>
      <c r="I153" s="9" t="n"/>
      <c r="J153" s="9" t="n"/>
      <c r="K153" s="9" t="n"/>
      <c r="L153" s="9" t="n"/>
      <c r="M153" s="9" t="n"/>
      <c r="N153" s="10" t="inlineStr">
        <is>
          <t>https://abp.hypotheses.org/4284</t>
        </is>
      </c>
      <c r="O153" s="9" t="n"/>
      <c r="P153" s="9" t="n"/>
      <c r="Q153" s="9" t="inlineStr">
        <is>
          <t>Bruno Desachy</t>
        </is>
      </c>
      <c r="R153" s="9" t="n"/>
      <c r="S153" s="9" t="n"/>
      <c r="T153" s="9" t="n"/>
      <c r="U153" s="9" t="n"/>
      <c r="V153" s="9" t="n"/>
      <c r="W153" s="9" t="inlineStr">
        <is>
          <t>Packages and libraries</t>
        </is>
      </c>
      <c r="X153" s="9" t="inlineStr">
        <is>
          <t>LibreOffice Calc</t>
        </is>
      </c>
      <c r="Y153" s="9" t="inlineStr">
        <is>
          <t>Chronological modelling</t>
        </is>
      </c>
      <c r="Z153" s="9" t="n"/>
      <c r="AA153" s="9" t="n"/>
      <c r="AB153" s="9" t="n"/>
      <c r="AC153" s="9" t="n"/>
      <c r="AD153" s="9" t="n"/>
      <c r="AE153" s="9" t="n"/>
      <c r="AF153" s="9" t="n"/>
      <c r="AG153" s="9" t="n"/>
    </row>
    <row r="154">
      <c r="A154" s="9" t="inlineStr">
        <is>
          <t>chronup</t>
        </is>
      </c>
      <c r="B154" s="9" t="inlineStr">
        <is>
          <t>Tools for chronological uncertainty propagation.</t>
        </is>
      </c>
      <c r="C154" s="10" t="inlineStr">
        <is>
          <t>https://github.com/wccarleton/chronup</t>
        </is>
      </c>
      <c r="D154" s="9" t="n"/>
      <c r="E154" s="9" t="n"/>
      <c r="F154" s="9" t="n"/>
      <c r="G154" s="9" t="n"/>
      <c r="H154" s="9" t="n"/>
      <c r="I154" s="9" t="n"/>
      <c r="J154" s="9" t="n"/>
      <c r="K154" s="9" t="n"/>
      <c r="L154" s="9" t="n"/>
      <c r="M154" s="9" t="n"/>
      <c r="N154" s="9" t="n"/>
      <c r="O154" s="9" t="n"/>
      <c r="P154" s="9" t="n"/>
      <c r="Q154" s="9" t="inlineStr">
        <is>
          <t>wccarleton</t>
        </is>
      </c>
      <c r="R154" s="9" t="n"/>
      <c r="S154" s="9" t="n"/>
      <c r="T154" s="9" t="n"/>
      <c r="U154" s="9" t="n"/>
      <c r="V154" s="9" t="n"/>
      <c r="W154" s="9" t="inlineStr">
        <is>
          <t>Packages and libraries</t>
        </is>
      </c>
      <c r="X154" s="9" t="inlineStr">
        <is>
          <t>R</t>
        </is>
      </c>
      <c r="Y154" s="9" t="inlineStr">
        <is>
          <t>Chronological modelling</t>
        </is>
      </c>
      <c r="Z154" s="9" t="inlineStr">
        <is>
          <t>Statistical analysis</t>
        </is>
      </c>
      <c r="AA154" s="9" t="n"/>
      <c r="AB154" s="9" t="n"/>
      <c r="AC154" s="9" t="n"/>
      <c r="AD154" s="9" t="n"/>
      <c r="AE154" s="9" t="n"/>
      <c r="AF154" s="9" t="n"/>
      <c r="AG154" s="9" t="n"/>
    </row>
    <row r="155">
      <c r="A155" s="9" t="inlineStr">
        <is>
          <t>civ5-prehistoric</t>
        </is>
      </c>
      <c r="B155" s="9" t="inlineStr">
        <is>
          <t>Extends the game back millions years and multiple eras into the days when "man" first descended from the trees!</t>
        </is>
      </c>
      <c r="C155" s="10" t="inlineStr">
        <is>
          <t>https://github.com/carlosfhernandez/civ5-prehistoric</t>
        </is>
      </c>
      <c r="D155" s="9" t="n"/>
      <c r="E155" s="9" t="n"/>
      <c r="F155" s="9" t="n"/>
      <c r="G155" s="9" t="n"/>
      <c r="H155" s="9" t="n"/>
      <c r="I155" s="9" t="n"/>
      <c r="J155" s="9" t="n"/>
      <c r="K155" s="9" t="n"/>
      <c r="L155" s="9" t="n"/>
      <c r="M155" s="9" t="n"/>
      <c r="N155" s="10" t="inlineStr">
        <is>
          <t>https://github.com/carlosfhernandez/civ5-prehistoric/wiki/</t>
        </is>
      </c>
      <c r="O155" s="9" t="n"/>
      <c r="P155" s="9" t="n"/>
      <c r="Q155" s="9" t="inlineStr">
        <is>
          <t>carlosfhernandez</t>
        </is>
      </c>
      <c r="R155" s="9" t="n"/>
      <c r="S155" s="9" t="n"/>
      <c r="T155" s="9" t="n"/>
      <c r="U155" s="9" t="n"/>
      <c r="V155" s="9" t="n"/>
      <c r="W155" s="9" t="inlineStr">
        <is>
          <t>Standalone software</t>
        </is>
      </c>
      <c r="X155" s="9" t="n"/>
      <c r="Y155" s="9" t="inlineStr">
        <is>
          <t>Games</t>
        </is>
      </c>
      <c r="Z155" s="9" t="n"/>
      <c r="AA155" s="9" t="n"/>
      <c r="AB155" s="9" t="n"/>
      <c r="AC155" s="9" t="n"/>
      <c r="AD155" s="9" t="n"/>
      <c r="AE155" s="9" t="n"/>
      <c r="AF155" s="9" t="n"/>
      <c r="AG155" s="9" t="n"/>
    </row>
    <row r="156">
      <c r="A156" s="9" t="inlineStr">
        <is>
          <t>clam</t>
        </is>
      </c>
      <c r="B156" s="9" t="inlineStr">
        <is>
          <t>A package for classical age-depth modelling of cores from deposits.</t>
        </is>
      </c>
      <c r="C156" s="10" t="inlineStr">
        <is>
          <t>https://github.com/Maarten14C/clam</t>
        </is>
      </c>
      <c r="D156" s="9" t="n"/>
      <c r="E156" s="9" t="n"/>
      <c r="F156" s="9" t="n"/>
      <c r="G156" s="9" t="n"/>
      <c r="H156" s="9" t="n"/>
      <c r="I156" s="9" t="n"/>
      <c r="J156" s="9" t="n"/>
      <c r="K156" s="9" t="n"/>
      <c r="L156" s="9" t="n"/>
      <c r="M156" s="9" t="n"/>
      <c r="N156" s="9" t="n"/>
      <c r="O156" s="9" t="n"/>
      <c r="P156" s="9" t="n"/>
      <c r="Q156" s="9" t="inlineStr">
        <is>
          <t>Maarten14C</t>
        </is>
      </c>
      <c r="R156" s="9" t="n"/>
      <c r="S156" s="9" t="n"/>
      <c r="T156" s="9" t="n"/>
      <c r="U156" s="9" t="n"/>
      <c r="V156" s="9" t="n"/>
      <c r="W156" s="9" t="inlineStr">
        <is>
          <t>Packages and libraries</t>
        </is>
      </c>
      <c r="X156" s="9" t="inlineStr">
        <is>
          <t>R</t>
        </is>
      </c>
      <c r="Y156" s="9" t="inlineStr">
        <is>
          <t>Chronological modelling</t>
        </is>
      </c>
      <c r="Z156" s="9" t="inlineStr">
        <is>
          <t>Geophysical survey</t>
        </is>
      </c>
      <c r="AA156" s="9" t="n"/>
      <c r="AB156" s="9" t="n"/>
      <c r="AC156" s="9" t="n"/>
      <c r="AD156" s="9" t="n"/>
      <c r="AE156" s="9" t="n"/>
      <c r="AF156" s="9" t="n"/>
      <c r="AG156" s="9" t="n"/>
    </row>
    <row r="157">
      <c r="A157" s="9" t="inlineStr">
        <is>
          <t>Classical and ancient Linked Open Data</t>
        </is>
      </c>
      <c r="B157" s="9" t="inlineStr">
        <is>
          <t>A list of linked open data repositories relating to classics and ancient history.</t>
        </is>
      </c>
      <c r="C157" s="9" t="n"/>
      <c r="D157" s="9" t="n"/>
      <c r="E157" s="9" t="n"/>
      <c r="F157" s="9" t="n"/>
      <c r="G157" s="9" t="n"/>
      <c r="H157" s="9" t="n"/>
      <c r="I157" s="9" t="n"/>
      <c r="J157" s="9" t="n"/>
      <c r="K157" s="9" t="n"/>
      <c r="L157" s="9" t="n"/>
      <c r="M157" s="9" t="n"/>
      <c r="N157" s="10" t="inlineStr">
        <is>
          <t>https://docs.google.com/spreadsheets/d/1aAssGGswX2WNMllV4kMYexBGS8miCywbW5XdcIeE22c/edit#gid=1033348216</t>
        </is>
      </c>
      <c r="O157" s="9" t="n"/>
      <c r="P157" s="9" t="n"/>
      <c r="Q157" s="9" t="inlineStr">
        <is>
          <t>Gabriel Bodard</t>
        </is>
      </c>
      <c r="R157" s="9" t="inlineStr">
        <is>
          <t>Paula Granados García</t>
        </is>
      </c>
      <c r="S157" s="9" t="inlineStr">
        <is>
          <t>Sarah Middle</t>
        </is>
      </c>
      <c r="T157" s="9" t="inlineStr">
        <is>
          <t>Elton Barker</t>
        </is>
      </c>
      <c r="U157" s="9" t="n"/>
      <c r="V157" s="9" t="n"/>
      <c r="W157" s="9" t="inlineStr">
        <is>
          <t>Lists and datasets</t>
        </is>
      </c>
      <c r="X157" s="9" t="n"/>
      <c r="Y157" s="9" t="inlineStr">
        <is>
          <t>Lists</t>
        </is>
      </c>
      <c r="Z157" s="9" t="inlineStr">
        <is>
          <t>Datasets</t>
        </is>
      </c>
      <c r="AA157" s="9" t="n"/>
      <c r="AB157" s="9" t="n"/>
      <c r="AC157" s="9" t="n"/>
      <c r="AD157" s="9" t="n"/>
      <c r="AE157" s="9" t="n"/>
      <c r="AF157" s="9" t="n"/>
      <c r="AG157" s="9" t="n"/>
    </row>
    <row r="158">
      <c r="A158" s="9" t="inlineStr">
        <is>
          <t>cleanc14</t>
        </is>
      </c>
      <c r="B158" s="9" t="inlineStr">
        <is>
          <t>Provides some utility functions for cleaning radiocarbon data in R.</t>
        </is>
      </c>
      <c r="C158" s="10" t="inlineStr">
        <is>
          <t>https://github.com/joeroe/cleanc14</t>
        </is>
      </c>
      <c r="D158" s="9" t="n"/>
      <c r="E158" s="9" t="n"/>
      <c r="F158" s="9" t="n"/>
      <c r="G158" s="9" t="n"/>
      <c r="H158" s="9" t="n"/>
      <c r="I158" s="9" t="n"/>
      <c r="J158" s="9" t="n"/>
      <c r="K158" s="9" t="n"/>
      <c r="L158" s="9" t="n"/>
      <c r="M158" s="9" t="n"/>
      <c r="N158" s="9" t="n"/>
      <c r="O158" s="9" t="n"/>
      <c r="P158" s="9" t="n"/>
      <c r="Q158" s="9" t="inlineStr">
        <is>
          <t>joeroe</t>
        </is>
      </c>
      <c r="R158" s="9" t="n"/>
      <c r="S158" s="9" t="n"/>
      <c r="T158" s="9" t="n"/>
      <c r="U158" s="9" t="n"/>
      <c r="V158" s="9" t="n"/>
      <c r="W158" s="9" t="inlineStr">
        <is>
          <t>Packages and libraries</t>
        </is>
      </c>
      <c r="X158" s="9" t="inlineStr">
        <is>
          <t>R</t>
        </is>
      </c>
      <c r="Y158" s="9" t="inlineStr">
        <is>
          <t>Radiocarbon dating, calibration and sequencing</t>
        </is>
      </c>
      <c r="Z158" s="9" t="n"/>
      <c r="AA158" s="9" t="n"/>
      <c r="AB158" s="9" t="n"/>
      <c r="AC158" s="9" t="n"/>
      <c r="AD158" s="9" t="n"/>
      <c r="AE158" s="10" t="inlineStr">
        <is>
          <t>https://archive.org/details/github.com-joeroe-cleanc14_-_2021-05-04_08-45-08</t>
        </is>
      </c>
      <c r="AF158" s="9" t="n"/>
      <c r="AG158" s="9" t="n"/>
    </row>
    <row r="159">
      <c r="A159" s="9" t="inlineStr">
        <is>
          <t>CloudCal</t>
        </is>
      </c>
      <c r="B159" s="9" t="inlineStr">
        <is>
          <t>This app will allow you to build &amp; apply calibrations for the Tracer &amp; Artax series of XRF devices</t>
        </is>
      </c>
      <c r="C159" s="10" t="inlineStr">
        <is>
          <t>https://github.com/leedrake5/CloudCal</t>
        </is>
      </c>
      <c r="D159" s="9" t="n"/>
      <c r="E159" s="9" t="n"/>
      <c r="F159" s="9" t="n"/>
      <c r="G159" s="9" t="n"/>
      <c r="H159" s="9" t="n"/>
      <c r="I159" s="9" t="n"/>
      <c r="J159" s="9" t="n"/>
      <c r="K159" s="9" t="n"/>
      <c r="L159" s="9" t="n"/>
      <c r="M159" s="9" t="n"/>
      <c r="N159" s="9" t="n"/>
      <c r="O159" s="9" t="n"/>
      <c r="P159" s="9" t="n"/>
      <c r="Q159" s="9" t="inlineStr">
        <is>
          <t>leedrake5</t>
        </is>
      </c>
      <c r="R159" s="9" t="n"/>
      <c r="S159" s="9" t="n"/>
      <c r="T159" s="9" t="n"/>
      <c r="U159" s="9" t="n"/>
      <c r="V159" s="9" t="n"/>
      <c r="W159" s="9" t="inlineStr">
        <is>
          <t>Scripts</t>
        </is>
      </c>
      <c r="X159" s="9" t="inlineStr">
        <is>
          <t>R</t>
        </is>
      </c>
      <c r="Y159" s="9" t="inlineStr">
        <is>
          <t>X-Ray Fluorescence</t>
        </is>
      </c>
      <c r="Z159" s="9" t="n"/>
      <c r="AA159" s="9" t="n"/>
      <c r="AB159" s="9" t="n"/>
      <c r="AC159" s="9" t="n"/>
      <c r="AD159" s="9" t="n"/>
      <c r="AE159" s="10" t="inlineStr">
        <is>
          <t>https://archive.org/details/github.com-leedrake5-CloudCal_-_2021-02-02_19-39-49</t>
        </is>
      </c>
      <c r="AF159" s="9" t="n"/>
      <c r="AG159" s="9" t="n"/>
    </row>
    <row r="160">
      <c r="A160" s="9" t="inlineStr">
        <is>
          <t>clustering_14C</t>
        </is>
      </c>
      <c r="B160" s="9" t="inlineStr">
        <is>
          <t>A python implementation of the method of clustering radiocarbon dates in order to determine whether they represent separate events, or phases in time</t>
        </is>
      </c>
      <c r="C160" s="10" t="inlineStr">
        <is>
          <t>https://github.com/demjanp/clustering_14C</t>
        </is>
      </c>
      <c r="D160" s="9" t="n"/>
      <c r="E160" s="9" t="n"/>
      <c r="F160" s="9" t="n"/>
      <c r="G160" s="9" t="n"/>
      <c r="H160" s="9" t="n"/>
      <c r="I160" s="9" t="n"/>
      <c r="J160" s="9" t="n"/>
      <c r="K160" s="9" t="n"/>
      <c r="L160" s="9" t="n"/>
      <c r="M160" s="9" t="n"/>
      <c r="N160" s="9" t="n"/>
      <c r="O160" s="9" t="n"/>
      <c r="P160" s="9" t="n"/>
      <c r="Q160" s="9" t="inlineStr">
        <is>
          <t>demjanp</t>
        </is>
      </c>
      <c r="R160" s="9" t="n"/>
      <c r="S160" s="9" t="n"/>
      <c r="T160" s="9" t="n"/>
      <c r="U160" s="9" t="n"/>
      <c r="V160" s="9" t="n"/>
      <c r="W160" s="9" t="inlineStr">
        <is>
          <t>Packages and libraries</t>
        </is>
      </c>
      <c r="X160" s="9" t="inlineStr">
        <is>
          <t>Python</t>
        </is>
      </c>
      <c r="Y160" s="9" t="inlineStr">
        <is>
          <t>Radiocarbon dating, calibration and sequencing</t>
        </is>
      </c>
      <c r="Z160" s="9" t="n"/>
      <c r="AA160" s="9" t="n"/>
      <c r="AB160" s="9" t="n"/>
      <c r="AC160" s="9" t="n"/>
      <c r="AD160" s="9" t="n"/>
      <c r="AE160" s="10" t="inlineStr">
        <is>
          <t>https://archive.org/details/github.com-demjanp-clustering_14C_-_2020-09-10_17-32-20</t>
        </is>
      </c>
      <c r="AF160" s="9" t="n"/>
      <c r="AG160" s="9" t="n"/>
    </row>
    <row r="161">
      <c r="A161" s="9" t="inlineStr">
        <is>
          <t>CoccionCeramica</t>
        </is>
      </c>
      <c r="B161" s="9" t="inlineStr">
        <is>
          <t>An application to generate temperature curves during pottery firing.</t>
        </is>
      </c>
      <c r="C161" s="10" t="inlineStr">
        <is>
          <t>https://github.com/marcelocardillo/CoccionCeramica</t>
        </is>
      </c>
      <c r="D161" s="9" t="n"/>
      <c r="E161" s="9" t="n"/>
      <c r="F161" s="9" t="n"/>
      <c r="G161" s="9" t="n"/>
      <c r="H161" s="9" t="n"/>
      <c r="I161" s="9" t="n"/>
      <c r="J161" s="9" t="n"/>
      <c r="K161" s="9" t="n"/>
      <c r="L161" s="9" t="n"/>
      <c r="M161" s="9" t="n"/>
      <c r="N161" s="9" t="n"/>
      <c r="O161" s="9" t="n"/>
      <c r="P161" s="9" t="n"/>
      <c r="Q161" s="9" t="inlineStr">
        <is>
          <t>marcelocardillo</t>
        </is>
      </c>
      <c r="R161" s="9" t="n"/>
      <c r="S161" s="9" t="n"/>
      <c r="T161" s="9" t="n"/>
      <c r="U161" s="9" t="n"/>
      <c r="V161" s="9" t="n"/>
      <c r="W161" s="9" t="inlineStr">
        <is>
          <t>Packages and libraries</t>
        </is>
      </c>
      <c r="X161" s="9" t="inlineStr">
        <is>
          <t>Python</t>
        </is>
      </c>
      <c r="Y161" s="9" t="inlineStr">
        <is>
          <t>Ceramic analysis</t>
        </is>
      </c>
      <c r="Z161" s="9" t="n"/>
      <c r="AA161" s="9" t="n"/>
      <c r="AB161" s="9" t="n"/>
      <c r="AC161" s="9" t="n"/>
      <c r="AD161" s="9" t="n"/>
      <c r="AE161" s="9" t="n"/>
      <c r="AF161" s="9" t="n"/>
      <c r="AG161" s="9" t="n"/>
    </row>
    <row r="162">
      <c r="A162" s="9" t="inlineStr">
        <is>
          <t>coffee</t>
        </is>
      </c>
      <c r="B162" s="9" t="inlineStr">
        <is>
          <t>Uses Bayesian methods to enforce the chronological ordering of radiocarbon and other dates.</t>
        </is>
      </c>
      <c r="C162" s="10" t="inlineStr">
        <is>
          <t>https://github.com/Maarten14C/coffee</t>
        </is>
      </c>
      <c r="D162" s="9" t="n"/>
      <c r="E162" s="9" t="n"/>
      <c r="F162" s="9" t="n"/>
      <c r="G162" s="9" t="n"/>
      <c r="H162" s="9" t="n"/>
      <c r="I162" s="9" t="n"/>
      <c r="J162" s="9" t="n"/>
      <c r="K162" s="9" t="n"/>
      <c r="L162" s="9" t="n"/>
      <c r="M162" s="9" t="n"/>
      <c r="N162" s="9" t="n"/>
      <c r="O162" s="9" t="n"/>
      <c r="P162" s="9" t="n"/>
      <c r="Q162" s="9" t="inlineStr">
        <is>
          <t>Maarten14C</t>
        </is>
      </c>
      <c r="R162" s="9" t="n"/>
      <c r="S162" s="9" t="n"/>
      <c r="T162" s="9" t="n"/>
      <c r="U162" s="9" t="n"/>
      <c r="V162" s="9" t="n"/>
      <c r="W162" s="9" t="inlineStr">
        <is>
          <t>Packages and libraries</t>
        </is>
      </c>
      <c r="X162" s="9" t="inlineStr">
        <is>
          <t>R</t>
        </is>
      </c>
      <c r="Y162" s="9" t="inlineStr">
        <is>
          <t>Chronological modelling</t>
        </is>
      </c>
      <c r="Z162" s="9" t="inlineStr">
        <is>
          <t>Radiocarbon dating, calibration and sequencing</t>
        </is>
      </c>
      <c r="AA162" s="9" t="n"/>
      <c r="AB162" s="9" t="n"/>
      <c r="AC162" s="9" t="n"/>
      <c r="AD162" s="9" t="n"/>
      <c r="AE162" s="9" t="n"/>
      <c r="AF162" s="9" t="n"/>
      <c r="AG162" s="9" t="n"/>
    </row>
    <row r="163">
      <c r="A163" s="9" t="inlineStr">
        <is>
          <t>Corallium Fabrica</t>
        </is>
      </c>
      <c r="B163" s="9" t="inlineStr">
        <is>
          <t>Set of 3D models of coral skeletons, which may be used as a reference collection.</t>
        </is>
      </c>
      <c r="C163" s="9" t="n"/>
      <c r="D163" s="9" t="n"/>
      <c r="E163" s="9" t="n"/>
      <c r="F163" s="9" t="n"/>
      <c r="G163" s="9" t="n"/>
      <c r="H163" s="9" t="n"/>
      <c r="I163" s="9" t="n"/>
      <c r="J163" s="9" t="n"/>
      <c r="K163" s="9" t="n"/>
      <c r="L163" s="9" t="n"/>
      <c r="M163" s="9" t="n"/>
      <c r="N163" s="10" t="inlineStr">
        <is>
          <t>https://corallumfabrica.laas.fr/</t>
        </is>
      </c>
      <c r="O163" s="9" t="n"/>
      <c r="P163" s="9" t="n"/>
      <c r="Q163" s="9" t="inlineStr">
        <is>
          <t>Elise Rigot</t>
        </is>
      </c>
      <c r="R163" s="9" t="n"/>
      <c r="S163" s="9" t="n"/>
      <c r="T163" s="9" t="n"/>
      <c r="U163" s="9" t="n"/>
      <c r="V163" s="9" t="n"/>
      <c r="W163" s="9" t="inlineStr">
        <is>
          <t>Lists and datasets</t>
        </is>
      </c>
      <c r="X163" s="9" t="n"/>
      <c r="Y163" s="9" t="inlineStr">
        <is>
          <t>3D modelling</t>
        </is>
      </c>
      <c r="Z163" s="9" t="inlineStr">
        <is>
          <t>Datasets</t>
        </is>
      </c>
      <c r="AA163" s="9" t="n"/>
      <c r="AB163" s="9" t="n"/>
      <c r="AC163" s="9" t="n"/>
      <c r="AD163" s="9" t="n"/>
      <c r="AE163" s="9" t="n"/>
      <c r="AF163" s="9" t="n"/>
      <c r="AG163" s="9" t="n"/>
    </row>
    <row r="164">
      <c r="A164" s="9" t="inlineStr">
        <is>
          <t>cran-JSDNE</t>
        </is>
      </c>
      <c r="B164" s="9" t="inlineStr">
        <is>
          <t>JSDNE is an age estimation methods with 3D reconstructed auricular surface.</t>
        </is>
      </c>
      <c r="C164" s="10" t="inlineStr">
        <is>
          <t>https://github.com/jisunjang19/cran-JSDNE</t>
        </is>
      </c>
      <c r="D164" s="9" t="n"/>
      <c r="E164" s="9" t="n"/>
      <c r="F164" s="9" t="n"/>
      <c r="G164" s="9" t="n"/>
      <c r="H164" s="9" t="n"/>
      <c r="I164" s="9" t="n"/>
      <c r="J164" s="9" t="n"/>
      <c r="K164" s="10" t="inlineStr">
        <is>
          <t>https://cran.r-project.org/package=JSDNE</t>
        </is>
      </c>
      <c r="L164" s="9" t="n"/>
      <c r="M164" s="9" t="n"/>
      <c r="N164" s="9" t="n"/>
      <c r="O164" s="10" t="inlineStr">
        <is>
          <t>https://doi.org/10.1016/j.jas.2024.106080</t>
        </is>
      </c>
      <c r="P164" s="9" t="n"/>
      <c r="Q164" s="9" t="inlineStr">
        <is>
          <t>jisunjang19</t>
        </is>
      </c>
      <c r="R164" s="9" t="n"/>
      <c r="S164" s="9" t="n"/>
      <c r="T164" s="9" t="n"/>
      <c r="U164" s="9" t="n"/>
      <c r="V164" s="9" t="n"/>
      <c r="W164" s="9" t="inlineStr">
        <is>
          <t>Packages and libraries</t>
        </is>
      </c>
      <c r="X164" s="9" t="inlineStr">
        <is>
          <t>R</t>
        </is>
      </c>
      <c r="Y164" s="9" t="inlineStr">
        <is>
          <t>Artefact morphology</t>
        </is>
      </c>
      <c r="Z164" s="9" t="n"/>
      <c r="AA164" s="9" t="n"/>
      <c r="AB164" s="9" t="n"/>
      <c r="AC164" s="9" t="n"/>
      <c r="AD164" s="9" t="n"/>
      <c r="AE164" s="9" t="n"/>
      <c r="AF164" s="9" t="n"/>
      <c r="AG164" s="9" t="n"/>
    </row>
    <row r="165">
      <c r="A165" s="9" t="inlineStr">
        <is>
          <t>cranial-sex-estimation-code</t>
        </is>
      </c>
      <c r="B165" s="9" t="inlineStr">
        <is>
          <t>Data analysis implementation for evaluating a novel sex estimation method based on skullanalyzer data.</t>
        </is>
      </c>
      <c r="C165" s="10" t="inlineStr">
        <is>
          <t>https://github.com/pr0m1th3as/cranial-sex-estimation-code</t>
        </is>
      </c>
      <c r="D165" s="9" t="n"/>
      <c r="E165" s="9" t="n"/>
      <c r="F165" s="9" t="n"/>
      <c r="G165" s="9" t="n"/>
      <c r="H165" s="9" t="n"/>
      <c r="I165" s="9" t="n"/>
      <c r="J165" s="9" t="n"/>
      <c r="K165" s="9" t="n"/>
      <c r="L165" s="9" t="n"/>
      <c r="M165" s="9" t="n"/>
      <c r="N165" s="9" t="n"/>
      <c r="O165" s="9" t="n"/>
      <c r="P165" s="9" t="n"/>
      <c r="Q165" s="9" t="inlineStr">
        <is>
          <t>pr0m1th3as</t>
        </is>
      </c>
      <c r="R165" s="9" t="n"/>
      <c r="S165" s="9" t="n"/>
      <c r="T165" s="9" t="n"/>
      <c r="U165" s="9" t="n"/>
      <c r="V165" s="9" t="n"/>
      <c r="W165" s="9" t="inlineStr">
        <is>
          <t>Scripts</t>
        </is>
      </c>
      <c r="X165" s="9" t="inlineStr">
        <is>
          <t>MATLAB</t>
        </is>
      </c>
      <c r="Y165" s="9" t="inlineStr">
        <is>
          <t>Biological anthropology</t>
        </is>
      </c>
      <c r="Z165" s="9" t="inlineStr">
        <is>
          <t>Zooarchaeology</t>
        </is>
      </c>
      <c r="AA165" s="9" t="n"/>
      <c r="AB165" s="9" t="n"/>
      <c r="AC165" s="9" t="n"/>
      <c r="AD165" s="9" t="n"/>
      <c r="AE165" s="10" t="inlineStr">
        <is>
          <t>https://archive.org/details/github.com-pr0m1th3as-cranial-sex-estimation-code_-_2020-01-31_08-05-24</t>
        </is>
      </c>
      <c r="AF165" s="9" t="n"/>
      <c r="AG165" s="9" t="n"/>
    </row>
    <row r="166">
      <c r="A166" s="9" t="inlineStr">
        <is>
          <t>crom</t>
        </is>
      </c>
      <c r="B166" s="9" t="inlineStr">
        <is>
          <t>Python library to make creation of CIDOC CRM easier by mapping classes/predicates to python objects.</t>
        </is>
      </c>
      <c r="C166" s="10" t="inlineStr">
        <is>
          <t>https://github.com/thegetty/crom</t>
        </is>
      </c>
      <c r="D166" s="9" t="n"/>
      <c r="E166" s="9" t="n"/>
      <c r="F166" s="9" t="n"/>
      <c r="G166" s="9" t="n"/>
      <c r="H166" s="9" t="n"/>
      <c r="I166" s="9" t="n"/>
      <c r="J166" s="9" t="n"/>
      <c r="K166" s="9" t="n"/>
      <c r="L166" s="9" t="n"/>
      <c r="M166" s="9" t="n"/>
      <c r="N166" s="9" t="n"/>
      <c r="O166" s="9" t="n"/>
      <c r="P166" s="9" t="n"/>
      <c r="Q166" s="9" t="inlineStr">
        <is>
          <t>thegetty</t>
        </is>
      </c>
      <c r="R166" s="9" t="n"/>
      <c r="S166" s="9" t="n"/>
      <c r="T166" s="9" t="n"/>
      <c r="U166" s="9" t="n"/>
      <c r="V166" s="9" t="n"/>
      <c r="W166" s="9" t="inlineStr">
        <is>
          <t>Packages and libraries</t>
        </is>
      </c>
      <c r="X166" s="9" t="inlineStr">
        <is>
          <t>Python</t>
        </is>
      </c>
      <c r="Y166" s="9" t="inlineStr">
        <is>
          <t>Schemas and ontologies</t>
        </is>
      </c>
      <c r="Z166" s="9" t="n"/>
      <c r="AA166" s="9" t="n"/>
      <c r="AB166" s="9" t="n"/>
      <c r="AC166" s="9" t="n"/>
      <c r="AD166" s="9" t="n"/>
      <c r="AE166" s="9" t="n"/>
      <c r="AF166" s="9" t="n"/>
      <c r="AG166" s="9" t="n"/>
    </row>
    <row r="167">
      <c r="A167" s="9" t="inlineStr">
        <is>
          <t>Crop_Origins_Phylo</t>
        </is>
      </c>
      <c r="B167" s="9" t="inlineStr">
        <is>
          <t>Repository of Crop Origins database and Phylo Food phylogeny.</t>
        </is>
      </c>
      <c r="C167" s="10" t="inlineStr">
        <is>
          <t>https://github.com/rubenmilla/Crop_Origins_Phylo</t>
        </is>
      </c>
      <c r="D167" s="9" t="n"/>
      <c r="E167" s="9" t="n"/>
      <c r="F167" s="9" t="n"/>
      <c r="G167" s="9" t="n"/>
      <c r="H167" s="9" t="n"/>
      <c r="I167" s="9" t="n"/>
      <c r="J167" s="9" t="n"/>
      <c r="K167" s="9" t="n"/>
      <c r="L167" s="9" t="n"/>
      <c r="M167" s="9" t="n"/>
      <c r="N167" s="9" t="n"/>
      <c r="O167" s="9" t="n"/>
      <c r="P167" s="9" t="n"/>
      <c r="Q167" s="9" t="inlineStr">
        <is>
          <t>rubenmilla</t>
        </is>
      </c>
      <c r="R167" s="9" t="n"/>
      <c r="S167" s="9" t="n"/>
      <c r="T167" s="9" t="n"/>
      <c r="U167" s="9" t="n"/>
      <c r="V167" s="9" t="n"/>
      <c r="W167" s="9" t="inlineStr">
        <is>
          <t>Lists and datasets</t>
        </is>
      </c>
      <c r="X167" s="9" t="n"/>
      <c r="Y167" s="9" t="inlineStr">
        <is>
          <t>Palaeobotany</t>
        </is>
      </c>
      <c r="Z167" s="9" t="n"/>
      <c r="AA167" s="9" t="n"/>
      <c r="AB167" s="9" t="n"/>
      <c r="AC167" s="9" t="n"/>
      <c r="AD167" s="9" t="n"/>
      <c r="AE167" s="10" t="inlineStr">
        <is>
          <t>https://archive.org/details/github.com-rubenmilla-Crop_Origins_Phylo_-_2021-03-02_17-30-56</t>
        </is>
      </c>
      <c r="AF167" s="9" t="n"/>
      <c r="AG167" s="9" t="n"/>
    </row>
    <row r="168">
      <c r="A168" s="9" t="inlineStr">
        <is>
          <t>CropPro</t>
        </is>
      </c>
      <c r="B168" s="9" t="inlineStr">
        <is>
          <t>Data organisation, classification and visualisation of archaeobotanical data to understand crop processing stage.</t>
        </is>
      </c>
      <c r="C168" s="10" t="inlineStr">
        <is>
          <t>https://github.com/CropPro-package/CropPro</t>
        </is>
      </c>
      <c r="D168" s="9" t="n"/>
      <c r="E168" s="9" t="n"/>
      <c r="F168" s="9" t="n"/>
      <c r="G168" s="9" t="n"/>
      <c r="H168" s="9" t="n"/>
      <c r="I168" s="9" t="n"/>
      <c r="J168" s="9" t="n"/>
      <c r="K168" s="9" t="n"/>
      <c r="L168" s="9" t="n"/>
      <c r="M168" s="9" t="n"/>
      <c r="N168" s="9" t="n"/>
      <c r="O168" s="9" t="n"/>
      <c r="P168" s="9" t="n"/>
      <c r="Q168" s="9" t="inlineStr">
        <is>
          <t>CropPro-package</t>
        </is>
      </c>
      <c r="R168" s="9" t="n"/>
      <c r="S168" s="9" t="n"/>
      <c r="T168" s="9" t="n"/>
      <c r="U168" s="9" t="n"/>
      <c r="V168" s="9" t="n"/>
      <c r="W168" s="9" t="inlineStr">
        <is>
          <t>Packages and libraries</t>
        </is>
      </c>
      <c r="X168" s="9" t="inlineStr">
        <is>
          <t>R</t>
        </is>
      </c>
      <c r="Y168" s="9" t="inlineStr">
        <is>
          <t>Palaeobotany</t>
        </is>
      </c>
      <c r="Z168" s="9" t="inlineStr">
        <is>
          <t>Data management</t>
        </is>
      </c>
      <c r="AA168" s="9" t="n"/>
      <c r="AB168" s="9" t="n"/>
      <c r="AC168" s="9" t="n"/>
      <c r="AD168" s="9" t="n"/>
      <c r="AE168" s="9" t="n"/>
      <c r="AF168" s="9" t="n"/>
      <c r="AG168" s="9" t="n"/>
    </row>
    <row r="169">
      <c r="A169" s="9" t="inlineStr">
        <is>
          <t>Crossbones</t>
        </is>
      </c>
      <c r="B169" s="9" t="inlineStr">
        <is>
          <t>Crossbones autogenerates 3D schematic skeletons, making rapid surveying and visualisation of dense skeletal assemblages a snap.</t>
        </is>
      </c>
      <c r="C169" s="9" t="n"/>
      <c r="D169" s="9" t="n"/>
      <c r="E169" s="9" t="n"/>
      <c r="F169" s="9" t="n"/>
      <c r="G169" s="9" t="n"/>
      <c r="H169" s="9" t="n"/>
      <c r="I169" s="9" t="n"/>
      <c r="J169" s="9" t="n"/>
      <c r="K169" s="9" t="n"/>
      <c r="L169" s="9" t="n"/>
      <c r="M169" s="9" t="n"/>
      <c r="N169" s="10" t="inlineStr">
        <is>
          <t>http://oadigital.net/software/xbones.html</t>
        </is>
      </c>
      <c r="O169" s="9" t="n"/>
      <c r="P169" s="9" t="n"/>
      <c r="Q169" s="9" t="inlineStr">
        <is>
          <t>Leif Isaksen</t>
        </is>
      </c>
      <c r="R169" s="9" t="n"/>
      <c r="S169" s="9" t="n"/>
      <c r="T169" s="9" t="n"/>
      <c r="U169" s="9" t="n"/>
      <c r="V169" s="9" t="n"/>
      <c r="W169" s="9" t="inlineStr">
        <is>
          <t>Standalone software</t>
        </is>
      </c>
      <c r="X169" s="9" t="n"/>
      <c r="Y169" s="9" t="inlineStr">
        <is>
          <t>Zooarchaeology</t>
        </is>
      </c>
      <c r="Z169" s="9" t="n"/>
      <c r="AA169" s="9" t="n"/>
      <c r="AB169" s="9" t="n"/>
      <c r="AC169" s="9" t="n"/>
      <c r="AD169" s="9" t="n"/>
      <c r="AE169" s="9" t="n"/>
      <c r="AF169" s="9" t="n"/>
      <c r="AG169" s="9" t="n"/>
    </row>
    <row r="170">
      <c r="A170" s="9" t="inlineStr">
        <is>
          <t>CSGR</t>
        </is>
      </c>
      <c r="B170" s="9" t="inlineStr">
        <is>
          <t>Extracts and calculates from long bone cross sections, cortical thickness maps, and biomechanically pertinent cross-sectional geometric properties.</t>
        </is>
      </c>
      <c r="C170" s="10" t="inlineStr">
        <is>
          <t>https://github.com/Arothron/CSGR</t>
        </is>
      </c>
      <c r="D170" s="9" t="n"/>
      <c r="E170" s="9" t="n"/>
      <c r="F170" s="9" t="n"/>
      <c r="G170" s="9" t="n"/>
      <c r="H170" s="9" t="n"/>
      <c r="I170" s="9" t="n"/>
      <c r="J170" s="9" t="n"/>
      <c r="K170" s="9" t="n"/>
      <c r="L170" s="9" t="n"/>
      <c r="M170" s="9" t="n"/>
      <c r="N170" s="9" t="n"/>
      <c r="O170" s="9" t="n"/>
      <c r="P170" s="9" t="n"/>
      <c r="Q170" s="9" t="inlineStr">
        <is>
          <t>Arothron</t>
        </is>
      </c>
      <c r="R170" s="9" t="n"/>
      <c r="S170" s="9" t="n"/>
      <c r="T170" s="9" t="n"/>
      <c r="U170" s="9" t="n"/>
      <c r="V170" s="9" t="n"/>
      <c r="W170" s="9" t="inlineStr">
        <is>
          <t>Scripts</t>
        </is>
      </c>
      <c r="X170" s="9" t="inlineStr">
        <is>
          <t>R</t>
        </is>
      </c>
      <c r="Y170" s="9" t="inlineStr">
        <is>
          <t>Biological anthropology</t>
        </is>
      </c>
      <c r="Z170" s="9" t="inlineStr">
        <is>
          <t>Zooarchaeology</t>
        </is>
      </c>
      <c r="AA170" s="9" t="inlineStr">
        <is>
          <t>Shape recognition</t>
        </is>
      </c>
      <c r="AB170" s="9" t="inlineStr">
        <is>
          <t>3D modelling</t>
        </is>
      </c>
      <c r="AC170" s="9" t="n"/>
      <c r="AD170" s="9" t="n"/>
      <c r="AE170" s="10" t="inlineStr">
        <is>
          <t>https://archive.org/details/github.com-Arothron-CSGR_-_2018-09-12_11-05-11</t>
        </is>
      </c>
      <c r="AF170" s="9" t="n"/>
      <c r="AG170" s="9" t="n"/>
    </row>
    <row r="171">
      <c r="A171" s="9" t="inlineStr">
        <is>
          <t>cTransmission</t>
        </is>
      </c>
      <c r="B171" s="9" t="inlineStr">
        <is>
          <t>An Approximate Bayesian Computation Framework for inferring patterns of cultural transmission from frequency data.</t>
        </is>
      </c>
      <c r="C171" s="10" t="inlineStr">
        <is>
          <t>https://github.com/ercrema/cTransmission</t>
        </is>
      </c>
      <c r="D171" s="9" t="n"/>
      <c r="E171" s="9" t="n"/>
      <c r="F171" s="9" t="n"/>
      <c r="G171" s="9" t="n"/>
      <c r="H171" s="9" t="n"/>
      <c r="I171" s="9" t="n"/>
      <c r="J171" s="9" t="n"/>
      <c r="K171" s="9" t="n"/>
      <c r="L171" s="9" t="n"/>
      <c r="M171" s="9" t="n"/>
      <c r="N171" s="9" t="n"/>
      <c r="O171" s="9" t="n"/>
      <c r="P171" s="9" t="n"/>
      <c r="Q171" s="9" t="inlineStr">
        <is>
          <t>ercrema</t>
        </is>
      </c>
      <c r="R171" s="9" t="inlineStr">
        <is>
          <t>Anne Kandler</t>
        </is>
      </c>
      <c r="S171" s="9" t="n"/>
      <c r="T171" s="9" t="n"/>
      <c r="U171" s="9" t="n"/>
      <c r="V171" s="9" t="n"/>
      <c r="W171" s="9" t="inlineStr">
        <is>
          <t>Packages and libraries</t>
        </is>
      </c>
      <c r="X171" s="9" t="inlineStr">
        <is>
          <t>R</t>
        </is>
      </c>
      <c r="Y171" s="9" t="inlineStr">
        <is>
          <t>Statistical analysis</t>
        </is>
      </c>
      <c r="Z171" s="9" t="inlineStr">
        <is>
          <t>Cultural evolution</t>
        </is>
      </c>
      <c r="AA171" s="9" t="n"/>
      <c r="AB171" s="9" t="n"/>
      <c r="AC171" s="9" t="n"/>
      <c r="AD171" s="9" t="n"/>
      <c r="AE171" s="10" t="inlineStr">
        <is>
          <t>https://archive.org/details/github.com-ercrema-cTransmission_-_2020-05-14_17-43-37</t>
        </is>
      </c>
      <c r="AF171" s="9" t="n"/>
      <c r="AG171" s="9" t="n"/>
    </row>
    <row r="172">
      <c r="A172" s="9" t="inlineStr">
        <is>
          <t>ctv-archaeology</t>
        </is>
      </c>
      <c r="B172" s="9" t="inlineStr">
        <is>
          <t>This CRAN Task View contains a list of packages useful for scientific work in Archaeology.</t>
        </is>
      </c>
      <c r="C172" s="10" t="inlineStr">
        <is>
          <t>https://github.com/benmarwick/ctv-archaeology</t>
        </is>
      </c>
      <c r="D172" s="9" t="n"/>
      <c r="E172" s="9" t="n"/>
      <c r="F172" s="9" t="n"/>
      <c r="G172" s="9" t="n"/>
      <c r="H172" s="9" t="n"/>
      <c r="I172" s="9" t="n"/>
      <c r="J172" s="9" t="n"/>
      <c r="K172" s="9" t="n"/>
      <c r="L172" s="9" t="n"/>
      <c r="M172" s="9" t="n"/>
      <c r="N172" s="9" t="n"/>
      <c r="O172" s="9" t="n"/>
      <c r="P172" s="9" t="n"/>
      <c r="Q172" s="9" t="inlineStr">
        <is>
          <t>benmarwick</t>
        </is>
      </c>
      <c r="R172" s="9" t="n"/>
      <c r="S172" s="9" t="n"/>
      <c r="T172" s="9" t="n"/>
      <c r="U172" s="9" t="n"/>
      <c r="V172" s="9" t="n"/>
      <c r="W172" s="9" t="inlineStr">
        <is>
          <t>Lists and datasets</t>
        </is>
      </c>
      <c r="X172" s="9" t="n"/>
      <c r="Y172" s="9" t="inlineStr">
        <is>
          <t>Lists</t>
        </is>
      </c>
      <c r="Z172" s="9" t="n"/>
      <c r="AA172" s="9" t="n"/>
      <c r="AB172" s="9" t="n"/>
      <c r="AC172" s="9" t="n"/>
      <c r="AD172" s="9" t="n"/>
      <c r="AE172" s="10" t="inlineStr">
        <is>
          <t>https://archive.org/details/github.com-benmarwick-ctv-archaeology_-_2021-02-01_07-08-47</t>
        </is>
      </c>
      <c r="AF172" s="9" t="n"/>
      <c r="AG172" s="9" t="n"/>
    </row>
    <row r="173">
      <c r="A173" s="9" t="inlineStr">
        <is>
          <t>CuneiPainter</t>
        </is>
      </c>
      <c r="B173" s="9" t="inlineStr">
        <is>
          <t>An App to recognize cuneiform characters on your Android phone.</t>
        </is>
      </c>
      <c r="C173" s="10" t="inlineStr">
        <is>
          <t>https://github.com/situx/CuneiPainter</t>
        </is>
      </c>
      <c r="D173" s="9" t="n"/>
      <c r="E173" s="9" t="n"/>
      <c r="F173" s="9" t="n"/>
      <c r="G173" s="9" t="n"/>
      <c r="H173" s="9" t="n"/>
      <c r="I173" s="9" t="n"/>
      <c r="J173" s="9" t="n"/>
      <c r="K173" s="9" t="n"/>
      <c r="L173" s="9" t="n"/>
      <c r="M173" s="9" t="n"/>
      <c r="N173" s="10" t="inlineStr">
        <is>
          <t>https://situx.github.io/CuneiPainter/</t>
        </is>
      </c>
      <c r="O173" s="9" t="n"/>
      <c r="P173" s="9" t="n"/>
      <c r="Q173" s="9" t="inlineStr">
        <is>
          <t>situx</t>
        </is>
      </c>
      <c r="R173" s="9" t="n"/>
      <c r="S173" s="9" t="n"/>
      <c r="T173" s="9" t="n"/>
      <c r="U173" s="9" t="n"/>
      <c r="V173" s="9" t="n"/>
      <c r="W173" s="9" t="inlineStr">
        <is>
          <t>Packages and libraries</t>
        </is>
      </c>
      <c r="X173" s="9" t="inlineStr">
        <is>
          <t>Mobile app</t>
        </is>
      </c>
      <c r="Y173" s="9" t="inlineStr">
        <is>
          <t>Shape recognition</t>
        </is>
      </c>
      <c r="Z173" s="9" t="n"/>
      <c r="AA173" s="9" t="n"/>
      <c r="AB173" s="9" t="n"/>
      <c r="AC173" s="9" t="n"/>
      <c r="AD173" s="9" t="n"/>
      <c r="AE173" s="10" t="inlineStr">
        <is>
          <t>https://archive.org/details/github.com-situx-CuneiPainter_-_2020-10-06_14-40-31</t>
        </is>
      </c>
      <c r="AF173" s="9" t="n"/>
      <c r="AG173" s="9" t="n"/>
    </row>
    <row r="174">
      <c r="A174" s="9" t="inlineStr">
        <is>
          <t>currycarbon</t>
        </is>
      </c>
      <c r="B174" s="9" t="inlineStr">
        <is>
          <t>App to run C14 calibration on the command line. Includes and is based on a calibration module written in and for Haskell.</t>
        </is>
      </c>
      <c r="C174" s="10" t="inlineStr">
        <is>
          <t>https://github.com/nevrome/currycarbon</t>
        </is>
      </c>
      <c r="D174" s="9" t="n"/>
      <c r="E174" s="9" t="n"/>
      <c r="F174" s="9" t="n"/>
      <c r="G174" s="9" t="n"/>
      <c r="H174" s="9" t="n"/>
      <c r="I174" s="9" t="n"/>
      <c r="J174" s="9" t="n"/>
      <c r="K174" s="9" t="n"/>
      <c r="L174" s="9" t="n"/>
      <c r="M174" s="9" t="n"/>
      <c r="N174" s="9" t="n"/>
      <c r="O174" s="9" t="n"/>
      <c r="P174" s="9" t="n"/>
      <c r="Q174" s="9" t="inlineStr">
        <is>
          <t>nevrome</t>
        </is>
      </c>
      <c r="R174" s="9" t="n"/>
      <c r="S174" s="9" t="n"/>
      <c r="T174" s="9" t="n"/>
      <c r="U174" s="9" t="n"/>
      <c r="V174" s="9" t="n"/>
      <c r="W174" s="9" t="inlineStr">
        <is>
          <t>Standalone software</t>
        </is>
      </c>
      <c r="X174" s="9" t="n"/>
      <c r="Y174" s="9" t="inlineStr">
        <is>
          <t>Radiocarbon dating, calibration and sequencing</t>
        </is>
      </c>
      <c r="Z174" s="9" t="inlineStr">
        <is>
          <t>Chronological modelling</t>
        </is>
      </c>
      <c r="AA174" s="9" t="n"/>
      <c r="AB174" s="9" t="n"/>
      <c r="AC174" s="9" t="n"/>
      <c r="AD174" s="9" t="n"/>
      <c r="AE174" s="9" t="n"/>
      <c r="AF174" s="9" t="n"/>
      <c r="AG174" s="9" t="n"/>
    </row>
    <row r="175">
      <c r="A175" s="9" t="inlineStr">
        <is>
          <t>Curso_Intro_R_Arqueologia</t>
        </is>
      </c>
      <c r="B175" s="9" t="inlineStr">
        <is>
          <t>Introductory course to R for archaeologists (Spanish).</t>
        </is>
      </c>
      <c r="C175" s="10" t="inlineStr">
        <is>
          <t>https://github.com/Mcotsar/Curso_Intro_R_Arqueologia</t>
        </is>
      </c>
      <c r="D175" s="9" t="n"/>
      <c r="E175" s="9" t="n"/>
      <c r="F175" s="9" t="n"/>
      <c r="G175" s="9" t="n"/>
      <c r="H175" s="9" t="n"/>
      <c r="I175" s="9" t="n"/>
      <c r="J175" s="9" t="n"/>
      <c r="K175" s="9" t="n"/>
      <c r="L175" s="9" t="n"/>
      <c r="M175" s="9" t="n"/>
      <c r="N175" s="9" t="n"/>
      <c r="O175" s="9" t="n"/>
      <c r="P175" s="9" t="n"/>
      <c r="Q175" s="9" t="inlineStr">
        <is>
          <t>Mcotsar</t>
        </is>
      </c>
      <c r="R175" s="9" t="n"/>
      <c r="S175" s="9" t="n"/>
      <c r="T175" s="9" t="n"/>
      <c r="U175" s="9" t="n"/>
      <c r="V175" s="9" t="n"/>
      <c r="W175" s="9" t="inlineStr">
        <is>
          <t>Guides</t>
        </is>
      </c>
      <c r="X175" s="9" t="n"/>
      <c r="Y175" s="9" t="inlineStr">
        <is>
          <t>Educational resources and practical guides</t>
        </is>
      </c>
      <c r="Z175" s="9" t="n"/>
      <c r="AA175" s="9" t="n"/>
      <c r="AB175" s="9" t="n"/>
      <c r="AC175" s="9" t="n"/>
      <c r="AD175" s="9" t="n"/>
      <c r="AE175" s="9" t="n"/>
      <c r="AF175" s="9" t="n"/>
      <c r="AG175" s="9" t="n"/>
    </row>
    <row r="176">
      <c r="A176" s="9" t="inlineStr">
        <is>
          <t>DACORD</t>
        </is>
      </c>
      <c r="B176" s="9" t="inlineStr">
        <is>
          <t>Computer-Assisted Drawing of Archaeological Pottery.</t>
        </is>
      </c>
      <c r="C176" s="10" t="inlineStr">
        <is>
          <t>https://github.com/jwilczek-dotcom/DACORD</t>
        </is>
      </c>
      <c r="D176" s="9" t="n"/>
      <c r="E176" s="9" t="n"/>
      <c r="F176" s="9" t="n"/>
      <c r="G176" s="9" t="n"/>
      <c r="H176" s="9" t="n"/>
      <c r="I176" s="9" t="n"/>
      <c r="J176" s="9" t="n"/>
      <c r="K176" s="9" t="n"/>
      <c r="L176" s="9" t="n"/>
      <c r="M176" s="9" t="n"/>
      <c r="N176" s="9" t="n"/>
      <c r="O176" s="9" t="n"/>
      <c r="P176" s="9" t="n"/>
      <c r="Q176" s="9" t="inlineStr">
        <is>
          <t>jwilczek-dotcom</t>
        </is>
      </c>
      <c r="R176" s="9" t="n"/>
      <c r="S176" s="9" t="n"/>
      <c r="T176" s="9" t="n"/>
      <c r="U176" s="9" t="n"/>
      <c r="V176" s="9" t="n"/>
      <c r="W176" s="9" t="inlineStr">
        <is>
          <t>Scripts</t>
        </is>
      </c>
      <c r="X176" s="9" t="inlineStr">
        <is>
          <t>R</t>
        </is>
      </c>
      <c r="Y176" s="9" t="inlineStr">
        <is>
          <t>Shape recognition</t>
        </is>
      </c>
      <c r="Z176" s="9" t="inlineStr">
        <is>
          <t>Artefact morphology</t>
        </is>
      </c>
      <c r="AA176" s="9" t="inlineStr">
        <is>
          <t>Ceramic analysis</t>
        </is>
      </c>
      <c r="AB176" s="9" t="n"/>
      <c r="AC176" s="9" t="n"/>
      <c r="AD176" s="9" t="n"/>
      <c r="AE176" s="9" t="n"/>
      <c r="AF176" s="9" t="n"/>
      <c r="AG176" s="9" t="n"/>
    </row>
    <row r="177">
      <c r="A177" s="9" t="inlineStr">
        <is>
          <t>datplot</t>
        </is>
      </c>
      <c r="B177" s="9" t="inlineStr">
        <is>
          <t>Converting date ranges into dating 'steps' eases the visualization of changes in e.g. pottery consumption, style and other variables over time. This package provides tools to process and prepare data for visualization.</t>
        </is>
      </c>
      <c r="C177" s="10" t="inlineStr">
        <is>
          <t>https://github.com/lsteinmann/datplot</t>
        </is>
      </c>
      <c r="D177" s="9" t="n"/>
      <c r="E177" s="9" t="n"/>
      <c r="F177" s="9" t="n"/>
      <c r="G177" s="9" t="n"/>
      <c r="H177" s="9" t="n"/>
      <c r="I177" s="9" t="n"/>
      <c r="J177" s="9" t="n"/>
      <c r="K177" s="9" t="n"/>
      <c r="L177" s="9" t="n"/>
      <c r="M177" s="9" t="n"/>
      <c r="N177" s="9" t="n"/>
      <c r="O177" s="9" t="n"/>
      <c r="P177" s="9" t="n"/>
      <c r="Q177" s="9" t="inlineStr">
        <is>
          <t>lsteinmann</t>
        </is>
      </c>
      <c r="R177" s="9" t="inlineStr">
        <is>
          <t>Barbora Weissova</t>
        </is>
      </c>
      <c r="S177" s="9" t="n"/>
      <c r="T177" s="9" t="n"/>
      <c r="U177" s="9" t="n"/>
      <c r="V177" s="9" t="n"/>
      <c r="W177" s="9" t="inlineStr">
        <is>
          <t>Packages and libraries</t>
        </is>
      </c>
      <c r="X177" s="9" t="inlineStr">
        <is>
          <t>R</t>
        </is>
      </c>
      <c r="Y177" s="9" t="inlineStr">
        <is>
          <t>Chronological modelling</t>
        </is>
      </c>
      <c r="Z177" s="9" t="n"/>
      <c r="AA177" s="9" t="n"/>
      <c r="AB177" s="9" t="n"/>
      <c r="AC177" s="9" t="n"/>
      <c r="AD177" s="9" t="n"/>
      <c r="AE177" s="10" t="inlineStr">
        <is>
          <t>https://archive.org/details/github.com-lsteinmann-datplot_-_2021-06-26_14-24-43</t>
        </is>
      </c>
      <c r="AF177" s="9" t="n"/>
      <c r="AG177" s="9" t="n"/>
    </row>
    <row r="178">
      <c r="A178" s="9" t="inlineStr">
        <is>
          <t>Day of Archaeology Archive</t>
        </is>
      </c>
      <c r="B178" s="9" t="inlineStr">
        <is>
          <t>Archive of content shared during the annual Day of Archaeology from 2011-2017.</t>
        </is>
      </c>
      <c r="C178" s="9" t="n"/>
      <c r="D178" s="9" t="n"/>
      <c r="E178" s="9" t="n"/>
      <c r="F178" s="9" t="n"/>
      <c r="G178" s="9" t="n"/>
      <c r="H178" s="9" t="n"/>
      <c r="I178" s="9" t="n"/>
      <c r="J178" s="10" t="inlineStr">
        <is>
          <t>https://archaeologydataservice.ac.uk/blog/2021/03/archiving-day-of-archaeology-2011-2017/</t>
        </is>
      </c>
      <c r="K178" s="9" t="n"/>
      <c r="L178" s="9" t="n"/>
      <c r="M178" s="9" t="n"/>
      <c r="N178" s="9" t="n"/>
      <c r="O178" s="9" t="n"/>
      <c r="P178" s="9" t="inlineStr">
        <is>
          <t>10.5284/1048331</t>
        </is>
      </c>
      <c r="Q178" s="9" t="inlineStr">
        <is>
          <t>Archaeology Data Service</t>
        </is>
      </c>
      <c r="R178" s="9" t="n"/>
      <c r="S178" s="9" t="n"/>
      <c r="T178" s="9" t="n"/>
      <c r="U178" s="9" t="n"/>
      <c r="V178" s="9" t="n"/>
      <c r="W178" s="9" t="inlineStr">
        <is>
          <t>Lists and datasets</t>
        </is>
      </c>
      <c r="X178" s="9" t="n"/>
      <c r="Y178" s="9" t="inlineStr">
        <is>
          <t>Public archaeology</t>
        </is>
      </c>
      <c r="Z178" s="9" t="n"/>
      <c r="AA178" s="9" t="n"/>
      <c r="AB178" s="9" t="n"/>
      <c r="AC178" s="9" t="n"/>
      <c r="AD178" s="9" t="n"/>
      <c r="AE178" s="9" t="n"/>
      <c r="AF178" s="9" t="n"/>
      <c r="AG178" s="9" t="n"/>
    </row>
    <row r="179">
      <c r="A179" s="9" t="inlineStr">
        <is>
          <t>dayofarchaeology</t>
        </is>
      </c>
      <c r="B179" s="9" t="inlineStr">
        <is>
          <t>A Distant Reading of the Day of Archaeology</t>
        </is>
      </c>
      <c r="C179" s="10" t="inlineStr">
        <is>
          <t>https://github.com/benmarwick/dayofarchaeology</t>
        </is>
      </c>
      <c r="D179" s="9" t="n"/>
      <c r="E179" s="9" t="n"/>
      <c r="F179" s="9" t="n"/>
      <c r="G179" s="9" t="n"/>
      <c r="H179" s="9" t="n"/>
      <c r="I179" s="9" t="n"/>
      <c r="J179" s="9" t="n"/>
      <c r="K179" s="9" t="n"/>
      <c r="L179" s="9" t="n"/>
      <c r="M179" s="9" t="n"/>
      <c r="N179" s="9" t="n"/>
      <c r="O179" s="9" t="n"/>
      <c r="P179" s="9" t="n"/>
      <c r="Q179" s="9" t="inlineStr">
        <is>
          <t>benmarwick</t>
        </is>
      </c>
      <c r="R179" s="9" t="n"/>
      <c r="S179" s="9" t="n"/>
      <c r="T179" s="9" t="n"/>
      <c r="U179" s="9" t="n"/>
      <c r="V179" s="9" t="n"/>
      <c r="W179" s="9" t="inlineStr">
        <is>
          <t>Products</t>
        </is>
      </c>
      <c r="X179" s="9" t="n"/>
      <c r="Y179" s="9" t="inlineStr">
        <is>
          <t>Public archaeology</t>
        </is>
      </c>
      <c r="Z179" s="9" t="n"/>
      <c r="AA179" s="9" t="n"/>
      <c r="AB179" s="9" t="n"/>
      <c r="AC179" s="9" t="n"/>
      <c r="AD179" s="9" t="n"/>
      <c r="AE179" s="10" t="inlineStr">
        <is>
          <t>https://archive.org/details/github.com-benmarwick-dayofarchaeology_-_2014-05-29_16-19-44</t>
        </is>
      </c>
      <c r="AF179" s="9" t="n"/>
      <c r="AG179" s="9" t="n"/>
    </row>
    <row r="180">
      <c r="A180" s="9" t="inlineStr">
        <is>
          <t>dayofarchaeology</t>
        </is>
      </c>
      <c r="B180" s="9" t="inlineStr">
        <is>
          <t>export of posts from dayofarchaeology.com</t>
        </is>
      </c>
      <c r="C180" s="10" t="inlineStr">
        <is>
          <t>https://github.com/drmattlaw/dayofarchaeology</t>
        </is>
      </c>
      <c r="D180" s="9" t="n"/>
      <c r="E180" s="9" t="n"/>
      <c r="F180" s="9" t="n"/>
      <c r="G180" s="9" t="n"/>
      <c r="H180" s="9" t="n"/>
      <c r="I180" s="9" t="n"/>
      <c r="J180" s="9" t="n"/>
      <c r="K180" s="9" t="n"/>
      <c r="L180" s="9" t="n"/>
      <c r="M180" s="9" t="n"/>
      <c r="N180" s="9" t="n"/>
      <c r="O180" s="9" t="n"/>
      <c r="P180" s="9" t="n"/>
      <c r="Q180" s="9" t="inlineStr">
        <is>
          <t>drmattlaw</t>
        </is>
      </c>
      <c r="R180" s="9" t="n"/>
      <c r="S180" s="9" t="n"/>
      <c r="T180" s="9" t="n"/>
      <c r="U180" s="9" t="n"/>
      <c r="V180" s="9" t="n"/>
      <c r="W180" s="9" t="inlineStr">
        <is>
          <t>Lists and datasets</t>
        </is>
      </c>
      <c r="X180" s="9" t="n"/>
      <c r="Y180" s="9" t="inlineStr">
        <is>
          <t>Public archaeology</t>
        </is>
      </c>
      <c r="Z180" s="9" t="n"/>
      <c r="AA180" s="9" t="n"/>
      <c r="AB180" s="9" t="n"/>
      <c r="AC180" s="9" t="n"/>
      <c r="AD180" s="9" t="n"/>
      <c r="AE180" s="10" t="inlineStr">
        <is>
          <t>https://archive.org/details/github.com-drmattlaw-dayofarchaeology_-_2018-09-20_19-17-11</t>
        </is>
      </c>
      <c r="AF180" s="9" t="n"/>
      <c r="AG180" s="9" t="n"/>
    </row>
    <row r="181">
      <c r="A181" s="9" t="inlineStr">
        <is>
          <t>dedalo</t>
        </is>
      </c>
      <c r="B181" s="9" t="inlineStr">
        <is>
          <t>Dedalo is a knowledge management system for Cultural Heritage (tangible and intangible), Natural Heritage and Oral History/Memory.</t>
        </is>
      </c>
      <c r="C181" s="10" t="inlineStr">
        <is>
          <t>https://github.com/renderpci/dedalo</t>
        </is>
      </c>
      <c r="D181" s="9" t="n"/>
      <c r="E181" s="9" t="n"/>
      <c r="F181" s="9" t="n"/>
      <c r="G181" s="9" t="n"/>
      <c r="H181" s="9" t="n"/>
      <c r="I181" s="9" t="n"/>
      <c r="J181" s="9" t="n"/>
      <c r="K181" s="9" t="n"/>
      <c r="L181" s="9" t="n"/>
      <c r="M181" s="9" t="n"/>
      <c r="N181" s="9" t="n"/>
      <c r="O181" s="9" t="n"/>
      <c r="P181" s="9" t="n"/>
      <c r="Q181" s="9" t="inlineStr">
        <is>
          <t>renderpci</t>
        </is>
      </c>
      <c r="R181" s="9" t="n"/>
      <c r="S181" s="9" t="n"/>
      <c r="T181" s="9" t="n"/>
      <c r="U181" s="9" t="n"/>
      <c r="V181" s="9" t="n"/>
      <c r="W181" s="9" t="inlineStr">
        <is>
          <t>Standalone software</t>
        </is>
      </c>
      <c r="X181" s="9" t="n"/>
      <c r="Y181" s="9" t="inlineStr">
        <is>
          <t>Data management</t>
        </is>
      </c>
      <c r="Z181" s="9" t="n"/>
      <c r="AA181" s="9" t="n"/>
      <c r="AB181" s="9" t="n"/>
      <c r="AC181" s="9" t="n"/>
      <c r="AD181" s="9" t="n"/>
      <c r="AE181" s="10" t="inlineStr">
        <is>
          <t>https://archive.org/details/github.com-renderpci-dedalo_-_2021-01-16_08-50-03</t>
        </is>
      </c>
      <c r="AF181" s="9" t="n"/>
      <c r="AG181" s="9" t="n"/>
    </row>
    <row r="182">
      <c r="A182" s="9" t="inlineStr">
        <is>
          <t>demjanp</t>
        </is>
      </c>
      <c r="B182" s="9" t="inlineStr">
        <is>
          <t>Radiocarbon Dating Resolution Calculator.</t>
        </is>
      </c>
      <c r="C182" s="10" t="inlineStr">
        <is>
          <t>https://github.com/demjanp/Res14C</t>
        </is>
      </c>
      <c r="D182" s="9" t="n"/>
      <c r="E182" s="9" t="n"/>
      <c r="F182" s="9" t="n"/>
      <c r="G182" s="9" t="n"/>
      <c r="H182" s="9" t="n"/>
      <c r="I182" s="9" t="n"/>
      <c r="J182" s="9" t="n"/>
      <c r="K182" s="9" t="n"/>
      <c r="L182" s="9" t="n"/>
      <c r="M182" s="9" t="n"/>
      <c r="N182" s="9" t="n"/>
      <c r="O182" s="9" t="n"/>
      <c r="P182" s="9" t="n"/>
      <c r="Q182" s="9" t="inlineStr">
        <is>
          <t>demjanp</t>
        </is>
      </c>
      <c r="R182" s="9" t="n"/>
      <c r="S182" s="9" t="n"/>
      <c r="T182" s="9" t="n"/>
      <c r="U182" s="9" t="n"/>
      <c r="V182" s="9" t="n"/>
      <c r="W182" s="9" t="inlineStr">
        <is>
          <t>Packages and libraries</t>
        </is>
      </c>
      <c r="X182" s="9" t="inlineStr">
        <is>
          <t>Python</t>
        </is>
      </c>
      <c r="Y182" s="9" t="inlineStr">
        <is>
          <t>Radiocarbon dating, calibration and sequencing</t>
        </is>
      </c>
      <c r="Z182" s="9" t="n"/>
      <c r="AA182" s="9" t="n"/>
      <c r="AB182" s="9" t="n"/>
      <c r="AC182" s="9" t="n"/>
      <c r="AD182" s="9" t="n"/>
      <c r="AE182" s="10" t="inlineStr">
        <is>
          <t>https://archive.org/details/github.com-demjanp-Res14C_-_2020-06-05_11-05-56</t>
        </is>
      </c>
      <c r="AF182" s="9" t="n"/>
      <c r="AG182" s="9" t="n"/>
    </row>
    <row r="183">
      <c r="A183" s="9" t="inlineStr">
        <is>
          <t>Dendro_R</t>
        </is>
      </c>
      <c r="B183" s="9" t="inlineStr">
        <is>
          <t>Small repository that lists R packages used in dendrochronology or tree-ring research.</t>
        </is>
      </c>
      <c r="C183" s="10" t="inlineStr">
        <is>
          <t>https://github.com/RonaldVisser/Dendro_R</t>
        </is>
      </c>
      <c r="D183" s="9" t="n"/>
      <c r="E183" s="9" t="n"/>
      <c r="F183" s="9" t="n"/>
      <c r="G183" s="9" t="n"/>
      <c r="H183" s="9" t="n"/>
      <c r="I183" s="9" t="n"/>
      <c r="J183" s="9" t="n"/>
      <c r="K183" s="9" t="n"/>
      <c r="L183" s="9" t="n"/>
      <c r="M183" s="9" t="n"/>
      <c r="N183" s="10" t="inlineStr">
        <is>
          <t>https://ronaldvisser.github.io/Dendro_R/</t>
        </is>
      </c>
      <c r="O183" s="9" t="n"/>
      <c r="P183" s="9" t="n"/>
      <c r="Q183" s="9" t="inlineStr">
        <is>
          <t>RonaldVisser</t>
        </is>
      </c>
      <c r="R183" s="9" t="n"/>
      <c r="S183" s="9" t="n"/>
      <c r="T183" s="9" t="n"/>
      <c r="U183" s="9" t="n"/>
      <c r="V183" s="9" t="n"/>
      <c r="W183" s="9" t="inlineStr">
        <is>
          <t>Lists and datasets</t>
        </is>
      </c>
      <c r="X183" s="9" t="n"/>
      <c r="Y183" s="9" t="inlineStr">
        <is>
          <t>Dendrochronology</t>
        </is>
      </c>
      <c r="Z183" s="9" t="inlineStr">
        <is>
          <t>Lists</t>
        </is>
      </c>
      <c r="AA183" s="9" t="n"/>
      <c r="AB183" s="9" t="n"/>
      <c r="AC183" s="9" t="n"/>
      <c r="AD183" s="9" t="n"/>
      <c r="AE183" s="9" t="n"/>
      <c r="AF183" s="9" t="n"/>
      <c r="AG183" s="9" t="n"/>
    </row>
    <row r="184">
      <c r="A184" s="9" t="inlineStr">
        <is>
          <t>dendroNetwork</t>
        </is>
      </c>
      <c r="B184" s="9" t="inlineStr">
        <is>
          <t>Enables researchers to easily construct a network of dendrochronological series based on the similarity and find patterns of matching tree-ring material.</t>
        </is>
      </c>
      <c r="C184" s="10" t="inlineStr">
        <is>
          <t>https://github.com/ropensci/dendroNetwork/</t>
        </is>
      </c>
      <c r="D184" s="9" t="n"/>
      <c r="E184" s="9" t="n"/>
      <c r="F184" s="9" t="n"/>
      <c r="G184" s="9" t="n"/>
      <c r="H184" s="9" t="n"/>
      <c r="I184" s="9" t="n"/>
      <c r="J184" s="9" t="n"/>
      <c r="K184" s="10" t="inlineStr">
        <is>
          <t>https://cran.r-project.org/package=dendroNetwork</t>
        </is>
      </c>
      <c r="L184" s="9" t="n"/>
      <c r="M184" s="9" t="n"/>
      <c r="N184" s="10" t="inlineStr">
        <is>
          <t>https://docs.ropensci.org/dendroNetwork/</t>
        </is>
      </c>
      <c r="O184" s="9" t="n"/>
      <c r="P184" s="9" t="n"/>
      <c r="Q184" s="9" t="inlineStr">
        <is>
          <t>ropensci</t>
        </is>
      </c>
      <c r="R184" s="9" t="inlineStr">
        <is>
          <t>RonaldVisser</t>
        </is>
      </c>
      <c r="S184" s="9" t="n"/>
      <c r="T184" s="9" t="n"/>
      <c r="U184" s="9" t="n"/>
      <c r="V184" s="9" t="n"/>
      <c r="W184" s="9" t="inlineStr">
        <is>
          <t>Packages and libraries</t>
        </is>
      </c>
      <c r="X184" s="9" t="inlineStr">
        <is>
          <t>R</t>
        </is>
      </c>
      <c r="Y184" s="9" t="inlineStr">
        <is>
          <t>Dendrochronology</t>
        </is>
      </c>
      <c r="Z184" s="9" t="inlineStr">
        <is>
          <t>Chronological modelling</t>
        </is>
      </c>
      <c r="AA184" s="9" t="n"/>
      <c r="AB184" s="9" t="n"/>
      <c r="AC184" s="9" t="n"/>
      <c r="AD184" s="9" t="n"/>
      <c r="AE184" s="9" t="n"/>
      <c r="AF184" s="9" t="n"/>
      <c r="AG184" s="9" t="n"/>
    </row>
    <row r="185">
      <c r="A185" s="9" t="inlineStr">
        <is>
          <t>digging.digital.data</t>
        </is>
      </c>
      <c r="B185" s="9" t="inlineStr">
        <is>
          <t>Various legacy archaeology datasets for use as practical pedagogical case studies.</t>
        </is>
      </c>
      <c r="C185" s="10" t="inlineStr">
        <is>
          <t>https://github.com/chrinne/digging.digital.data</t>
        </is>
      </c>
      <c r="D185" s="9" t="n"/>
      <c r="E185" s="9" t="n"/>
      <c r="F185" s="9" t="n"/>
      <c r="G185" s="9" t="n"/>
      <c r="H185" s="9" t="n"/>
      <c r="I185" s="9" t="n"/>
      <c r="J185" s="9" t="n"/>
      <c r="K185" s="9" t="n"/>
      <c r="L185" s="9" t="n"/>
      <c r="M185" s="9" t="n"/>
      <c r="N185" s="9" t="n"/>
      <c r="O185" s="9" t="n"/>
      <c r="P185" s="9" t="n"/>
      <c r="Q185" s="9" t="inlineStr">
        <is>
          <t>chrinne</t>
        </is>
      </c>
      <c r="R185" s="9" t="n"/>
      <c r="S185" s="9" t="n"/>
      <c r="T185" s="9" t="n"/>
      <c r="U185" s="9" t="n"/>
      <c r="V185" s="9" t="n"/>
      <c r="W185" s="9" t="inlineStr">
        <is>
          <t>Lists and datasets</t>
        </is>
      </c>
      <c r="X185" s="9" t="n"/>
      <c r="Y185" s="9" t="inlineStr">
        <is>
          <t>Educational resources and practical guides</t>
        </is>
      </c>
      <c r="Z185" s="9" t="inlineStr">
        <is>
          <t>Datasets</t>
        </is>
      </c>
      <c r="AA185" s="9" t="n"/>
      <c r="AB185" s="9" t="n"/>
      <c r="AC185" s="9" t="n"/>
      <c r="AD185" s="9" t="n"/>
      <c r="AE185" s="9" t="n"/>
      <c r="AF185" s="9" t="n"/>
      <c r="AG185" s="9" t="n"/>
    </row>
    <row r="186">
      <c r="A186" s="9" t="inlineStr">
        <is>
          <t>Digital Encyclopedia of Archaeologists</t>
        </is>
      </c>
      <c r="B186" s="9" t="inlineStr">
        <is>
          <t>A webpage containing brief biographical information about some iconic archaeologists.</t>
        </is>
      </c>
      <c r="C186" s="10" t="inlineStr">
        <is>
          <t>https://github.com/msu-anthropology/deoa</t>
        </is>
      </c>
      <c r="D186" s="9" t="n"/>
      <c r="E186" s="9" t="n"/>
      <c r="F186" s="9" t="n"/>
      <c r="G186" s="9" t="n"/>
      <c r="H186" s="9" t="n"/>
      <c r="I186" s="9" t="n"/>
      <c r="J186" s="9" t="n"/>
      <c r="K186" s="9" t="n"/>
      <c r="L186" s="9" t="n"/>
      <c r="M186" s="9" t="n"/>
      <c r="N186" s="9" t="n"/>
      <c r="O186" s="9" t="n"/>
      <c r="P186" s="9" t="n"/>
      <c r="Q186" s="9" t="inlineStr">
        <is>
          <t>msu-anthropology</t>
        </is>
      </c>
      <c r="R186" s="9" t="n"/>
      <c r="S186" s="9" t="n"/>
      <c r="T186" s="9" t="n"/>
      <c r="U186" s="9" t="n"/>
      <c r="V186" s="9" t="n"/>
      <c r="W186" s="9" t="inlineStr">
        <is>
          <t>Lists and datasets</t>
        </is>
      </c>
      <c r="X186" s="9" t="n"/>
      <c r="Y186" s="9" t="inlineStr">
        <is>
          <t>Educational resources and practical guides</t>
        </is>
      </c>
      <c r="Z186" s="9" t="n"/>
      <c r="AA186" s="9" t="n"/>
      <c r="AB186" s="9" t="n"/>
      <c r="AC186" s="9" t="n"/>
      <c r="AD186" s="9" t="n"/>
      <c r="AE186" s="10" t="inlineStr">
        <is>
          <t>https://archive.org/details/github.com-msu-anthropology-deoa_-_2017-11-29_06-22-59</t>
        </is>
      </c>
      <c r="AF186" s="9" t="n"/>
      <c r="AG186" s="9" t="n"/>
    </row>
    <row r="187">
      <c r="A187" s="9" t="inlineStr">
        <is>
          <t>DIGSS</t>
        </is>
      </c>
      <c r="B187" s="9" t="inlineStr">
        <is>
          <t>A simulation tool to estimate the rate of success that surveys possessing user-specific characteristics have in identifying archaeological sites (or any groups of clouds of objects), given specific parameters of survey area, survey methods, and site properties.</t>
        </is>
      </c>
      <c r="C187" s="10" t="inlineStr">
        <is>
          <t>https://github.com/markhubbe/DIGSS</t>
        </is>
      </c>
      <c r="D187" s="9" t="n"/>
      <c r="E187" s="9" t="n"/>
      <c r="F187" s="9" t="n"/>
      <c r="G187" s="9" t="n"/>
      <c r="H187" s="9" t="n"/>
      <c r="I187" s="9" t="n"/>
      <c r="J187" s="9" t="n"/>
      <c r="K187" s="10" t="inlineStr">
        <is>
          <t>https://cran.r-project.org/package=DIGSS</t>
        </is>
      </c>
      <c r="L187" s="9" t="n"/>
      <c r="M187" s="9" t="n"/>
      <c r="N187" s="9" t="n"/>
      <c r="O187" s="9" t="n"/>
      <c r="P187" s="9" t="n"/>
      <c r="Q187" s="9" t="inlineStr">
        <is>
          <t>markhubbe</t>
        </is>
      </c>
      <c r="R187" s="9" t="n"/>
      <c r="S187" s="9" t="n"/>
      <c r="T187" s="9" t="n"/>
      <c r="U187" s="9" t="n"/>
      <c r="V187" s="9" t="n"/>
      <c r="W187" s="9" t="inlineStr">
        <is>
          <t>Packages and libraries</t>
        </is>
      </c>
      <c r="X187" s="9" t="inlineStr">
        <is>
          <t>R</t>
        </is>
      </c>
      <c r="Y187" s="9" t="inlineStr">
        <is>
          <t>Simulation</t>
        </is>
      </c>
      <c r="Z187" s="9" t="inlineStr">
        <is>
          <t>Statistical analysis</t>
        </is>
      </c>
      <c r="AA187" s="9" t="n"/>
      <c r="AB187" s="9" t="n"/>
      <c r="AC187" s="9" t="n"/>
      <c r="AD187" s="9" t="n"/>
      <c r="AE187" s="9" t="n"/>
      <c r="AF187" s="9" t="n"/>
      <c r="AG187" s="9" t="n"/>
    </row>
    <row r="188">
      <c r="A188" s="9" t="inlineStr">
        <is>
          <t>dimensio</t>
        </is>
      </c>
      <c r="B188" s="9" t="inlineStr">
        <is>
          <t>Simple Principal Components Analysis (PCA) and Correspondence Analysis (CA) based on the Singular Value Decomposition (SVD). This package provides methods to compute, extract, summarize and visualize results of multivariate data analysis. It also includes methods for partial bootstrap validation.</t>
        </is>
      </c>
      <c r="C188" s="10" t="inlineStr">
        <is>
          <t>https://github.com/tesselle/dimensio</t>
        </is>
      </c>
      <c r="D188" s="9" t="n"/>
      <c r="E188" s="9" t="n"/>
      <c r="F188" s="9" t="n"/>
      <c r="G188" s="9" t="n"/>
      <c r="H188" s="9" t="n"/>
      <c r="I188" s="9" t="n"/>
      <c r="J188" s="9" t="n"/>
      <c r="K188" s="10" t="inlineStr">
        <is>
          <t>https://cran.r-project.org/package=dimensio</t>
        </is>
      </c>
      <c r="L188" s="9" t="n"/>
      <c r="M188" s="9" t="n"/>
      <c r="N188" s="10" t="inlineStr">
        <is>
          <t>https://packages.tesselle.org/dimensio/</t>
        </is>
      </c>
      <c r="O188" s="9" t="n"/>
      <c r="P188" s="9" t="inlineStr">
        <is>
          <t>10.5281/zenodo.4478530</t>
        </is>
      </c>
      <c r="Q188" s="9" t="inlineStr">
        <is>
          <t>tesselle</t>
        </is>
      </c>
      <c r="R188" s="9" t="n"/>
      <c r="S188" s="9" t="n"/>
      <c r="T188" s="9" t="n"/>
      <c r="U188" s="9" t="n"/>
      <c r="V188" s="9" t="n"/>
      <c r="W188" s="9" t="inlineStr">
        <is>
          <t>Packages and libraries</t>
        </is>
      </c>
      <c r="X188" s="9" t="inlineStr">
        <is>
          <t>R</t>
        </is>
      </c>
      <c r="Y188" s="9" t="inlineStr">
        <is>
          <t>Statistical analysis</t>
        </is>
      </c>
      <c r="Z188" s="9" t="n"/>
      <c r="AA188" s="9" t="n"/>
      <c r="AB188" s="9" t="n"/>
      <c r="AC188" s="9" t="n"/>
      <c r="AD188" s="9" t="n"/>
      <c r="AE188" s="10" t="inlineStr">
        <is>
          <t>https://archive.org/details/github.com-tesselle-dimensio_-_2021-05-24_16-00-49</t>
        </is>
      </c>
      <c r="AF188" s="9" t="n"/>
      <c r="AG188" s="9" t="n"/>
    </row>
    <row r="189">
      <c r="A189" s="9" t="inlineStr">
        <is>
          <t>disastermap</t>
        </is>
      </c>
      <c r="B189" s="9" t="inlineStr">
        <is>
          <t>Proof of concept map for disaster response and archaeology</t>
        </is>
      </c>
      <c r="C189" s="10" t="inlineStr">
        <is>
          <t>https://github.com/aejolene/disastermap</t>
        </is>
      </c>
      <c r="D189" s="9" t="n"/>
      <c r="E189" s="9" t="n"/>
      <c r="F189" s="9" t="n"/>
      <c r="G189" s="9" t="n"/>
      <c r="H189" s="9" t="n"/>
      <c r="I189" s="9" t="n"/>
      <c r="J189" s="9" t="n"/>
      <c r="K189" s="9" t="n"/>
      <c r="L189" s="9" t="n"/>
      <c r="M189" s="9" t="n"/>
      <c r="N189" s="10" t="inlineStr">
        <is>
          <t>https://aejolene.github.io/disastermap/</t>
        </is>
      </c>
      <c r="O189" s="9" t="n"/>
      <c r="P189" s="9" t="n"/>
      <c r="Q189" s="9" t="inlineStr">
        <is>
          <t>aejolene</t>
        </is>
      </c>
      <c r="R189" s="9" t="n"/>
      <c r="S189" s="9" t="n"/>
      <c r="T189" s="9" t="n"/>
      <c r="U189" s="9" t="n"/>
      <c r="V189" s="9" t="n"/>
      <c r="W189" s="9" t="inlineStr">
        <is>
          <t>Products</t>
        </is>
      </c>
      <c r="X189" s="9" t="n"/>
      <c r="Y189" s="9" t="inlineStr">
        <is>
          <t>Public policy and civic action</t>
        </is>
      </c>
      <c r="Z189" s="9" t="n"/>
      <c r="AA189" s="9" t="n"/>
      <c r="AB189" s="9" t="n"/>
      <c r="AC189" s="9" t="n"/>
      <c r="AD189" s="9" t="n"/>
      <c r="AE189" s="10" t="inlineStr">
        <is>
          <t>https://archive.org/details/github.com-aejolene-disastermap_-_2017-10-31_22-24-16</t>
        </is>
      </c>
      <c r="AF189" s="9" t="n"/>
      <c r="AG189" s="9" t="n"/>
    </row>
    <row r="190">
      <c r="A190" s="9" t="inlineStr">
        <is>
          <t>DIYFieldworkDatabase</t>
        </is>
      </c>
      <c r="B190" s="9" t="inlineStr">
        <is>
          <t>Documenting and sharing my ad-hoc fieldwork database setup</t>
        </is>
      </c>
      <c r="C190" s="10" t="inlineStr">
        <is>
          <t>https://github.com/zackbatist/DIYFieldworkDatabase</t>
        </is>
      </c>
      <c r="D190" s="9" t="n"/>
      <c r="E190" s="9" t="n"/>
      <c r="F190" s="9" t="n"/>
      <c r="G190" s="9" t="n"/>
      <c r="H190" s="9" t="n"/>
      <c r="I190" s="9" t="n"/>
      <c r="J190" s="9" t="n"/>
      <c r="K190" s="9" t="n"/>
      <c r="L190" s="9" t="n"/>
      <c r="M190" s="9" t="n"/>
      <c r="N190" s="9" t="n"/>
      <c r="O190" s="9" t="n"/>
      <c r="P190" s="9" t="n"/>
      <c r="Q190" s="9" t="inlineStr">
        <is>
          <t>zackbatist</t>
        </is>
      </c>
      <c r="R190" s="9" t="n"/>
      <c r="S190" s="9" t="n"/>
      <c r="T190" s="9" t="n"/>
      <c r="U190" s="9" t="n"/>
      <c r="V190" s="9" t="n"/>
      <c r="W190" s="9" t="inlineStr">
        <is>
          <t>Guides</t>
        </is>
      </c>
      <c r="X190" s="9" t="n"/>
      <c r="Y190" s="9" t="inlineStr">
        <is>
          <t>Educational resources and practical guides</t>
        </is>
      </c>
      <c r="Z190" s="9" t="n"/>
      <c r="AA190" s="9" t="n"/>
      <c r="AB190" s="9" t="n"/>
      <c r="AC190" s="9" t="n"/>
      <c r="AD190" s="9" t="n"/>
      <c r="AE190" s="10" t="inlineStr">
        <is>
          <t>https://archive.org/details/zackbatist-DIYFieldworkDatabase_-_2018-07-28_05-00-47</t>
        </is>
      </c>
      <c r="AF190" s="9" t="n"/>
      <c r="AG190" s="9" t="n"/>
    </row>
    <row r="191">
      <c r="A191" s="9" t="inlineStr">
        <is>
          <t>DObsiSS</t>
        </is>
      </c>
      <c r="B191" s="9" t="inlineStr">
        <is>
          <t>The Database of Obsidian Sourcing Studies</t>
        </is>
      </c>
      <c r="C191" s="10" t="inlineStr">
        <is>
          <t>https://github.com/zackbatist/DObsiSS</t>
        </is>
      </c>
      <c r="D191" s="9" t="n"/>
      <c r="E191" s="9" t="n"/>
      <c r="F191" s="9" t="n"/>
      <c r="G191" s="9" t="n"/>
      <c r="H191" s="9" t="n"/>
      <c r="I191" s="9" t="n"/>
      <c r="J191" s="9" t="n"/>
      <c r="K191" s="9" t="n"/>
      <c r="L191" s="9" t="n"/>
      <c r="M191" s="9" t="n"/>
      <c r="N191" s="9" t="n"/>
      <c r="O191" s="9" t="n"/>
      <c r="P191" s="9" t="n"/>
      <c r="Q191" s="9" t="inlineStr">
        <is>
          <t>zackbatist</t>
        </is>
      </c>
      <c r="R191" s="9" t="n"/>
      <c r="S191" s="9" t="n"/>
      <c r="T191" s="9" t="n"/>
      <c r="U191" s="9" t="n"/>
      <c r="V191" s="9" t="n"/>
      <c r="W191" s="9" t="inlineStr">
        <is>
          <t>Lists and datasets</t>
        </is>
      </c>
      <c r="X191" s="9" t="n"/>
      <c r="Y191" s="9" t="inlineStr">
        <is>
          <t>Datasets</t>
        </is>
      </c>
      <c r="Z191" s="9" t="n"/>
      <c r="AA191" s="9" t="n"/>
      <c r="AB191" s="9" t="n"/>
      <c r="AC191" s="9" t="n"/>
      <c r="AD191" s="9" t="n"/>
      <c r="AE191" s="10" t="inlineStr">
        <is>
          <t>https://archive.org/details/github.com-zackbatist-DObsiSS_-_2017-01-25_04-57-41</t>
        </is>
      </c>
      <c r="AF191" s="9" t="n"/>
      <c r="AG191" s="9" t="n"/>
    </row>
    <row r="192">
      <c r="A192" s="9" t="inlineStr">
        <is>
          <t>dplR</t>
        </is>
      </c>
      <c r="B192" s="9" t="inlineStr">
        <is>
          <t>Perform tree-ring analyses such as detrending, chronology building, and crossdating.</t>
        </is>
      </c>
      <c r="C192" s="10" t="inlineStr">
        <is>
          <t>https://github.com/AndyBunn/dplR</t>
        </is>
      </c>
      <c r="D192" s="9" t="n"/>
      <c r="E192" s="9" t="n"/>
      <c r="F192" s="9" t="n"/>
      <c r="G192" s="9" t="n"/>
      <c r="H192" s="9" t="n"/>
      <c r="I192" s="9" t="n"/>
      <c r="J192" s="9" t="n"/>
      <c r="K192" s="9" t="n"/>
      <c r="L192" s="9" t="n"/>
      <c r="M192" s="9" t="n"/>
      <c r="N192" s="9" t="n"/>
      <c r="O192" s="9" t="n"/>
      <c r="P192" s="9" t="n"/>
      <c r="Q192" s="9" t="inlineStr">
        <is>
          <t>AndyBunn</t>
        </is>
      </c>
      <c r="R192" s="9" t="n"/>
      <c r="S192" s="9" t="n"/>
      <c r="T192" s="9" t="n"/>
      <c r="U192" s="9" t="n"/>
      <c r="V192" s="9" t="n"/>
      <c r="W192" s="9" t="inlineStr">
        <is>
          <t>Packages and libraries</t>
        </is>
      </c>
      <c r="X192" s="9" t="inlineStr">
        <is>
          <t>R</t>
        </is>
      </c>
      <c r="Y192" s="9" t="inlineStr">
        <is>
          <t>Dendrochronology</t>
        </is>
      </c>
      <c r="Z192" s="9" t="inlineStr">
        <is>
          <t>Chronological modelling</t>
        </is>
      </c>
      <c r="AA192" s="9" t="n"/>
      <c r="AB192" s="9" t="n"/>
      <c r="AC192" s="9" t="n"/>
      <c r="AD192" s="9" t="n"/>
      <c r="AE192" s="9" t="n"/>
      <c r="AF192" s="9" t="n"/>
      <c r="AG192" s="9" t="n"/>
    </row>
    <row r="193">
      <c r="A193" s="9" t="inlineStr">
        <is>
          <t>DRAC-calculator</t>
        </is>
      </c>
      <c r="B193" s="9" t="inlineStr">
        <is>
          <t>DRAC is a Dose Rate and Age Calculator which has been designed to calculate environmental dose rates (_) and ages for trapped charge dating applications</t>
        </is>
      </c>
      <c r="C193" s="10" t="inlineStr">
        <is>
          <t>https://github.com/DRAC-calculator/DRAC-calculator</t>
        </is>
      </c>
      <c r="D193" s="9" t="n"/>
      <c r="E193" s="9" t="n"/>
      <c r="F193" s="9" t="n"/>
      <c r="G193" s="9" t="n"/>
      <c r="H193" s="9" t="n"/>
      <c r="I193" s="9" t="n"/>
      <c r="J193" s="9" t="n"/>
      <c r="K193" s="9" t="n"/>
      <c r="L193" s="9" t="n"/>
      <c r="M193" s="9" t="n"/>
      <c r="N193" s="9" t="n"/>
      <c r="O193" s="9" t="n"/>
      <c r="P193" s="9" t="n"/>
      <c r="Q193" s="9" t="inlineStr">
        <is>
          <t>DRAC-calculator</t>
        </is>
      </c>
      <c r="R193" s="9" t="n"/>
      <c r="S193" s="9" t="n"/>
      <c r="T193" s="9" t="n"/>
      <c r="U193" s="9" t="n"/>
      <c r="V193" s="9" t="n"/>
      <c r="W193" s="9" t="inlineStr">
        <is>
          <t>Standalone software</t>
        </is>
      </c>
      <c r="X193" s="9" t="n"/>
      <c r="Y193" s="9" t="inlineStr">
        <is>
          <t>Luminescence dating</t>
        </is>
      </c>
      <c r="Z193" s="9" t="n"/>
      <c r="AA193" s="9" t="n"/>
      <c r="AB193" s="9" t="n"/>
      <c r="AC193" s="9" t="n"/>
      <c r="AD193" s="9" t="n"/>
      <c r="AE193" s="10" t="inlineStr">
        <is>
          <t>https://archive.org/details/github.com-DRAC-calculator-DRAC-calculator_-_2016-09-07_16-22-39</t>
        </is>
      </c>
      <c r="AF193" s="9" t="n"/>
      <c r="AG193" s="9" t="n"/>
    </row>
    <row r="194">
      <c r="A194" s="9" t="inlineStr">
        <is>
          <t>DroneSurveyPlanner</t>
        </is>
      </c>
      <c r="B194" s="9" t="inlineStr">
        <is>
          <t>This is a LibreOffice Calc spreadsheet designed to help you plan an aerial drone mapping survey mission.</t>
        </is>
      </c>
      <c r="C194" s="10" t="inlineStr">
        <is>
          <t>https://github.com/isaacullah/DroneSurveyPlanner</t>
        </is>
      </c>
      <c r="D194" s="9" t="n"/>
      <c r="E194" s="9" t="n"/>
      <c r="F194" s="9" t="n"/>
      <c r="G194" s="9" t="n"/>
      <c r="H194" s="9" t="n"/>
      <c r="I194" s="9" t="n"/>
      <c r="J194" s="9" t="n"/>
      <c r="K194" s="9" t="n"/>
      <c r="L194" s="9" t="n"/>
      <c r="M194" s="9" t="n"/>
      <c r="N194" s="10" t="inlineStr">
        <is>
          <t>http://isaacullah.github.io/DroneSurveyPlanner/</t>
        </is>
      </c>
      <c r="O194" s="9" t="n"/>
      <c r="P194" s="9" t="n"/>
      <c r="Q194" s="9" t="inlineStr">
        <is>
          <t>isaacullah</t>
        </is>
      </c>
      <c r="R194" s="9" t="n"/>
      <c r="S194" s="9" t="n"/>
      <c r="T194" s="9" t="n"/>
      <c r="U194" s="9" t="n"/>
      <c r="V194" s="9" t="n"/>
      <c r="W194" s="9" t="inlineStr">
        <is>
          <t>Packages and libraries</t>
        </is>
      </c>
      <c r="X194" s="9" t="inlineStr">
        <is>
          <t>LibreOffice Calc</t>
        </is>
      </c>
      <c r="Y194" s="9" t="inlineStr">
        <is>
          <t>Drones</t>
        </is>
      </c>
      <c r="Z194" s="9" t="inlineStr">
        <is>
          <t>Aerial and satellite imagery</t>
        </is>
      </c>
      <c r="AA194" s="9" t="n"/>
      <c r="AB194" s="9" t="n"/>
      <c r="AC194" s="9" t="n"/>
      <c r="AD194" s="9" t="n"/>
      <c r="AE194" s="10" t="inlineStr">
        <is>
          <t>https://archive.org/details/github.com-isaacullah-DroneSurveyPlanner_-_2018-01-02_23-32-47</t>
        </is>
      </c>
      <c r="AF194" s="9" t="n"/>
      <c r="AG194" s="9" t="n"/>
    </row>
    <row r="195">
      <c r="A195" s="9" t="inlineStr">
        <is>
          <t>E5</t>
        </is>
      </c>
      <c r="B195" s="9" t="inlineStr">
        <is>
          <t>E5 is a generalized data entry program intended for archaeologists that works with a configuration file where the data entry fields are defined</t>
        </is>
      </c>
      <c r="C195" s="10" t="inlineStr">
        <is>
          <t>https://github.com/surf3s/E5</t>
        </is>
      </c>
      <c r="D195" s="9" t="n"/>
      <c r="E195" s="9" t="n"/>
      <c r="F195" s="9" t="n"/>
      <c r="G195" s="9" t="n"/>
      <c r="H195" s="9" t="n"/>
      <c r="I195" s="9" t="n"/>
      <c r="J195" s="9" t="n"/>
      <c r="K195" s="9" t="n"/>
      <c r="L195" s="9" t="n"/>
      <c r="M195" s="9" t="n"/>
      <c r="N195" s="9" t="n"/>
      <c r="O195" s="9" t="n"/>
      <c r="P195" s="9" t="n"/>
      <c r="Q195" s="9" t="inlineStr">
        <is>
          <t>surf3s</t>
        </is>
      </c>
      <c r="R195" s="9" t="n"/>
      <c r="S195" s="9" t="n"/>
      <c r="T195" s="9" t="n"/>
      <c r="U195" s="9" t="n"/>
      <c r="V195" s="9" t="n"/>
      <c r="W195" s="9" t="inlineStr">
        <is>
          <t>Standalone software</t>
        </is>
      </c>
      <c r="X195" s="9" t="n"/>
      <c r="Y195" s="9" t="inlineStr">
        <is>
          <t>Data management</t>
        </is>
      </c>
      <c r="Z195" s="9" t="n"/>
      <c r="AA195" s="9" t="n"/>
      <c r="AB195" s="9" t="n"/>
      <c r="AC195" s="9" t="n"/>
      <c r="AD195" s="9" t="n"/>
      <c r="AE195" s="10" t="inlineStr">
        <is>
          <t>https://archive.org/details/github.com-surf3s-E5_-_2019-11-15_12-18-58</t>
        </is>
      </c>
      <c r="AF195" s="9" t="n"/>
      <c r="AG195" s="9" t="n"/>
    </row>
    <row r="196">
      <c r="A196" s="9" t="inlineStr">
        <is>
          <t>ede_interpolation</t>
        </is>
      </c>
      <c r="B196" s="9" t="inlineStr">
        <is>
          <t>A QGIS 3 plugin for spatio-temporal interpolation of archaeological settlement evidence.</t>
        </is>
      </c>
      <c r="C196" s="10" t="inlineStr">
        <is>
          <t>https://github.com/demjanp/ede_interpolation</t>
        </is>
      </c>
      <c r="D196" s="9" t="n"/>
      <c r="E196" s="9" t="n"/>
      <c r="F196" s="9" t="n"/>
      <c r="G196" s="9" t="n"/>
      <c r="H196" s="9" t="n"/>
      <c r="I196" s="9" t="n"/>
      <c r="J196" s="9" t="n"/>
      <c r="K196" s="9" t="n"/>
      <c r="L196" s="9" t="n"/>
      <c r="M196" s="9" t="n"/>
      <c r="N196" s="10" t="inlineStr">
        <is>
          <t>https://plugins.qgis.org/plugins/ede_interpolation/</t>
        </is>
      </c>
      <c r="O196" s="9" t="n"/>
      <c r="P196" s="9" t="n"/>
      <c r="Q196" s="9" t="inlineStr">
        <is>
          <t>demjanp</t>
        </is>
      </c>
      <c r="R196" s="9" t="n"/>
      <c r="S196" s="9" t="n"/>
      <c r="T196" s="9" t="n"/>
      <c r="U196" s="9" t="n"/>
      <c r="V196" s="9" t="n"/>
      <c r="W196" s="9" t="inlineStr">
        <is>
          <t>Packages and libraries</t>
        </is>
      </c>
      <c r="X196" s="9" t="inlineStr">
        <is>
          <t>QGIS</t>
        </is>
      </c>
      <c r="Y196" s="9" t="inlineStr">
        <is>
          <t>Spatial analysis</t>
        </is>
      </c>
      <c r="Z196" s="9" t="n"/>
      <c r="AA196" s="9" t="n"/>
      <c r="AB196" s="9" t="n"/>
      <c r="AC196" s="9" t="n"/>
      <c r="AD196" s="9" t="n"/>
      <c r="AE196" s="10" t="inlineStr">
        <is>
          <t>https://archive.org/details/github.com-demjanp-ede_interpolation_-_2020-06-05_13-54-37</t>
        </is>
      </c>
      <c r="AF196" s="9" t="n"/>
      <c r="AG196" s="9" t="n"/>
    </row>
    <row r="197">
      <c r="A197" s="9" t="inlineStr">
        <is>
          <t>EDM</t>
        </is>
      </c>
      <c r="B197" s="9" t="inlineStr">
        <is>
          <t>Configurable data collection program for archaeological survey and excavation.</t>
        </is>
      </c>
      <c r="C197" s="10" t="inlineStr">
        <is>
          <t>https://github.com/surf3s/EDM</t>
        </is>
      </c>
      <c r="D197" s="9" t="n"/>
      <c r="E197" s="9" t="n"/>
      <c r="F197" s="9" t="n"/>
      <c r="G197" s="9" t="n"/>
      <c r="H197" s="9" t="n"/>
      <c r="I197" s="9" t="n"/>
      <c r="J197" s="9" t="n"/>
      <c r="K197" s="9" t="n"/>
      <c r="L197" s="9" t="n"/>
      <c r="M197" s="9" t="n"/>
      <c r="N197" s="9" t="n"/>
      <c r="O197" s="9" t="n"/>
      <c r="P197" s="9" t="n"/>
      <c r="Q197" s="9" t="inlineStr">
        <is>
          <t>surf3s</t>
        </is>
      </c>
      <c r="R197" s="9" t="n"/>
      <c r="S197" s="9" t="n"/>
      <c r="T197" s="9" t="n"/>
      <c r="U197" s="9" t="n"/>
      <c r="V197" s="9" t="n"/>
      <c r="W197" s="9" t="inlineStr">
        <is>
          <t>Packages and libraries</t>
        </is>
      </c>
      <c r="X197" s="9" t="inlineStr">
        <is>
          <t>Python</t>
        </is>
      </c>
      <c r="Y197" s="9" t="inlineStr">
        <is>
          <t>Data collection</t>
        </is>
      </c>
      <c r="Z197" s="9" t="inlineStr">
        <is>
          <t>Data management</t>
        </is>
      </c>
      <c r="AA197" s="9" t="n"/>
      <c r="AB197" s="9" t="n"/>
      <c r="AC197" s="9" t="n"/>
      <c r="AD197" s="9" t="n"/>
      <c r="AE197" s="9" t="n"/>
      <c r="AF197" s="9" t="n"/>
      <c r="AG197" s="9" t="n"/>
    </row>
    <row r="198">
      <c r="A198" s="9" t="inlineStr">
        <is>
          <t>EDMWIN</t>
        </is>
      </c>
      <c r="B198" s="9" t="inlineStr">
        <is>
          <t>Configurable data collection program for archaeological survey and excavation.</t>
        </is>
      </c>
      <c r="C198" s="10" t="inlineStr">
        <is>
          <t>https://github.com/surf3s/EDMWIN</t>
        </is>
      </c>
      <c r="D198" s="9" t="n"/>
      <c r="E198" s="9" t="n"/>
      <c r="F198" s="9" t="n"/>
      <c r="G198" s="9" t="n"/>
      <c r="H198" s="9" t="n"/>
      <c r="I198" s="9" t="n"/>
      <c r="J198" s="9" t="n"/>
      <c r="K198" s="9" t="n"/>
      <c r="L198" s="9" t="n"/>
      <c r="M198" s="9" t="n"/>
      <c r="N198" s="9" t="n"/>
      <c r="O198" s="9" t="n"/>
      <c r="P198" s="9" t="n"/>
      <c r="Q198" s="9" t="inlineStr">
        <is>
          <t>surf3s</t>
        </is>
      </c>
      <c r="R198" s="9" t="n"/>
      <c r="S198" s="9" t="n"/>
      <c r="T198" s="9" t="n"/>
      <c r="U198" s="9" t="n"/>
      <c r="V198" s="9" t="n"/>
      <c r="W198" s="9" t="inlineStr">
        <is>
          <t>Packages and libraries</t>
        </is>
      </c>
      <c r="X198" s="9" t="inlineStr">
        <is>
          <t>Python</t>
        </is>
      </c>
      <c r="Y198" s="9" t="inlineStr">
        <is>
          <t>Data collection</t>
        </is>
      </c>
      <c r="Z198" s="9" t="inlineStr">
        <is>
          <t>Data management</t>
        </is>
      </c>
      <c r="AA198" s="9" t="n"/>
      <c r="AB198" s="9" t="n"/>
      <c r="AC198" s="9" t="n"/>
      <c r="AD198" s="9" t="n"/>
      <c r="AE198" s="9" t="n"/>
      <c r="AF198" s="9" t="n"/>
      <c r="AG198" s="9" t="n"/>
    </row>
    <row r="199">
      <c r="A199" s="9" t="inlineStr">
        <is>
          <t>Electronic Babylonian Literature Project</t>
        </is>
      </c>
      <c r="B199" s="9" t="inlineStr">
        <is>
          <t>Brings together ancient Near Eastern specialists and data scientists to revolutionize the way in which the literature of Iraq in the first millennium BCE is reconstructed and analyzed.</t>
        </is>
      </c>
      <c r="C199" s="9" t="n"/>
      <c r="D199" s="9" t="n"/>
      <c r="E199" s="9" t="n"/>
      <c r="F199" s="9" t="n"/>
      <c r="G199" s="9" t="n"/>
      <c r="H199" s="9" t="n"/>
      <c r="I199" s="9" t="n"/>
      <c r="J199" s="9" t="n"/>
      <c r="K199" s="9" t="n"/>
      <c r="L199" s="9" t="n"/>
      <c r="M199" s="9" t="n"/>
      <c r="N199" s="10" t="inlineStr">
        <is>
          <t>https://www.ebl.lmu.de/</t>
        </is>
      </c>
      <c r="O199" s="9" t="n"/>
      <c r="P199" s="9" t="n"/>
      <c r="Q199" s="9" t="inlineStr">
        <is>
          <t>Electronic Babylonian Literature Project</t>
        </is>
      </c>
      <c r="R199" s="9" t="n"/>
      <c r="S199" s="9" t="n"/>
      <c r="T199" s="9" t="n"/>
      <c r="U199" s="9" t="n"/>
      <c r="V199" s="9" t="n"/>
      <c r="W199" s="9" t="inlineStr">
        <is>
          <t>Specifications, protocols and schemas</t>
        </is>
      </c>
      <c r="X199" s="9" t="n"/>
      <c r="Y199" s="9" t="inlineStr">
        <is>
          <t>Schemas and ontologies</t>
        </is>
      </c>
      <c r="Z199" s="9" t="n"/>
      <c r="AA199" s="9" t="n"/>
      <c r="AB199" s="9" t="n"/>
      <c r="AC199" s="9" t="n"/>
      <c r="AD199" s="9" t="n"/>
      <c r="AE199" s="9" t="n"/>
      <c r="AF199" s="9" t="n"/>
      <c r="AG199" s="9" t="n"/>
    </row>
    <row r="200">
      <c r="A200" s="9" t="inlineStr">
        <is>
          <t>ElementSourcing</t>
        </is>
      </c>
      <c r="B200" s="9" t="inlineStr">
        <is>
          <t>Source archaeological artifacts using elemental composition.</t>
        </is>
      </c>
      <c r="C200" s="10" t="inlineStr">
        <is>
          <t>https://github.com/bischrob/ElementSourcing</t>
        </is>
      </c>
      <c r="D200" s="9" t="n"/>
      <c r="E200" s="9" t="n"/>
      <c r="F200" s="9" t="n"/>
      <c r="G200" s="9" t="n"/>
      <c r="H200" s="9" t="n"/>
      <c r="I200" s="9" t="n"/>
      <c r="J200" s="9" t="n"/>
      <c r="K200" s="9" t="n"/>
      <c r="L200" s="9" t="n"/>
      <c r="M200" s="9" t="n"/>
      <c r="N200" s="9" t="n"/>
      <c r="O200" s="9" t="n"/>
      <c r="P200" s="9" t="n"/>
      <c r="Q200" s="9" t="inlineStr">
        <is>
          <t>bischrob</t>
        </is>
      </c>
      <c r="R200" s="9" t="n"/>
      <c r="S200" s="9" t="n"/>
      <c r="T200" s="9" t="n"/>
      <c r="U200" s="9" t="n"/>
      <c r="V200" s="9" t="n"/>
      <c r="W200" s="9" t="inlineStr">
        <is>
          <t>Scripts</t>
        </is>
      </c>
      <c r="X200" s="9" t="inlineStr">
        <is>
          <t>R</t>
        </is>
      </c>
      <c r="Y200" s="9" t="inlineStr">
        <is>
          <t>X-Ray Fluorescence</t>
        </is>
      </c>
      <c r="Z200" s="9" t="n"/>
      <c r="AA200" s="9" t="n"/>
      <c r="AB200" s="9" t="n"/>
      <c r="AC200" s="9" t="n"/>
      <c r="AD200" s="9" t="n"/>
      <c r="AE200" s="10" t="inlineStr">
        <is>
          <t>https://archive.org/details/github.com-bischrob-ElementSourcing_-_2018-02-06_20-35-44</t>
        </is>
      </c>
      <c r="AF200" s="9" t="n"/>
      <c r="AG200" s="9" t="n"/>
    </row>
    <row r="201">
      <c r="A201" s="9" t="inlineStr">
        <is>
          <t>elemSource</t>
        </is>
      </c>
      <c r="B201" s="9" t="inlineStr">
        <is>
          <t>R Package for sourcing elements.</t>
        </is>
      </c>
      <c r="C201" s="10" t="inlineStr">
        <is>
          <t>https://github.com/bischrob/elemSource</t>
        </is>
      </c>
      <c r="D201" s="9" t="n"/>
      <c r="E201" s="9" t="n"/>
      <c r="F201" s="9" t="n"/>
      <c r="G201" s="9" t="n"/>
      <c r="H201" s="9" t="n"/>
      <c r="I201" s="9" t="n"/>
      <c r="J201" s="9" t="n"/>
      <c r="K201" s="9" t="n"/>
      <c r="L201" s="9" t="n"/>
      <c r="M201" s="9" t="n"/>
      <c r="N201" s="9" t="n"/>
      <c r="O201" s="9" t="n"/>
      <c r="P201" s="9" t="n"/>
      <c r="Q201" s="9" t="inlineStr">
        <is>
          <t>bischrob</t>
        </is>
      </c>
      <c r="R201" s="9" t="n"/>
      <c r="S201" s="9" t="n"/>
      <c r="T201" s="9" t="n"/>
      <c r="U201" s="9" t="n"/>
      <c r="V201" s="9" t="n"/>
      <c r="W201" s="9" t="inlineStr">
        <is>
          <t>Packages and libraries</t>
        </is>
      </c>
      <c r="X201" s="9" t="inlineStr">
        <is>
          <t>R</t>
        </is>
      </c>
      <c r="Y201" s="9" t="inlineStr">
        <is>
          <t>X-Ray Fluorescence</t>
        </is>
      </c>
      <c r="Z201" s="9" t="n"/>
      <c r="AA201" s="9" t="n"/>
      <c r="AB201" s="9" t="n"/>
      <c r="AC201" s="9" t="n"/>
      <c r="AD201" s="9" t="n"/>
      <c r="AE201" s="10" t="inlineStr">
        <is>
          <t>https://archive.org/details/github.com-bischrob-elemSource_-_2020-01-06_18-15-30</t>
        </is>
      </c>
      <c r="AF201" s="9" t="n"/>
      <c r="AG201" s="9" t="n"/>
    </row>
    <row r="202">
      <c r="A202" s="9" t="inlineStr">
        <is>
          <t>EM-blender-tools</t>
        </is>
      </c>
      <c r="B202" s="9" t="inlineStr">
        <is>
          <t>Addon that brings the formal language Extended Matrix within the Blender 3D open-source software.</t>
        </is>
      </c>
      <c r="C202" s="10" t="inlineStr">
        <is>
          <t>https://github.com/zalmoxes-laran/EM-blender-tools</t>
        </is>
      </c>
      <c r="D202" s="9" t="n"/>
      <c r="E202" s="9" t="n"/>
      <c r="F202" s="9" t="n"/>
      <c r="G202" s="9" t="n"/>
      <c r="H202" s="9" t="n"/>
      <c r="I202" s="9" t="n"/>
      <c r="J202" s="9" t="n"/>
      <c r="K202" s="9" t="n"/>
      <c r="L202" s="9" t="n"/>
      <c r="M202" s="9" t="n"/>
      <c r="N202" s="9" t="n"/>
      <c r="O202" s="9" t="n"/>
      <c r="P202" s="9" t="n"/>
      <c r="Q202" s="9" t="inlineStr">
        <is>
          <t>zalmoxes-laran</t>
        </is>
      </c>
      <c r="R202" s="9" t="n"/>
      <c r="S202" s="9" t="n"/>
      <c r="T202" s="9" t="n"/>
      <c r="U202" s="9" t="n"/>
      <c r="V202" s="9" t="n"/>
      <c r="W202" s="9" t="inlineStr">
        <is>
          <t>Packages and libraries</t>
        </is>
      </c>
      <c r="X202" s="9" t="inlineStr">
        <is>
          <t>Blender</t>
        </is>
      </c>
      <c r="Y202" s="9" t="inlineStr">
        <is>
          <t>3D modelling</t>
        </is>
      </c>
      <c r="Z202" s="9" t="n"/>
      <c r="AA202" s="9" t="n"/>
      <c r="AB202" s="9" t="n"/>
      <c r="AC202" s="9" t="n"/>
      <c r="AD202" s="9" t="n"/>
      <c r="AE202" s="9" t="n"/>
      <c r="AF202" s="9" t="n"/>
      <c r="AG202" s="9" t="n"/>
    </row>
    <row r="203">
      <c r="A203" s="9" t="inlineStr">
        <is>
          <t>era</t>
        </is>
      </c>
      <c r="B203" s="9" t="inlineStr">
        <is>
          <t>R package for year-based time scales</t>
        </is>
      </c>
      <c r="C203" s="10" t="inlineStr">
        <is>
          <t>https://github.com/joeroe/era</t>
        </is>
      </c>
      <c r="D203" s="9" t="n"/>
      <c r="E203" s="9" t="n"/>
      <c r="F203" s="9" t="n"/>
      <c r="G203" s="9" t="n"/>
      <c r="H203" s="9" t="n"/>
      <c r="I203" s="9" t="n"/>
      <c r="J203" s="9" t="n"/>
      <c r="K203" s="10" t="inlineStr">
        <is>
          <t>https://cran.r-project.org/package=era</t>
        </is>
      </c>
      <c r="L203" s="9" t="n"/>
      <c r="M203" s="9" t="n"/>
      <c r="N203" s="10" t="inlineStr">
        <is>
          <t>https://era.joeroe.io/</t>
        </is>
      </c>
      <c r="O203" s="9" t="n"/>
      <c r="P203" s="9" t="n"/>
      <c r="Q203" s="9" t="inlineStr">
        <is>
          <t>joeroe</t>
        </is>
      </c>
      <c r="R203" s="9" t="n"/>
      <c r="S203" s="9" t="n"/>
      <c r="T203" s="9" t="n"/>
      <c r="U203" s="9" t="n"/>
      <c r="V203" s="9" t="n"/>
      <c r="W203" s="9" t="inlineStr">
        <is>
          <t>Packages and libraries</t>
        </is>
      </c>
      <c r="X203" s="9" t="inlineStr">
        <is>
          <t>R</t>
        </is>
      </c>
      <c r="Y203" s="9" t="inlineStr">
        <is>
          <t>Schemas and ontologies</t>
        </is>
      </c>
      <c r="Z203" s="9" t="n"/>
      <c r="AA203" s="9" t="n"/>
      <c r="AB203" s="9" t="n"/>
      <c r="AC203" s="9" t="n"/>
      <c r="AD203" s="9" t="n"/>
      <c r="AE203" s="10" t="inlineStr">
        <is>
          <t>https://archive.org/details/github.com-joeroe-era_-_2021-02-02_13-48-22</t>
        </is>
      </c>
      <c r="AF203" s="9" t="n"/>
      <c r="AG203" s="9" t="n"/>
    </row>
    <row r="204">
      <c r="A204" s="9" t="inlineStr">
        <is>
          <t>eratosthenes</t>
        </is>
      </c>
      <c r="B204" s="9" t="inlineStr">
        <is>
          <t>Provides a coherent foundation for archaeological chronology-building by incorporating, computationally, all relevant sources of information on uncertain archaeological or historical dates.</t>
        </is>
      </c>
      <c r="C204" s="10" t="inlineStr">
        <is>
          <t>https://github.com/scollinselliott/eratosthenes</t>
        </is>
      </c>
      <c r="D204" s="9" t="n"/>
      <c r="E204" s="9" t="n"/>
      <c r="F204" s="9" t="n"/>
      <c r="G204" s="9" t="n"/>
      <c r="H204" s="9" t="n"/>
      <c r="I204" s="9" t="n"/>
      <c r="J204" s="9" t="n"/>
      <c r="K204" s="9" t="n"/>
      <c r="L204" s="9" t="n"/>
      <c r="M204" s="9" t="n"/>
      <c r="N204" s="9" t="n"/>
      <c r="O204" s="9" t="n"/>
      <c r="P204" s="9" t="n"/>
      <c r="Q204" s="9" t="inlineStr">
        <is>
          <t>scollinselliott</t>
        </is>
      </c>
      <c r="R204" s="9" t="n"/>
      <c r="S204" s="9" t="n"/>
      <c r="T204" s="9" t="n"/>
      <c r="U204" s="9" t="n"/>
      <c r="V204" s="9" t="n"/>
      <c r="W204" s="9" t="inlineStr">
        <is>
          <t>Packages and libraries</t>
        </is>
      </c>
      <c r="X204" s="9" t="inlineStr">
        <is>
          <t>R</t>
        </is>
      </c>
      <c r="Y204" s="9" t="inlineStr">
        <is>
          <t>Chronological modelling</t>
        </is>
      </c>
      <c r="Z204" s="9" t="n"/>
      <c r="AA204" s="9" t="n"/>
      <c r="AB204" s="9" t="n"/>
      <c r="AC204" s="9" t="n"/>
      <c r="AD204" s="9" t="n"/>
      <c r="AE204" s="9" t="n"/>
      <c r="AF204" s="9" t="n"/>
      <c r="AG204" s="9" t="n"/>
    </row>
    <row r="205">
      <c r="A205" s="9" t="inlineStr">
        <is>
          <t>ethnobotanyR</t>
        </is>
      </c>
      <c r="B205" s="9" t="inlineStr">
        <is>
          <t>R package for calculating quantitative ethnobotany indices.</t>
        </is>
      </c>
      <c r="C205" s="10" t="inlineStr">
        <is>
          <t>https://github.com/CWWhitney/ethnobotanyR</t>
        </is>
      </c>
      <c r="D205" s="9" t="n"/>
      <c r="E205" s="9" t="n"/>
      <c r="F205" s="9" t="n"/>
      <c r="G205" s="9" t="n"/>
      <c r="H205" s="9" t="n"/>
      <c r="I205" s="9" t="n"/>
      <c r="J205" s="9" t="n"/>
      <c r="K205" s="9" t="n"/>
      <c r="L205" s="9" t="n"/>
      <c r="M205" s="9" t="n"/>
      <c r="N205" s="10" t="inlineStr">
        <is>
          <t>http://htmlpreview.github.io/?https://github.com/CWWhitney/ethnobotanyR/blob/master/vignettes/ethnobotanyr_vignette.html</t>
        </is>
      </c>
      <c r="O205" s="9" t="n"/>
      <c r="P205" s="9" t="n"/>
      <c r="Q205" s="9" t="inlineStr">
        <is>
          <t>CWWhitney</t>
        </is>
      </c>
      <c r="R205" s="9" t="n"/>
      <c r="S205" s="9" t="n"/>
      <c r="T205" s="9" t="n"/>
      <c r="U205" s="9" t="n"/>
      <c r="V205" s="9" t="n"/>
      <c r="W205" s="9" t="inlineStr">
        <is>
          <t>Packages and libraries</t>
        </is>
      </c>
      <c r="X205" s="9" t="inlineStr">
        <is>
          <t>R</t>
        </is>
      </c>
      <c r="Y205" s="9" t="inlineStr">
        <is>
          <t>Palaeobotany</t>
        </is>
      </c>
      <c r="Z205" s="9" t="n"/>
      <c r="AA205" s="9" t="n"/>
      <c r="AB205" s="9" t="n"/>
      <c r="AC205" s="9" t="n"/>
      <c r="AD205" s="9" t="n"/>
      <c r="AE205" s="10" t="inlineStr">
        <is>
          <t>https://archive.org/details/github.com-CWWhitney-ethnobotanyR_-_2021-01-08_12-45-25</t>
        </is>
      </c>
      <c r="AF205" s="9" t="n"/>
      <c r="AG205" s="9" t="n"/>
    </row>
    <row r="206">
      <c r="A206" s="9" t="inlineStr">
        <is>
          <t>evoarchdata</t>
        </is>
      </c>
      <c r="B206" s="9" t="inlineStr">
        <is>
          <t>Datasets from studies of cultural evolution in Archaeology</t>
        </is>
      </c>
      <c r="C206" s="10" t="inlineStr">
        <is>
          <t>https://github.com/benmarwick/evoarchdata</t>
        </is>
      </c>
      <c r="D206" s="9" t="n"/>
      <c r="E206" s="9" t="n"/>
      <c r="F206" s="9" t="n"/>
      <c r="G206" s="9" t="n"/>
      <c r="H206" s="9" t="n"/>
      <c r="I206" s="9" t="n"/>
      <c r="J206" s="9" t="n"/>
      <c r="K206" s="9" t="n"/>
      <c r="L206" s="9" t="n"/>
      <c r="M206" s="9" t="n"/>
      <c r="N206" s="9" t="n"/>
      <c r="O206" s="9" t="n"/>
      <c r="P206" s="9" t="n"/>
      <c r="Q206" s="9" t="inlineStr">
        <is>
          <t>benmarwick</t>
        </is>
      </c>
      <c r="R206" s="9" t="n"/>
      <c r="S206" s="9" t="n"/>
      <c r="T206" s="9" t="n"/>
      <c r="U206" s="9" t="n"/>
      <c r="V206" s="9" t="n"/>
      <c r="W206" s="9" t="inlineStr">
        <is>
          <t>Lists and datasets</t>
        </is>
      </c>
      <c r="X206" s="9" t="n"/>
      <c r="Y206" s="9" t="inlineStr">
        <is>
          <t>Datasets</t>
        </is>
      </c>
      <c r="Z206" s="9" t="inlineStr">
        <is>
          <t>Cultural evolution</t>
        </is>
      </c>
      <c r="AA206" s="9" t="n"/>
      <c r="AB206" s="9" t="n"/>
      <c r="AC206" s="9" t="n"/>
      <c r="AD206" s="9" t="n"/>
      <c r="AE206" s="10" t="inlineStr">
        <is>
          <t>https://archive.org/details/github.com-benmarwick-evoarchdata_-_2020-08-20_14-00-44</t>
        </is>
      </c>
      <c r="AF206" s="9" t="n"/>
      <c r="AG206" s="9" t="n"/>
    </row>
    <row r="207">
      <c r="A207" s="9" t="inlineStr">
        <is>
          <t>Excavation_data_viewer</t>
        </is>
      </c>
      <c r="B207" s="9" t="inlineStr">
        <is>
          <t>R Shiny app for viewing archaeological excavation data in 3D.</t>
        </is>
      </c>
      <c r="C207" s="10" t="inlineStr">
        <is>
          <t>https://github.com/samclin/Excavation_data_viewer</t>
        </is>
      </c>
      <c r="D207" s="9" t="n"/>
      <c r="E207" s="9" t="n"/>
      <c r="F207" s="9" t="n"/>
      <c r="G207" s="9" t="n"/>
      <c r="H207" s="9" t="n"/>
      <c r="I207" s="9" t="n"/>
      <c r="J207" s="9" t="n"/>
      <c r="K207" s="9" t="n"/>
      <c r="L207" s="9" t="n"/>
      <c r="M207" s="9" t="n"/>
      <c r="N207" s="9" t="n"/>
      <c r="O207" s="9" t="n"/>
      <c r="P207" s="9" t="n"/>
      <c r="Q207" s="9" t="inlineStr">
        <is>
          <t>samclin</t>
        </is>
      </c>
      <c r="R207" s="9" t="n"/>
      <c r="S207" s="9" t="n"/>
      <c r="T207" s="9" t="n"/>
      <c r="U207" s="9" t="n"/>
      <c r="V207" s="9" t="n"/>
      <c r="W207" s="9" t="inlineStr">
        <is>
          <t>Packages and libraries</t>
        </is>
      </c>
      <c r="X207" s="9" t="inlineStr">
        <is>
          <t>R</t>
        </is>
      </c>
      <c r="Y207" s="9" t="inlineStr">
        <is>
          <t>Data management</t>
        </is>
      </c>
      <c r="Z207" s="9" t="inlineStr">
        <is>
          <t>3D modelling</t>
        </is>
      </c>
      <c r="AA207" s="9" t="n"/>
      <c r="AB207" s="9" t="n"/>
      <c r="AC207" s="9" t="n"/>
      <c r="AD207" s="9" t="n"/>
      <c r="AE207" s="9" t="n"/>
      <c r="AF207" s="9" t="n"/>
      <c r="AG207" s="9" t="n"/>
    </row>
    <row r="208">
      <c r="A208" s="9" t="inlineStr">
        <is>
          <t>Explographe</t>
        </is>
      </c>
      <c r="B208" s="9" t="inlineStr">
        <is>
          <t>Application (in LibreOffice Calc) for serializing a graphic matrix from counting tables. The application makes it possible to obtain either a serograph or a graph of the PVI matrograph type (visualization of the differences in independence from the percentages of independence values) which does not favor the vision of the variables over that of the lines and more suitable for non-chronological treatments.</t>
        </is>
      </c>
      <c r="C208" s="9" t="n"/>
      <c r="D208" s="9" t="n"/>
      <c r="E208" s="9" t="n"/>
      <c r="F208" s="9" t="n"/>
      <c r="G208" s="9" t="n"/>
      <c r="H208" s="9" t="n"/>
      <c r="I208" s="9" t="n"/>
      <c r="J208" s="9" t="n"/>
      <c r="K208" s="9" t="n"/>
      <c r="L208" s="9" t="n"/>
      <c r="M208" s="9" t="n"/>
      <c r="N208" s="10" t="inlineStr">
        <is>
          <t>https://abp.hypotheses.org/le-programme-bassin-parisien/les-projets/les-projets-associes-au-programme/outils-danalyse-graphique-des-donnees</t>
        </is>
      </c>
      <c r="O208" s="9" t="n"/>
      <c r="P208" s="9" t="n"/>
      <c r="Q208" s="9" t="inlineStr">
        <is>
          <t>Bruno Desachy</t>
        </is>
      </c>
      <c r="R208" s="9" t="n"/>
      <c r="S208" s="9" t="n"/>
      <c r="T208" s="9" t="n"/>
      <c r="U208" s="9" t="n"/>
      <c r="V208" s="9" t="n"/>
      <c r="W208" s="9" t="inlineStr">
        <is>
          <t>Packages and libraries</t>
        </is>
      </c>
      <c r="X208" s="9" t="inlineStr">
        <is>
          <t>LibreOffice Calc</t>
        </is>
      </c>
      <c r="Y208" s="9" t="inlineStr">
        <is>
          <t>Statistical analysis</t>
        </is>
      </c>
      <c r="Z208" s="9" t="n"/>
      <c r="AA208" s="9" t="n"/>
      <c r="AB208" s="9" t="n"/>
      <c r="AC208" s="9" t="n"/>
      <c r="AD208" s="9" t="n"/>
      <c r="AE208" s="9" t="n"/>
      <c r="AF208" s="9" t="n"/>
      <c r="AG208" s="9" t="n"/>
    </row>
    <row r="209">
      <c r="A209" s="9" t="inlineStr">
        <is>
          <t>expotime</t>
        </is>
      </c>
      <c r="B209" s="9" t="inlineStr">
        <is>
          <t>What is the correlation between the exposure time of your photographs and the time of the day?</t>
        </is>
      </c>
      <c r="C209" s="9" t="n"/>
      <c r="D209" s="9" t="n"/>
      <c r="E209" s="9" t="n"/>
      <c r="F209" s="9" t="n"/>
      <c r="G209" s="9" t="n"/>
      <c r="H209" s="9" t="n"/>
      <c r="I209" s="9" t="n"/>
      <c r="J209" s="9" t="n"/>
      <c r="K209" s="9" t="n"/>
      <c r="L209" s="9" t="n"/>
      <c r="M209" s="10" t="inlineStr">
        <is>
          <t>https://codeberg.org/steko/expotime</t>
        </is>
      </c>
      <c r="N209" s="9" t="n"/>
      <c r="O209" s="9" t="n"/>
      <c r="P209" s="9" t="n"/>
      <c r="Q209" s="9" t="inlineStr">
        <is>
          <t>steko</t>
        </is>
      </c>
      <c r="R209" s="9" t="n"/>
      <c r="S209" s="9" t="n"/>
      <c r="T209" s="9" t="n"/>
      <c r="U209" s="9" t="n"/>
      <c r="V209" s="9" t="n"/>
      <c r="W209" s="9" t="inlineStr">
        <is>
          <t>Scripts</t>
        </is>
      </c>
      <c r="X209" s="9" t="inlineStr">
        <is>
          <t>Python</t>
        </is>
      </c>
      <c r="Y209" s="9" t="inlineStr">
        <is>
          <t>Photography</t>
        </is>
      </c>
      <c r="Z209" s="9" t="n"/>
      <c r="AA209" s="9" t="n"/>
      <c r="AB209" s="9" t="n"/>
      <c r="AC209" s="9" t="n"/>
      <c r="AD209" s="9" t="n"/>
      <c r="AE209" s="10" t="inlineStr">
        <is>
          <t>https://archive.org/details/codeberg.org-steko-expotime_-_2020-08-08_08-20-45</t>
        </is>
      </c>
      <c r="AF209" s="9" t="n"/>
      <c r="AG209" s="9" t="n"/>
    </row>
    <row r="210">
      <c r="A210" s="9" t="inlineStr">
        <is>
          <t>ExtendedMatrix</t>
        </is>
      </c>
      <c r="B210" s="9" t="inlineStr">
        <is>
          <t>A scientific method and formal language for the Cultural Heritage domain that formalises complex interpretative philological phenomena such as virtual reconstructive hypotheses in a transparent and robust manner.</t>
        </is>
      </c>
      <c r="C210" s="10" t="inlineStr">
        <is>
          <t>https://github.com/zalmoxes-laran/ExtendedMatrix</t>
        </is>
      </c>
      <c r="D210" s="9" t="n"/>
      <c r="E210" s="9" t="n"/>
      <c r="F210" s="9" t="n"/>
      <c r="G210" s="9" t="n"/>
      <c r="H210" s="9" t="n"/>
      <c r="I210" s="9" t="n"/>
      <c r="J210" s="9" t="n"/>
      <c r="K210" s="9" t="n"/>
      <c r="L210" s="9" t="n"/>
      <c r="M210" s="9" t="n"/>
      <c r="N210" s="10" t="inlineStr">
        <is>
          <t>https://www.extendedmatrix.org/home</t>
        </is>
      </c>
      <c r="O210" s="10" t="inlineStr">
        <is>
          <t>https://doi.org/10.3390/heritage6020069</t>
        </is>
      </c>
      <c r="P210" s="9" t="n"/>
      <c r="Q210" s="9" t="inlineStr">
        <is>
          <t>zalmoxes-laran</t>
        </is>
      </c>
      <c r="R210" s="9" t="inlineStr">
        <is>
          <t>Bruno Fanini</t>
        </is>
      </c>
      <c r="S210" s="9" t="inlineStr">
        <is>
          <t>Enzo Cocca</t>
        </is>
      </c>
      <c r="T210" s="9" t="n"/>
      <c r="U210" s="9" t="n"/>
      <c r="V210" s="9" t="n"/>
      <c r="W210" s="9" t="inlineStr">
        <is>
          <t>Standalone software</t>
        </is>
      </c>
      <c r="X210" s="9" t="n"/>
      <c r="Y210" s="9" t="inlineStr">
        <is>
          <t>Schemas and ontologies</t>
        </is>
      </c>
      <c r="Z210" s="9" t="n"/>
      <c r="AA210" s="9" t="n"/>
      <c r="AB210" s="9" t="n"/>
      <c r="AC210" s="9" t="n"/>
      <c r="AD210" s="9" t="n"/>
      <c r="AE210" s="9" t="n"/>
      <c r="AF210" s="9" t="n"/>
      <c r="AG210" s="9" t="n"/>
    </row>
    <row r="211">
      <c r="A211" s="9" t="inlineStr">
        <is>
          <t>fabryka</t>
        </is>
      </c>
      <c r="B211" s="9" t="inlineStr">
        <is>
          <t>Shiny app fabric analysis.</t>
        </is>
      </c>
      <c r="C211" s="10" t="inlineStr">
        <is>
          <t>https://github.com/marchaeologist/fabryka</t>
        </is>
      </c>
      <c r="D211" s="9" t="n"/>
      <c r="E211" s="9" t="n"/>
      <c r="F211" s="9" t="n"/>
      <c r="G211" s="9" t="n"/>
      <c r="H211" s="9" t="n"/>
      <c r="I211" s="9" t="n"/>
      <c r="J211" s="9" t="n"/>
      <c r="K211" s="9" t="n"/>
      <c r="L211" s="9" t="n"/>
      <c r="M211" s="9" t="n"/>
      <c r="N211" s="9" t="n"/>
      <c r="O211" s="9" t="n"/>
      <c r="P211" s="9" t="n"/>
      <c r="Q211" s="9" t="inlineStr">
        <is>
          <t>marchaeologist</t>
        </is>
      </c>
      <c r="R211" s="9" t="n"/>
      <c r="S211" s="9" t="n"/>
      <c r="T211" s="9" t="n"/>
      <c r="U211" s="9" t="n"/>
      <c r="V211" s="9" t="n"/>
      <c r="W211" s="9" t="inlineStr">
        <is>
          <t>Scripts</t>
        </is>
      </c>
      <c r="X211" s="9" t="inlineStr">
        <is>
          <t>R</t>
        </is>
      </c>
      <c r="Y211" s="9" t="inlineStr">
        <is>
          <t>Site mapping</t>
        </is>
      </c>
      <c r="Z211" s="9" t="inlineStr">
        <is>
          <t>Spatial analysis</t>
        </is>
      </c>
      <c r="AA211" s="9" t="n"/>
      <c r="AB211" s="9" t="n"/>
      <c r="AC211" s="9" t="n"/>
      <c r="AD211" s="9" t="n"/>
      <c r="AE211" s="9" t="n"/>
      <c r="AF211" s="9" t="n"/>
      <c r="AG211" s="9" t="n"/>
    </row>
    <row r="212">
      <c r="A212" s="9" t="inlineStr">
        <is>
          <t>fastmaRching</t>
        </is>
      </c>
      <c r="B212" s="9" t="inlineStr">
        <is>
          <t>An R implementation of the Fast Marching Method (FMM), first developed by Sethian (1996), with the modifications of Silva and Steele (2012, 2014). Also included is a spatial wrapper function that makes it easier to model dispersal scenarios in geospatial domains, as originally envisaged for the study and simulation of prehistoric dispersals</t>
        </is>
      </c>
      <c r="C212" s="10" t="inlineStr">
        <is>
          <t>https://github.com/f-silva-archaeo/fastmaRching</t>
        </is>
      </c>
      <c r="D212" s="9" t="n"/>
      <c r="E212" s="9" t="n"/>
      <c r="F212" s="9" t="n"/>
      <c r="G212" s="9" t="n"/>
      <c r="H212" s="9" t="n"/>
      <c r="I212" s="9" t="n"/>
      <c r="J212" s="9" t="n"/>
      <c r="K212" s="10" t="inlineStr">
        <is>
          <t>https://cran.r-project.org/package=fastmaRching</t>
        </is>
      </c>
      <c r="L212" s="9" t="n"/>
      <c r="M212" s="9" t="n"/>
      <c r="N212" s="9" t="n"/>
      <c r="O212" s="10" t="inlineStr">
        <is>
          <t>https://doi.org/10.1016/j.jas.2014.04.021</t>
        </is>
      </c>
      <c r="P212" s="9" t="inlineStr">
        <is>
          <t>10.5281/zenodo.1204397</t>
        </is>
      </c>
      <c r="Q212" s="9" t="inlineStr">
        <is>
          <t>f-silva-archaeo</t>
        </is>
      </c>
      <c r="R212" s="9" t="n"/>
      <c r="S212" s="9" t="n"/>
      <c r="T212" s="9" t="n"/>
      <c r="U212" s="9" t="n"/>
      <c r="V212" s="9" t="n"/>
      <c r="W212" s="9" t="inlineStr">
        <is>
          <t>Packages and libraries</t>
        </is>
      </c>
      <c r="X212" s="9" t="inlineStr">
        <is>
          <t>R</t>
        </is>
      </c>
      <c r="Y212" s="9" t="inlineStr">
        <is>
          <t>Spatial analysis</t>
        </is>
      </c>
      <c r="Z212" s="9" t="n"/>
      <c r="AA212" s="9" t="n"/>
      <c r="AB212" s="9" t="n"/>
      <c r="AC212" s="9" t="n"/>
      <c r="AD212" s="9" t="n"/>
      <c r="AE212" s="10" t="inlineStr">
        <is>
          <t>https://archive.org/details/github.com-f-silva-archaeo-fastmaRching_-_2019-09-05_11-20-15</t>
        </is>
      </c>
      <c r="AF212" s="9" t="n"/>
      <c r="AG212" s="9" t="n"/>
    </row>
    <row r="213">
      <c r="A213" s="9" t="inlineStr">
        <is>
          <t>fellingDateR</t>
        </is>
      </c>
      <c r="B213" s="9" t="inlineStr">
        <is>
          <t>Compute and combine felling date estimates for historical tree-ring series with (incomplete) sapwood.</t>
        </is>
      </c>
      <c r="C213" s="10" t="inlineStr">
        <is>
          <t>https://github.com/hanecakr/fellingDateR</t>
        </is>
      </c>
      <c r="D213" s="9" t="n"/>
      <c r="E213" s="9" t="n"/>
      <c r="F213" s="9" t="n"/>
      <c r="G213" s="9" t="n"/>
      <c r="H213" s="9" t="n"/>
      <c r="I213" s="9" t="n"/>
      <c r="J213" s="9" t="n"/>
      <c r="K213" s="9" t="n"/>
      <c r="L213" s="9" t="n"/>
      <c r="M213" s="9" t="n"/>
      <c r="N213" s="9" t="n"/>
      <c r="O213" s="9" t="n"/>
      <c r="P213" s="9" t="n"/>
      <c r="Q213" s="9" t="inlineStr">
        <is>
          <t>hanecakr</t>
        </is>
      </c>
      <c r="R213" s="9" t="n"/>
      <c r="S213" s="9" t="n"/>
      <c r="T213" s="9" t="n"/>
      <c r="U213" s="9" t="n"/>
      <c r="V213" s="9" t="n"/>
      <c r="W213" s="9" t="inlineStr">
        <is>
          <t>Packages and libraries</t>
        </is>
      </c>
      <c r="X213" s="9" t="inlineStr">
        <is>
          <t>R</t>
        </is>
      </c>
      <c r="Y213" s="9" t="inlineStr">
        <is>
          <t>Chronological modelling</t>
        </is>
      </c>
      <c r="Z213" s="9" t="inlineStr">
        <is>
          <t>Dendrochronology</t>
        </is>
      </c>
      <c r="AA213" s="9" t="n"/>
      <c r="AB213" s="9" t="n"/>
      <c r="AC213" s="9" t="n"/>
      <c r="AD213" s="9" t="n"/>
      <c r="AE213" s="9" t="n"/>
      <c r="AF213" s="9" t="n"/>
      <c r="AG213" s="9" t="n"/>
    </row>
    <row r="214">
      <c r="A214" s="9" t="inlineStr">
        <is>
          <t>Fiche Stratigraphique Numérique (FSN)</t>
        </is>
      </c>
      <c r="B214" s="9" t="inlineStr">
        <is>
          <t>Fiche Stratigraphique Numerique (FSN) is an application project for field recording and management of archaeological operations data.</t>
        </is>
      </c>
      <c r="C214" s="9" t="n"/>
      <c r="D214" s="9" t="n"/>
      <c r="E214" s="9" t="n"/>
      <c r="F214" s="9" t="n"/>
      <c r="G214" s="9" t="n"/>
      <c r="H214" s="9" t="n"/>
      <c r="I214" s="9" t="n"/>
      <c r="J214" s="9" t="n"/>
      <c r="K214" s="9" t="n"/>
      <c r="L214" s="9" t="n"/>
      <c r="M214" s="9" t="n"/>
      <c r="N214" s="10" t="inlineStr">
        <is>
          <t>https://abp.hypotheses.org/le-programme-bassin-parisien/les-projets/les-projets-associes-au-programme/fsn</t>
        </is>
      </c>
      <c r="O214" s="9" t="n"/>
      <c r="P214" s="9" t="n"/>
      <c r="Q214" s="9" t="inlineStr">
        <is>
          <t>Bruno Desachy</t>
        </is>
      </c>
      <c r="R214" s="9" t="n"/>
      <c r="S214" s="9" t="n"/>
      <c r="T214" s="9" t="n"/>
      <c r="U214" s="9" t="n"/>
      <c r="V214" s="9" t="n"/>
      <c r="W214" s="9" t="inlineStr">
        <is>
          <t>Standalone software</t>
        </is>
      </c>
      <c r="X214" s="9" t="n"/>
      <c r="Y214" s="9" t="inlineStr">
        <is>
          <t>Data management</t>
        </is>
      </c>
      <c r="Z214" s="9" t="n"/>
      <c r="AA214" s="9" t="n"/>
      <c r="AB214" s="9" t="n"/>
      <c r="AC214" s="9" t="n"/>
      <c r="AD214" s="9" t="n"/>
      <c r="AE214" s="9" t="n"/>
      <c r="AF214" s="9" t="n"/>
      <c r="AG214" s="9" t="n"/>
    </row>
    <row r="215">
      <c r="A215" s="9" t="inlineStr">
        <is>
          <t>field-photographs</t>
        </is>
      </c>
      <c r="B215" s="9" t="inlineStr">
        <is>
          <t>Android apps for archaeology that enable photography during field work.</t>
        </is>
      </c>
      <c r="C215" s="10" t="inlineStr">
        <is>
          <t>https://github.com/anatolian/field-photographs</t>
        </is>
      </c>
      <c r="D215" s="9" t="n"/>
      <c r="E215" s="9" t="n"/>
      <c r="F215" s="9" t="n"/>
      <c r="G215" s="9" t="n"/>
      <c r="H215" s="9" t="n"/>
      <c r="I215" s="9" t="n"/>
      <c r="J215" s="9" t="n"/>
      <c r="K215" s="9" t="n"/>
      <c r="L215" s="9" t="n"/>
      <c r="M215" s="9" t="n"/>
      <c r="N215" s="9" t="n"/>
      <c r="O215" s="9" t="n"/>
      <c r="P215" s="9" t="n"/>
      <c r="Q215" s="9" t="inlineStr">
        <is>
          <t>anatolian</t>
        </is>
      </c>
      <c r="R215" s="9" t="n"/>
      <c r="S215" s="9" t="n"/>
      <c r="T215" s="9" t="n"/>
      <c r="U215" s="9" t="n"/>
      <c r="V215" s="9" t="n"/>
      <c r="W215" s="9" t="inlineStr">
        <is>
          <t>Packages and libraries</t>
        </is>
      </c>
      <c r="X215" s="9" t="inlineStr">
        <is>
          <t>Mobile app</t>
        </is>
      </c>
      <c r="Y215" s="9" t="inlineStr">
        <is>
          <t>Site mapping</t>
        </is>
      </c>
      <c r="Z215" s="9" t="n"/>
      <c r="AA215" s="9" t="n"/>
      <c r="AB215" s="9" t="n"/>
      <c r="AC215" s="9" t="n"/>
      <c r="AD215" s="9" t="n"/>
      <c r="AE215" s="10" t="inlineStr">
        <is>
          <t>https://archive.org/details/github.com-anatolian-field-photographs_-_2016-03-06_19-58-32</t>
        </is>
      </c>
      <c r="AF215" s="9" t="n"/>
      <c r="AG215" s="9" t="n"/>
    </row>
    <row r="216">
      <c r="A216" s="9" t="inlineStr">
        <is>
          <t>fieldwalkr</t>
        </is>
      </c>
      <c r="B216" s="9" t="inlineStr">
        <is>
          <t>Spatial Sampling and Survey Simulation Tools.</t>
        </is>
      </c>
      <c r="C216" s="10" t="inlineStr">
        <is>
          <t>https://github.com/joeroe/fieldwalkr</t>
        </is>
      </c>
      <c r="D216" s="9" t="n"/>
      <c r="E216" s="9" t="n"/>
      <c r="F216" s="9" t="n"/>
      <c r="G216" s="9" t="n"/>
      <c r="H216" s="9" t="n"/>
      <c r="I216" s="9" t="n"/>
      <c r="J216" s="9" t="n"/>
      <c r="K216" s="9" t="n"/>
      <c r="L216" s="9" t="n"/>
      <c r="M216" s="9" t="n"/>
      <c r="N216" s="9" t="n"/>
      <c r="O216" s="9" t="n"/>
      <c r="P216" s="9" t="n"/>
      <c r="Q216" s="9" t="inlineStr">
        <is>
          <t>joeroe</t>
        </is>
      </c>
      <c r="R216" s="9" t="n"/>
      <c r="S216" s="9" t="n"/>
      <c r="T216" s="9" t="n"/>
      <c r="U216" s="9" t="n"/>
      <c r="V216" s="9" t="n"/>
      <c r="W216" s="9" t="inlineStr">
        <is>
          <t>Packages and libraries</t>
        </is>
      </c>
      <c r="X216" s="9" t="inlineStr">
        <is>
          <t>R</t>
        </is>
      </c>
      <c r="Y216" s="9" t="inlineStr">
        <is>
          <t>Site mapping</t>
        </is>
      </c>
      <c r="Z216" s="9" t="n"/>
      <c r="AA216" s="9" t="n"/>
      <c r="AB216" s="9" t="n"/>
      <c r="AC216" s="9" t="n"/>
      <c r="AD216" s="9" t="n"/>
      <c r="AE216" s="10" t="inlineStr">
        <is>
          <t>https://archive.org/details/github.com-joeroe-fieldwalkr_-_2019-03-18_08-56-49</t>
        </is>
      </c>
      <c r="AF216" s="9" t="n"/>
      <c r="AG216" s="9" t="n"/>
    </row>
    <row r="217">
      <c r="A217" s="9" t="inlineStr">
        <is>
          <t>FISH Vocabularies</t>
        </is>
      </c>
      <c r="B217" s="9" t="inlineStr">
        <is>
          <t>A suite of terminologies developed for indexing cultural heritage.</t>
        </is>
      </c>
      <c r="C217" s="9" t="n"/>
      <c r="D217" s="9" t="n"/>
      <c r="E217" s="9" t="n"/>
      <c r="F217" s="9" t="n"/>
      <c r="G217" s="9" t="n"/>
      <c r="H217" s="9" t="n"/>
      <c r="I217" s="9" t="n"/>
      <c r="J217" s="9" t="n"/>
      <c r="K217" s="9" t="n"/>
      <c r="L217" s="9" t="n"/>
      <c r="M217" s="9" t="n"/>
      <c r="N217" s="10" t="inlineStr">
        <is>
          <t>http://www.heritage-standards.org.uk/fish-vocabularies/</t>
        </is>
      </c>
      <c r="O217" s="9" t="n"/>
      <c r="P217" s="9" t="n"/>
      <c r="Q217" s="9" t="inlineStr">
        <is>
          <t>Forum on Information Standards in Heritage</t>
        </is>
      </c>
      <c r="R217" s="9" t="n"/>
      <c r="S217" s="9" t="n"/>
      <c r="T217" s="9" t="n"/>
      <c r="U217" s="9" t="n"/>
      <c r="V217" s="9" t="n"/>
      <c r="W217" s="9" t="inlineStr">
        <is>
          <t>Specifications, protocols and schemas</t>
        </is>
      </c>
      <c r="X217" s="9" t="n"/>
      <c r="Y217" s="9" t="inlineStr">
        <is>
          <t>Schemas and ontologies</t>
        </is>
      </c>
      <c r="Z217" s="9" t="n"/>
      <c r="AA217" s="9" t="n"/>
      <c r="AB217" s="9" t="n"/>
      <c r="AC217" s="9" t="n"/>
      <c r="AD217" s="9" t="n"/>
      <c r="AE217" s="9" t="n"/>
      <c r="AF217" s="9" t="n"/>
      <c r="AG217" s="9" t="n"/>
    </row>
    <row r="218">
      <c r="A218" s="9" t="inlineStr">
        <is>
          <t>Fix-exif-artist</t>
        </is>
      </c>
      <c r="B218" s="9" t="inlineStr">
        <is>
          <t>Fix the Exif.Image.Artist tag based on user input depending from the camera model. Useful if you have a bunch of photographs from different people all mixed up.</t>
        </is>
      </c>
      <c r="C218" s="9" t="n"/>
      <c r="D218" s="9" t="n"/>
      <c r="E218" s="9" t="n"/>
      <c r="F218" s="9" t="n"/>
      <c r="G218" s="9" t="n"/>
      <c r="H218" s="9" t="n"/>
      <c r="I218" s="9" t="n"/>
      <c r="J218" s="9" t="n"/>
      <c r="K218" s="9" t="n"/>
      <c r="L218" s="9" t="n"/>
      <c r="M218" s="10" t="inlineStr">
        <is>
          <t>https://codeberg.org/steko/fix-exif-artist</t>
        </is>
      </c>
      <c r="N218" s="9" t="n"/>
      <c r="O218" s="9" t="n"/>
      <c r="P218" s="9" t="n"/>
      <c r="Q218" s="9" t="inlineStr">
        <is>
          <t>steko</t>
        </is>
      </c>
      <c r="R218" s="9" t="n"/>
      <c r="S218" s="9" t="n"/>
      <c r="T218" s="9" t="n"/>
      <c r="U218" s="9" t="n"/>
      <c r="V218" s="9" t="n"/>
      <c r="W218" s="9" t="inlineStr">
        <is>
          <t>Scripts</t>
        </is>
      </c>
      <c r="X218" s="9" t="inlineStr">
        <is>
          <t>Python</t>
        </is>
      </c>
      <c r="Y218" s="9" t="inlineStr">
        <is>
          <t>Bits and bobs</t>
        </is>
      </c>
      <c r="Z218" s="9" t="n"/>
      <c r="AA218" s="9" t="n"/>
      <c r="AB218" s="9" t="n"/>
      <c r="AC218" s="9" t="n"/>
      <c r="AD218" s="9" t="n"/>
      <c r="AE218" s="10" t="inlineStr">
        <is>
          <t>https://archive.org/details/codeberg.org-steko-fix-exif-artist_-_2020-03-25_20-46-58</t>
        </is>
      </c>
      <c r="AF218" s="9" t="n"/>
      <c r="AG218" s="9" t="n"/>
    </row>
    <row r="219">
      <c r="A219" s="9" t="inlineStr">
        <is>
          <t>folio</t>
        </is>
      </c>
      <c r="B219" s="9" t="inlineStr">
        <is>
          <t>Datasets for Teaching Archaeology and Palaeontology</t>
        </is>
      </c>
      <c r="C219" s="10" t="inlineStr">
        <is>
          <t>https://github.com/tesselle/folio</t>
        </is>
      </c>
      <c r="D219" s="9" t="n"/>
      <c r="E219" s="9" t="n"/>
      <c r="F219" s="9" t="n"/>
      <c r="G219" s="9" t="n"/>
      <c r="H219" s="9" t="n"/>
      <c r="I219" s="9" t="n"/>
      <c r="J219" s="9" t="n"/>
      <c r="K219" s="10" t="inlineStr">
        <is>
          <t>https://cran.r-project.org/package=folio</t>
        </is>
      </c>
      <c r="L219" s="9" t="n"/>
      <c r="M219" s="9" t="n"/>
      <c r="N219" s="10" t="inlineStr">
        <is>
          <t>https://packages.tesselle.org/folio/</t>
        </is>
      </c>
      <c r="O219" s="9" t="n"/>
      <c r="P219" s="9" t="inlineStr">
        <is>
          <t>10.5281/zenodo.4476182</t>
        </is>
      </c>
      <c r="Q219" s="9" t="inlineStr">
        <is>
          <t>tesselle</t>
        </is>
      </c>
      <c r="R219" s="9" t="n"/>
      <c r="S219" s="9" t="n"/>
      <c r="T219" s="9" t="n"/>
      <c r="U219" s="9" t="n"/>
      <c r="V219" s="9" t="n"/>
      <c r="W219" s="9" t="inlineStr">
        <is>
          <t>Lists and datasets</t>
        </is>
      </c>
      <c r="X219" s="9" t="inlineStr">
        <is>
          <t>R</t>
        </is>
      </c>
      <c r="Y219" s="9" t="inlineStr">
        <is>
          <t>Datasets</t>
        </is>
      </c>
      <c r="Z219" s="9" t="inlineStr">
        <is>
          <t>Educational resources and practical guides</t>
        </is>
      </c>
      <c r="AA219" s="9" t="n"/>
      <c r="AB219" s="9" t="n"/>
      <c r="AC219" s="9" t="n"/>
      <c r="AD219" s="9" t="n"/>
      <c r="AE219" s="10" t="inlineStr">
        <is>
          <t>https://archive.org/details/github.com-tesselle-folio_-_2021-05-24_16-01-32</t>
        </is>
      </c>
      <c r="AF219" s="9" t="n"/>
      <c r="AG219" s="9" t="n"/>
    </row>
    <row r="220">
      <c r="A220" s="9" t="inlineStr">
        <is>
          <t>Ford-Diagram</t>
        </is>
      </c>
      <c r="B220" s="9" t="inlineStr">
        <is>
          <t>This R Function creates a simple Ford diagram for archaeological seriation with error bars determined based on sample size were count data are given</t>
        </is>
      </c>
      <c r="C220" s="10" t="inlineStr">
        <is>
          <t>https://github.com/mpeeples2008/Ford-Diagram</t>
        </is>
      </c>
      <c r="D220" s="9" t="n"/>
      <c r="E220" s="9" t="n"/>
      <c r="F220" s="9" t="n"/>
      <c r="G220" s="9" t="n"/>
      <c r="H220" s="9" t="n"/>
      <c r="I220" s="9" t="n"/>
      <c r="J220" s="9" t="n"/>
      <c r="K220" s="9" t="n"/>
      <c r="L220" s="9" t="n"/>
      <c r="M220" s="9" t="n"/>
      <c r="N220" s="9" t="n"/>
      <c r="O220" s="9" t="n"/>
      <c r="P220" s="9" t="n"/>
      <c r="Q220" s="9" t="inlineStr">
        <is>
          <t>mpeeples2008</t>
        </is>
      </c>
      <c r="R220" s="9" t="n"/>
      <c r="S220" s="9" t="n"/>
      <c r="T220" s="9" t="n"/>
      <c r="U220" s="9" t="n"/>
      <c r="V220" s="9" t="n"/>
      <c r="W220" s="9" t="inlineStr">
        <is>
          <t>Scripts</t>
        </is>
      </c>
      <c r="X220" s="9" t="inlineStr">
        <is>
          <t>R</t>
        </is>
      </c>
      <c r="Y220" s="9" t="inlineStr">
        <is>
          <t>Diagrams and visualizations</t>
        </is>
      </c>
      <c r="Z220" s="9" t="inlineStr">
        <is>
          <t>Seriation</t>
        </is>
      </c>
      <c r="AA220" s="9" t="n"/>
      <c r="AB220" s="9" t="n"/>
      <c r="AC220" s="9" t="n"/>
      <c r="AD220" s="9" t="n"/>
      <c r="AE220" s="10" t="inlineStr">
        <is>
          <t>https://archive.org/details/github.com-mpeeples2008-Ford-Diagram_-_2019-01-14_18-46-58</t>
        </is>
      </c>
      <c r="AF220" s="9" t="n"/>
      <c r="AG220" s="9" t="n"/>
    </row>
    <row r="221">
      <c r="A221" s="9" t="inlineStr">
        <is>
          <t>FuzzyViewshed</t>
        </is>
      </c>
      <c r="B221" s="9" t="inlineStr">
        <is>
          <t>ArcGIS toolbox for fuzzy viewshed calculation.</t>
        </is>
      </c>
      <c r="C221" s="10" t="inlineStr">
        <is>
          <t>https://github.com/gianmarcoalberti/FuzzyViewshed</t>
        </is>
      </c>
      <c r="D221" s="9" t="n"/>
      <c r="E221" s="9" t="n"/>
      <c r="F221" s="9" t="n"/>
      <c r="G221" s="9" t="n"/>
      <c r="H221" s="9" t="n"/>
      <c r="I221" s="9" t="n"/>
      <c r="J221" s="9" t="n"/>
      <c r="K221" s="9" t="n"/>
      <c r="L221" s="9" t="n"/>
      <c r="M221" s="9" t="n"/>
      <c r="N221" s="9" t="n"/>
      <c r="O221" s="9" t="n"/>
      <c r="P221" s="9" t="n"/>
      <c r="Q221" s="9" t="inlineStr">
        <is>
          <t>gianmarcoalberti</t>
        </is>
      </c>
      <c r="R221" s="9" t="n"/>
      <c r="S221" s="9" t="n"/>
      <c r="T221" s="9" t="n"/>
      <c r="U221" s="9" t="n"/>
      <c r="V221" s="9" t="n"/>
      <c r="W221" s="9" t="inlineStr">
        <is>
          <t>Packages and libraries</t>
        </is>
      </c>
      <c r="X221" s="9" t="inlineStr">
        <is>
          <t>ArcGIS</t>
        </is>
      </c>
      <c r="Y221" s="9" t="inlineStr">
        <is>
          <t>Spatial analysis</t>
        </is>
      </c>
      <c r="Z221" s="9" t="inlineStr">
        <is>
          <t>Viewshed analysis</t>
        </is>
      </c>
      <c r="AA221" s="9" t="n"/>
      <c r="AB221" s="9" t="n"/>
      <c r="AC221" s="9" t="n"/>
      <c r="AD221" s="9" t="n"/>
      <c r="AE221" s="10" t="inlineStr">
        <is>
          <t>https://archive.org/details/github.com-gianmarcoalberti-FuzzyViewshed_-_2017-10-31_07-54-32</t>
        </is>
      </c>
      <c r="AF221" s="9" t="n"/>
      <c r="AG221" s="9" t="n"/>
    </row>
    <row r="222">
      <c r="A222" s="9" t="inlineStr">
        <is>
          <t>gamma</t>
        </is>
      </c>
      <c r="B222" s="9" t="inlineStr">
        <is>
          <t>Dose Rate Estimation from In-Situ Gamma-Ray Spectrometry Measurements for Luminescence Dating</t>
        </is>
      </c>
      <c r="C222" s="10" t="inlineStr">
        <is>
          <t>https://github.com/crp2a/gamma</t>
        </is>
      </c>
      <c r="D222" s="9" t="n"/>
      <c r="E222" s="9" t="n"/>
      <c r="F222" s="9" t="n"/>
      <c r="G222" s="9" t="n"/>
      <c r="H222" s="9" t="n"/>
      <c r="I222" s="9" t="n"/>
      <c r="J222" s="9" t="n"/>
      <c r="K222" s="10" t="inlineStr">
        <is>
          <t>https://cran.r-project.org/package=gamma</t>
        </is>
      </c>
      <c r="L222" s="9" t="n"/>
      <c r="M222" s="9" t="n"/>
      <c r="N222" s="10" t="inlineStr">
        <is>
          <t>https://crp2a.github.io/gamma/</t>
        </is>
      </c>
      <c r="O222" s="9" t="n"/>
      <c r="P222" s="9" t="inlineStr">
        <is>
          <t>10.5281/zenodo.2652393</t>
        </is>
      </c>
      <c r="Q222" s="9" t="inlineStr">
        <is>
          <t>nfrerebeau</t>
        </is>
      </c>
      <c r="R222" s="9" t="n"/>
      <c r="S222" s="9" t="n"/>
      <c r="T222" s="9" t="n"/>
      <c r="U222" s="9" t="n"/>
      <c r="V222" s="9" t="n"/>
      <c r="W222" s="9" t="inlineStr">
        <is>
          <t>Packages and libraries</t>
        </is>
      </c>
      <c r="X222" s="9" t="inlineStr">
        <is>
          <t>R</t>
        </is>
      </c>
      <c r="Y222" s="9" t="inlineStr">
        <is>
          <t>Luminescence dating</t>
        </is>
      </c>
      <c r="Z222" s="9" t="n"/>
      <c r="AA222" s="9" t="n"/>
      <c r="AB222" s="9" t="n"/>
      <c r="AC222" s="9" t="n"/>
      <c r="AD222" s="9" t="n"/>
      <c r="AE222" s="10" t="inlineStr">
        <is>
          <t>https://archive.org/details/github.com-crp2a-gamma_-_2021-01-14_11-31-46</t>
        </is>
      </c>
      <c r="AF222" s="9" t="n"/>
      <c r="AG222" s="9" t="n"/>
    </row>
    <row r="223">
      <c r="A223" s="9" t="inlineStr">
        <is>
          <t>GCD</t>
        </is>
      </c>
      <c r="B223" s="9" t="inlineStr">
        <is>
          <t>Global Charcoal Database</t>
        </is>
      </c>
      <c r="C223" s="10" t="inlineStr">
        <is>
          <t>https://github.com/oblarquez/GCD</t>
        </is>
      </c>
      <c r="D223" s="9" t="n"/>
      <c r="E223" s="9" t="n"/>
      <c r="F223" s="9" t="n"/>
      <c r="G223" s="9" t="n"/>
      <c r="H223" s="9" t="n"/>
      <c r="I223" s="9" t="n"/>
      <c r="J223" s="9" t="n"/>
      <c r="K223" s="9" t="n"/>
      <c r="L223" s="9" t="n"/>
      <c r="M223" s="9" t="n"/>
      <c r="N223" s="9" t="n"/>
      <c r="O223" s="9" t="n"/>
      <c r="P223" s="9" t="n"/>
      <c r="Q223" s="9" t="inlineStr">
        <is>
          <t>oblarquez</t>
        </is>
      </c>
      <c r="R223" s="9" t="n"/>
      <c r="S223" s="9" t="n"/>
      <c r="T223" s="9" t="n"/>
      <c r="U223" s="9" t="n"/>
      <c r="V223" s="9" t="n"/>
      <c r="W223" s="9" t="inlineStr">
        <is>
          <t>Lists and datasets</t>
        </is>
      </c>
      <c r="X223" s="9" t="n"/>
      <c r="Y223" s="9" t="inlineStr">
        <is>
          <t>Datasets</t>
        </is>
      </c>
      <c r="Z223" s="9" t="n"/>
      <c r="AA223" s="9" t="n"/>
      <c r="AB223" s="9" t="n"/>
      <c r="AC223" s="9" t="n"/>
      <c r="AD223" s="9" t="n"/>
      <c r="AE223" s="10" t="inlineStr">
        <is>
          <t>https://archive.org/details/github.com-oblarquez-GCD_-_2020-10-26_18-54-03</t>
        </is>
      </c>
      <c r="AF223" s="9" t="n"/>
      <c r="AG223" s="9" t="n"/>
    </row>
    <row r="224">
      <c r="A224" s="9" t="inlineStr">
        <is>
          <t>geoCore</t>
        </is>
      </c>
      <c r="B224" s="9" t="inlineStr">
        <is>
          <t>Constructs a graphical representation of petrographic drilling profiles.</t>
        </is>
      </c>
      <c r="C224" s="10" t="inlineStr">
        <is>
          <t>https://github.com/t-systems-on-site-services-gmbh/geoCore</t>
        </is>
      </c>
      <c r="D224" s="9" t="n"/>
      <c r="E224" s="9" t="n"/>
      <c r="F224" s="9" t="n"/>
      <c r="G224" s="9" t="n"/>
      <c r="H224" s="9" t="n"/>
      <c r="I224" s="9" t="n"/>
      <c r="J224" s="9" t="n"/>
      <c r="K224" s="9" t="n"/>
      <c r="L224" s="9" t="n"/>
      <c r="M224" s="9" t="n"/>
      <c r="N224" s="10" t="inlineStr">
        <is>
          <t>https://plugins.qgis.org/plugins/geoCore/</t>
        </is>
      </c>
      <c r="O224" s="9" t="n"/>
      <c r="P224" s="9" t="inlineStr">
        <is>
          <t>10.5281/zenodo.4548887</t>
        </is>
      </c>
      <c r="Q224" s="9" t="inlineStr">
        <is>
          <t>Gerrit Bette</t>
        </is>
      </c>
      <c r="R224" s="9" t="inlineStr">
        <is>
          <t>Moritz Mennenga</t>
        </is>
      </c>
      <c r="S224" s="9" t="n"/>
      <c r="T224" s="9" t="n"/>
      <c r="U224" s="9" t="n"/>
      <c r="V224" s="9" t="n"/>
      <c r="W224" s="9" t="inlineStr">
        <is>
          <t>Packages and libraries</t>
        </is>
      </c>
      <c r="X224" s="9" t="inlineStr">
        <is>
          <t>QGIS</t>
        </is>
      </c>
      <c r="Y224" s="9" t="inlineStr">
        <is>
          <t>Diagrams and visualizations</t>
        </is>
      </c>
      <c r="Z224" s="9" t="n"/>
      <c r="AA224" s="9" t="n"/>
      <c r="AB224" s="9" t="n"/>
      <c r="AC224" s="9" t="n"/>
      <c r="AD224" s="9" t="n"/>
      <c r="AE224" s="9" t="n"/>
      <c r="AF224" s="9" t="n"/>
      <c r="AG224" s="9" t="n"/>
    </row>
    <row r="225">
      <c r="A225" s="9" t="inlineStr">
        <is>
          <t>Geostat</t>
        </is>
      </c>
      <c r="B225" s="9" t="inlineStr">
        <is>
          <t>Code for Geostatistics in ethnographic contexts.</t>
        </is>
      </c>
      <c r="C225" s="10" t="inlineStr">
        <is>
          <t>https://github.com/cl379/Geostat</t>
        </is>
      </c>
      <c r="D225" s="9" t="n"/>
      <c r="E225" s="9" t="n"/>
      <c r="F225" s="9" t="n"/>
      <c r="G225" s="9" t="n"/>
      <c r="H225" s="9" t="n"/>
      <c r="I225" s="9" t="n"/>
      <c r="J225" s="9" t="n"/>
      <c r="K225" s="9" t="n"/>
      <c r="L225" s="9" t="n"/>
      <c r="M225" s="9" t="n"/>
      <c r="N225" s="9" t="n"/>
      <c r="O225" s="9" t="n"/>
      <c r="P225" s="9" t="n"/>
      <c r="Q225" s="9" t="inlineStr">
        <is>
          <t>cl379</t>
        </is>
      </c>
      <c r="R225" s="9" t="n"/>
      <c r="S225" s="9" t="n"/>
      <c r="T225" s="9" t="n"/>
      <c r="U225" s="9" t="n"/>
      <c r="V225" s="9" t="n"/>
      <c r="W225" s="9" t="inlineStr">
        <is>
          <t>Scripts</t>
        </is>
      </c>
      <c r="X225" s="9" t="inlineStr">
        <is>
          <t>R</t>
        </is>
      </c>
      <c r="Y225" s="9" t="inlineStr">
        <is>
          <t>Statistical analysis</t>
        </is>
      </c>
      <c r="Z225" s="9" t="inlineStr">
        <is>
          <t>Spatial analysis</t>
        </is>
      </c>
      <c r="AA225" s="9" t="n"/>
      <c r="AB225" s="9" t="n"/>
      <c r="AC225" s="9" t="n"/>
      <c r="AD225" s="9" t="n"/>
      <c r="AE225" s="10" t="inlineStr">
        <is>
          <t>https://archive.org/details/github.com-cl379-Geostat_-_2014-11-10_16-24-57</t>
        </is>
      </c>
      <c r="AF225" s="9" t="n"/>
      <c r="AG225" s="9" t="n"/>
    </row>
    <row r="226">
      <c r="A226" s="9" t="inlineStr">
        <is>
          <t>GIS-Projects</t>
        </is>
      </c>
      <c r="B226" s="9" t="inlineStr">
        <is>
          <t>GIS Projects for teaching and learning about Computational Archaeology</t>
        </is>
      </c>
      <c r="C226" s="10" t="inlineStr">
        <is>
          <t>https://github.com/isaacullah/GIS-Projects</t>
        </is>
      </c>
      <c r="D226" s="9" t="n"/>
      <c r="E226" s="9" t="n"/>
      <c r="F226" s="9" t="n"/>
      <c r="G226" s="9" t="n"/>
      <c r="H226" s="9" t="n"/>
      <c r="I226" s="9" t="n"/>
      <c r="J226" s="9" t="n"/>
      <c r="K226" s="9" t="n"/>
      <c r="L226" s="9" t="n"/>
      <c r="M226" s="9" t="n"/>
      <c r="N226" s="9" t="n"/>
      <c r="O226" s="9" t="n"/>
      <c r="P226" s="9" t="n"/>
      <c r="Q226" s="9" t="inlineStr">
        <is>
          <t>isaacullah</t>
        </is>
      </c>
      <c r="R226" s="9" t="n"/>
      <c r="S226" s="9" t="n"/>
      <c r="T226" s="9" t="n"/>
      <c r="U226" s="9" t="n"/>
      <c r="V226" s="9" t="n"/>
      <c r="W226" s="9" t="inlineStr">
        <is>
          <t>Guides</t>
        </is>
      </c>
      <c r="X226" s="9" t="n"/>
      <c r="Y226" s="9" t="inlineStr">
        <is>
          <t>Educational resources and practical guides</t>
        </is>
      </c>
      <c r="Z226" s="9" t="n"/>
      <c r="AA226" s="9" t="n"/>
      <c r="AB226" s="9" t="n"/>
      <c r="AC226" s="9" t="n"/>
      <c r="AD226" s="9" t="n"/>
      <c r="AE226" s="10" t="inlineStr">
        <is>
          <t>https://archive.org/details/github.com-isaacullah-GIS-Projects_-_2018-06-22_16-38-00</t>
        </is>
      </c>
      <c r="AF226" s="9" t="n"/>
      <c r="AG226" s="9" t="n"/>
    </row>
    <row r="227">
      <c r="A227" s="9" t="inlineStr">
        <is>
          <t>Git-to-the-Point</t>
        </is>
      </c>
      <c r="B227" s="9" t="inlineStr">
        <is>
          <t>An open call to edit and revise current typological assignments and attributes associated with diagnostic artifacts found across the National Forests and Grasslands in Texas (NFGT).</t>
        </is>
      </c>
      <c r="C227" s="10" t="inlineStr">
        <is>
          <t>https://github.com/aksel-blaise/git-to-the-point</t>
        </is>
      </c>
      <c r="D227" s="9" t="n"/>
      <c r="E227" s="9" t="n"/>
      <c r="F227" s="9" t="n"/>
      <c r="G227" s="9" t="n"/>
      <c r="H227" s="9" t="n"/>
      <c r="I227" s="9" t="n"/>
      <c r="J227" s="9" t="n"/>
      <c r="K227" s="9" t="n"/>
      <c r="L227" s="9" t="n"/>
      <c r="M227" s="9" t="n"/>
      <c r="N227" s="9" t="n"/>
      <c r="O227" s="9" t="n"/>
      <c r="P227" s="9" t="n"/>
      <c r="Q227" s="9" t="inlineStr">
        <is>
          <t>aksel-blaise</t>
        </is>
      </c>
      <c r="R227" s="9" t="n"/>
      <c r="S227" s="9" t="n"/>
      <c r="T227" s="9" t="n"/>
      <c r="U227" s="9" t="n"/>
      <c r="V227" s="9" t="n"/>
      <c r="W227" s="9" t="inlineStr">
        <is>
          <t>Lists and datasets</t>
        </is>
      </c>
      <c r="X227" s="9" t="n"/>
      <c r="Y227" s="9" t="inlineStr">
        <is>
          <t>Schemas and ontologies</t>
        </is>
      </c>
      <c r="Z227" s="9" t="n"/>
      <c r="AA227" s="9" t="n"/>
      <c r="AB227" s="9" t="n"/>
      <c r="AC227" s="9" t="n"/>
      <c r="AD227" s="9" t="n"/>
      <c r="AE227" s="10" t="inlineStr">
        <is>
          <t>https://archive.org/details/github.com-aksel-blaise-git-to-the-point_-_2020-01-24_17-25-26</t>
        </is>
      </c>
      <c r="AF227" s="9" t="n"/>
      <c r="AG227" s="9" t="n"/>
    </row>
    <row r="228">
      <c r="A228" s="9" t="inlineStr">
        <is>
          <t>gitMuseum</t>
        </is>
      </c>
      <c r="B228" s="9" t="inlineStr">
        <is>
          <t>A repository listing Museums active on GitHub, written in Rstats.</t>
        </is>
      </c>
      <c r="C228" s="10" t="inlineStr">
        <is>
          <t>https://github.com/BritishMuseum/gitMuseum</t>
        </is>
      </c>
      <c r="D228" s="9" t="n"/>
      <c r="E228" s="9" t="n"/>
      <c r="F228" s="9" t="n"/>
      <c r="G228" s="9" t="n"/>
      <c r="H228" s="9" t="n"/>
      <c r="I228" s="9" t="n"/>
      <c r="J228" s="9" t="n"/>
      <c r="K228" s="9" t="n"/>
      <c r="L228" s="9" t="n"/>
      <c r="M228" s="9" t="n"/>
      <c r="N228" s="9" t="n"/>
      <c r="O228" s="9" t="n"/>
      <c r="P228" s="9" t="n"/>
      <c r="Q228" s="9" t="inlineStr">
        <is>
          <t>BritishMuseum</t>
        </is>
      </c>
      <c r="R228" s="9" t="n"/>
      <c r="S228" s="9" t="n"/>
      <c r="T228" s="9" t="n"/>
      <c r="U228" s="9" t="n"/>
      <c r="V228" s="9" t="n"/>
      <c r="W228" s="9" t="inlineStr">
        <is>
          <t>Lists and datasets</t>
        </is>
      </c>
      <c r="X228" s="9" t="n"/>
      <c r="Y228" s="9" t="inlineStr">
        <is>
          <t>Lists</t>
        </is>
      </c>
      <c r="Z228" s="9" t="n"/>
      <c r="AA228" s="9" t="n"/>
      <c r="AB228" s="9" t="n"/>
      <c r="AC228" s="9" t="n"/>
      <c r="AD228" s="9" t="n"/>
      <c r="AE228" s="10" t="inlineStr">
        <is>
          <t>https://archive.org/details/github.com-BritishMuseum-gitMuseum_-_2016-04-11_13-28-49</t>
        </is>
      </c>
      <c r="AF228" s="9" t="n"/>
      <c r="AG228" s="9" t="n"/>
    </row>
    <row r="229">
      <c r="A229" s="9" t="inlineStr">
        <is>
          <t>GlobaLID-App</t>
        </is>
      </c>
      <c r="B229" s="9" t="inlineStr">
        <is>
          <t>The GlobaLID web app</t>
        </is>
      </c>
      <c r="C229" s="10" t="inlineStr">
        <is>
          <t>https://github.com/archmetalDBM/GlobaLID-App</t>
        </is>
      </c>
      <c r="D229" s="9" t="n"/>
      <c r="E229" s="9" t="n"/>
      <c r="F229" s="9" t="n"/>
      <c r="G229" s="9" t="n"/>
      <c r="H229" s="9" t="n"/>
      <c r="I229" s="9" t="n"/>
      <c r="J229" s="9" t="n"/>
      <c r="K229" s="9" t="n"/>
      <c r="L229" s="9" t="n"/>
      <c r="M229" s="9" t="n"/>
      <c r="N229" s="10" t="inlineStr">
        <is>
          <t>https://globalid.dmt-lb.de/</t>
        </is>
      </c>
      <c r="O229" s="9" t="n"/>
      <c r="P229" s="9" t="n"/>
      <c r="Q229" s="9" t="inlineStr">
        <is>
          <t>archmetalDBM</t>
        </is>
      </c>
      <c r="R229" s="9" t="n"/>
      <c r="S229" s="9" t="n"/>
      <c r="T229" s="9" t="n"/>
      <c r="U229" s="9" t="n"/>
      <c r="V229" s="9" t="n"/>
      <c r="W229" s="9" t="inlineStr">
        <is>
          <t>Standalone software</t>
        </is>
      </c>
      <c r="X229" s="9" t="n"/>
      <c r="Y229" s="9" t="inlineStr">
        <is>
          <t>Datasets</t>
        </is>
      </c>
      <c r="Z229" s="9" t="inlineStr">
        <is>
          <t>Stable isotope analysis</t>
        </is>
      </c>
      <c r="AA229" s="9" t="inlineStr">
        <is>
          <t>Diagrams and visualizations</t>
        </is>
      </c>
      <c r="AB229" s="9" t="n"/>
      <c r="AC229" s="9" t="n"/>
      <c r="AD229" s="9" t="n"/>
      <c r="AE229" s="9" t="n"/>
      <c r="AF229" s="9" t="n"/>
      <c r="AG229" s="9" t="n"/>
    </row>
    <row r="230">
      <c r="A230" s="9" t="inlineStr">
        <is>
          <t>GlobaLID-database</t>
        </is>
      </c>
      <c r="B230" s="9" t="inlineStr">
        <is>
          <t>Facilitates the reconstruction of raw material provenances with lead isotopes.</t>
        </is>
      </c>
      <c r="C230" s="10" t="inlineStr">
        <is>
          <t>https://github.com/archmetalDBM/GlobaLID-database</t>
        </is>
      </c>
      <c r="D230" s="9" t="n"/>
      <c r="E230" s="9" t="n"/>
      <c r="F230" s="9" t="n"/>
      <c r="G230" s="9" t="n"/>
      <c r="H230" s="9" t="n"/>
      <c r="I230" s="9" t="n"/>
      <c r="J230" s="9" t="n"/>
      <c r="K230" s="9" t="n"/>
      <c r="L230" s="9" t="n"/>
      <c r="M230" s="9" t="n"/>
      <c r="N230" s="9" t="n"/>
      <c r="O230" s="10" t="inlineStr">
        <is>
          <t>https://doi.org/10.5880/fidgeo.2021.031</t>
        </is>
      </c>
      <c r="P230" s="9" t="n"/>
      <c r="Q230" s="9" t="inlineStr">
        <is>
          <t>archmetalDBM</t>
        </is>
      </c>
      <c r="R230" s="9" t="n"/>
      <c r="S230" s="9" t="n"/>
      <c r="T230" s="9" t="n"/>
      <c r="U230" s="9" t="n"/>
      <c r="V230" s="9" t="n"/>
      <c r="W230" s="9" t="inlineStr">
        <is>
          <t>Lists and datasets</t>
        </is>
      </c>
      <c r="X230" s="9" t="n"/>
      <c r="Y230" s="9" t="inlineStr">
        <is>
          <t>Datasets</t>
        </is>
      </c>
      <c r="Z230" s="9" t="inlineStr">
        <is>
          <t>Stable isotope analysis</t>
        </is>
      </c>
      <c r="AA230" s="9" t="n"/>
      <c r="AB230" s="9" t="n"/>
      <c r="AC230" s="9" t="n"/>
      <c r="AD230" s="9" t="n"/>
      <c r="AE230" s="9" t="n"/>
      <c r="AF230" s="9" t="n"/>
      <c r="AG230" s="9" t="n"/>
    </row>
    <row r="231">
      <c r="A231" s="9" t="inlineStr">
        <is>
          <t>GmAMisc</t>
        </is>
      </c>
      <c r="B231" s="9" t="inlineStr">
        <is>
          <t>A collection of functions that built in different points in time. The functions' aim spans from univariate outlier detection, to permutation t test, permutation chi-square test, calculation of Brainerd-Robinson similarity coefficient, validation of logistic regression models, point pattern analysis, and more.</t>
        </is>
      </c>
      <c r="C231" s="10" t="inlineStr">
        <is>
          <t>https://github.com/gianmarcoalberti/GmAMisc</t>
        </is>
      </c>
      <c r="D231" s="9" t="n"/>
      <c r="E231" s="9" t="n"/>
      <c r="F231" s="9" t="n"/>
      <c r="G231" s="9" t="n"/>
      <c r="H231" s="9" t="n"/>
      <c r="I231" s="9" t="n"/>
      <c r="J231" s="9" t="n"/>
      <c r="K231" s="9" t="n"/>
      <c r="L231" s="9" t="n"/>
      <c r="M231" s="9" t="n"/>
      <c r="N231" s="9" t="n"/>
      <c r="O231" s="9" t="n"/>
      <c r="P231" s="9" t="n"/>
      <c r="Q231" s="9" t="inlineStr">
        <is>
          <t>gianmarcoalberti</t>
        </is>
      </c>
      <c r="R231" s="9" t="n"/>
      <c r="S231" s="9" t="n"/>
      <c r="T231" s="9" t="n"/>
      <c r="U231" s="9" t="n"/>
      <c r="V231" s="9" t="n"/>
      <c r="W231" s="9" t="inlineStr">
        <is>
          <t>Packages and libraries</t>
        </is>
      </c>
      <c r="X231" s="9" t="inlineStr">
        <is>
          <t>R</t>
        </is>
      </c>
      <c r="Y231" s="9" t="inlineStr">
        <is>
          <t>Bits and bobs</t>
        </is>
      </c>
      <c r="Z231" s="9" t="n"/>
      <c r="AA231" s="9" t="n"/>
      <c r="AB231" s="9" t="n"/>
      <c r="AC231" s="9" t="n"/>
      <c r="AD231" s="9" t="n"/>
      <c r="AE231" s="10" t="inlineStr">
        <is>
          <t>https://archive.org/details/github.com-gianmarcoalberti-GmAMisc_-_2018-07-10_14-35-11</t>
        </is>
      </c>
      <c r="AF231" s="9" t="n"/>
      <c r="AG231" s="9" t="n"/>
    </row>
    <row r="232">
      <c r="A232" s="9" t="inlineStr">
        <is>
          <t>gods_on_the_barge</t>
        </is>
      </c>
      <c r="B232" s="9" t="inlineStr">
        <is>
          <t>Inspired by the research project of historiography of ancient Graeco-Roman religions, the main goal is to spread a selected cult successfully across the ancient Mediterranean</t>
        </is>
      </c>
      <c r="C232" s="10" t="inlineStr">
        <is>
          <t>https://github.com/adammertel/gods-on-the-barge</t>
        </is>
      </c>
      <c r="D232" s="9" t="n"/>
      <c r="E232" s="9" t="n"/>
      <c r="F232" s="9" t="n"/>
      <c r="G232" s="9" t="n"/>
      <c r="H232" s="9" t="n"/>
      <c r="I232" s="9" t="n"/>
      <c r="J232" s="9" t="n"/>
      <c r="K232" s="9" t="n"/>
      <c r="L232" s="9" t="n"/>
      <c r="M232" s="9" t="n"/>
      <c r="N232" s="10" t="inlineStr">
        <is>
          <t>http://www.coffeegnome.net/godsonthebarge/</t>
        </is>
      </c>
      <c r="O232" s="9" t="n"/>
      <c r="P232" s="9" t="n"/>
      <c r="Q232" s="9" t="inlineStr">
        <is>
          <t>adammertel</t>
        </is>
      </c>
      <c r="R232" s="9" t="n"/>
      <c r="S232" s="9" t="n"/>
      <c r="T232" s="9" t="n"/>
      <c r="U232" s="9" t="n"/>
      <c r="V232" s="9" t="n"/>
      <c r="W232" s="9" t="inlineStr">
        <is>
          <t>Products</t>
        </is>
      </c>
      <c r="X232" s="9" t="n"/>
      <c r="Y232" s="9" t="inlineStr">
        <is>
          <t>Games</t>
        </is>
      </c>
      <c r="Z232" s="9" t="n"/>
      <c r="AA232" s="9" t="n"/>
      <c r="AB232" s="9" t="n"/>
      <c r="AC232" s="9" t="n"/>
      <c r="AD232" s="9" t="n"/>
      <c r="AE232" s="10" t="inlineStr">
        <is>
          <t>https://archive.org/details/github.com-adammertel-gods-on-the-barge_-_2020-08-07_18-19-26</t>
        </is>
      </c>
      <c r="AF232" s="9" t="n"/>
      <c r="AG232" s="9" t="n"/>
    </row>
    <row r="233">
      <c r="A233" s="9" t="inlineStr">
        <is>
          <t>gorbit</t>
        </is>
      </c>
      <c r="B233" s="9" t="inlineStr">
        <is>
          <t>Making the freely available and excellent Orbis data just a little bit more easy to use.</t>
        </is>
      </c>
      <c r="C233" s="10" t="inlineStr">
        <is>
          <t>https://github.com/sfsheath/gorbit</t>
        </is>
      </c>
      <c r="D233" s="9" t="n"/>
      <c r="E233" s="9" t="n"/>
      <c r="F233" s="9" t="n"/>
      <c r="G233" s="9" t="n"/>
      <c r="H233" s="9" t="n"/>
      <c r="I233" s="9" t="n"/>
      <c r="J233" s="9" t="n"/>
      <c r="K233" s="9" t="n"/>
      <c r="L233" s="9" t="n"/>
      <c r="M233" s="9" t="n"/>
      <c r="N233" s="9" t="n"/>
      <c r="O233" s="9" t="n"/>
      <c r="P233" s="9" t="n"/>
      <c r="Q233" s="9" t="inlineStr">
        <is>
          <t>sfsheath</t>
        </is>
      </c>
      <c r="R233" s="9" t="n"/>
      <c r="S233" s="9" t="n"/>
      <c r="T233" s="9" t="n"/>
      <c r="U233" s="9" t="n"/>
      <c r="V233" s="9" t="n"/>
      <c r="W233" s="9" t="inlineStr">
        <is>
          <t>Lists and datasets</t>
        </is>
      </c>
      <c r="X233" s="9" t="n"/>
      <c r="Y233" s="9" t="inlineStr">
        <is>
          <t>Datasets</t>
        </is>
      </c>
      <c r="Z233" s="9" t="n"/>
      <c r="AA233" s="9" t="n"/>
      <c r="AB233" s="9" t="n"/>
      <c r="AC233" s="9" t="n"/>
      <c r="AD233" s="9" t="n"/>
      <c r="AE233" s="10" t="inlineStr">
        <is>
          <t>https://archive.org/details/github.com-sfsheath-gorbit_-_2015-01-27_16-16-08</t>
        </is>
      </c>
      <c r="AF233" s="9" t="n"/>
      <c r="AG233" s="9" t="n"/>
    </row>
    <row r="234">
      <c r="A234" s="9" t="inlineStr">
        <is>
          <t>grass-arch</t>
        </is>
      </c>
      <c r="B234" s="9" t="inlineStr">
        <is>
          <t>A LaTeX textbook devoted to explain how archaeologists can work with GRASS GIS</t>
        </is>
      </c>
      <c r="C234" s="10" t="inlineStr">
        <is>
          <t>https://github.com/fradeve/grass-arch</t>
        </is>
      </c>
      <c r="D234" s="9" t="n"/>
      <c r="E234" s="9" t="n"/>
      <c r="F234" s="9" t="n"/>
      <c r="G234" s="9" t="n"/>
      <c r="H234" s="9" t="n"/>
      <c r="I234" s="9" t="n"/>
      <c r="J234" s="9" t="n"/>
      <c r="K234" s="9" t="n"/>
      <c r="L234" s="9" t="n"/>
      <c r="M234" s="9" t="n"/>
      <c r="N234" s="9" t="n"/>
      <c r="O234" s="9" t="n"/>
      <c r="P234" s="9" t="n"/>
      <c r="Q234" s="9" t="inlineStr">
        <is>
          <t>fradeve</t>
        </is>
      </c>
      <c r="R234" s="9" t="n"/>
      <c r="S234" s="9" t="n"/>
      <c r="T234" s="9" t="n"/>
      <c r="U234" s="9" t="n"/>
      <c r="V234" s="9" t="n"/>
      <c r="W234" s="9" t="inlineStr">
        <is>
          <t>Guides</t>
        </is>
      </c>
      <c r="X234" s="9" t="n"/>
      <c r="Y234" s="9" t="inlineStr">
        <is>
          <t>Educational resources and practical guides</t>
        </is>
      </c>
      <c r="Z234" s="9" t="n"/>
      <c r="AA234" s="9" t="n"/>
      <c r="AB234" s="9" t="n"/>
      <c r="AC234" s="9" t="n"/>
      <c r="AD234" s="9" t="n"/>
      <c r="AE234" s="10" t="inlineStr">
        <is>
          <t>https://archive.org/details/github.com-fradeve-grass-arch_-_2013-07-17_17-19-06</t>
        </is>
      </c>
      <c r="AF234" s="9" t="n"/>
      <c r="AG234" s="9" t="n"/>
    </row>
    <row r="235">
      <c r="A235" s="9" t="inlineStr">
        <is>
          <t>hammurabi-markov</t>
        </is>
      </c>
      <c r="B235" s="9" t="inlineStr">
        <is>
          <t>Simple VueJS page generating fake laws of Hammurabi.</t>
        </is>
      </c>
      <c r="C235" s="10" t="inlineStr">
        <is>
          <t>https://github.com/willismonroe/hammurabi-markov</t>
        </is>
      </c>
      <c r="D235" s="9" t="n"/>
      <c r="E235" s="9" t="n"/>
      <c r="F235" s="9" t="n"/>
      <c r="G235" s="9" t="n"/>
      <c r="H235" s="9" t="n"/>
      <c r="I235" s="9" t="n"/>
      <c r="J235" s="9" t="n"/>
      <c r="K235" s="9" t="n"/>
      <c r="L235" s="9" t="n"/>
      <c r="M235" s="9" t="n"/>
      <c r="N235" s="9" t="n"/>
      <c r="O235" s="9" t="n"/>
      <c r="P235" s="9" t="n"/>
      <c r="Q235" s="9" t="inlineStr">
        <is>
          <t>willismonroe</t>
        </is>
      </c>
      <c r="R235" s="9" t="n"/>
      <c r="S235" s="9" t="n"/>
      <c r="T235" s="9" t="n"/>
      <c r="U235" s="9" t="n"/>
      <c r="V235" s="9" t="n"/>
      <c r="W235" s="9" t="inlineStr">
        <is>
          <t>Standalone software</t>
        </is>
      </c>
      <c r="X235" s="9" t="n"/>
      <c r="Y235" s="9" t="inlineStr">
        <is>
          <t>Simulation</t>
        </is>
      </c>
      <c r="Z235" s="9" t="inlineStr">
        <is>
          <t>Literary analysis and epigraphy</t>
        </is>
      </c>
      <c r="AA235" s="9" t="n"/>
      <c r="AB235" s="9" t="n"/>
      <c r="AC235" s="9" t="n"/>
      <c r="AD235" s="9" t="n"/>
      <c r="AE235" s="10" t="inlineStr">
        <is>
          <t>https://archive.org/details/github.com-willismonroe-hammurabi-markov_-_2021-05-07_17-40-49</t>
        </is>
      </c>
      <c r="AF235" s="9" t="n"/>
      <c r="AG235" s="9" t="n"/>
    </row>
    <row r="236">
      <c r="A236" s="9" t="inlineStr">
        <is>
          <t>harris-matrix</t>
        </is>
      </c>
      <c r="B236" s="9" t="inlineStr">
        <is>
          <t>Write Graphviz dot files for archaeological sequence diagrams and Bayesian chronological models.</t>
        </is>
      </c>
      <c r="C236" s="10" t="inlineStr">
        <is>
          <t>https://github.com/tsdye/harris-matrix/</t>
        </is>
      </c>
      <c r="D236" s="9" t="n"/>
      <c r="E236" s="9" t="n"/>
      <c r="F236" s="9" t="n"/>
      <c r="G236" s="9" t="n"/>
      <c r="H236" s="9" t="n"/>
      <c r="I236" s="9" t="n"/>
      <c r="J236" s="9" t="n"/>
      <c r="K236" s="9" t="n"/>
      <c r="L236" s="9" t="n"/>
      <c r="M236" s="9" t="n"/>
      <c r="N236" s="10" t="inlineStr">
        <is>
          <t>http://tsdye.online/harris-matrix/homepage/</t>
        </is>
      </c>
      <c r="O236" s="9" t="n"/>
      <c r="P236" s="9" t="n"/>
      <c r="Q236" s="9" t="inlineStr">
        <is>
          <t>tsdye</t>
        </is>
      </c>
      <c r="R236" s="9" t="n"/>
      <c r="S236" s="9" t="n"/>
      <c r="T236" s="9" t="n"/>
      <c r="U236" s="9" t="n"/>
      <c r="V236" s="9" t="n"/>
      <c r="W236" s="9" t="inlineStr">
        <is>
          <t>Packages and libraries</t>
        </is>
      </c>
      <c r="X236" s="9" t="inlineStr">
        <is>
          <t>Lisp</t>
        </is>
      </c>
      <c r="Y236" s="9" t="inlineStr">
        <is>
          <t>Harris matrix</t>
        </is>
      </c>
      <c r="Z236" s="9" t="n"/>
      <c r="AA236" s="9" t="n"/>
      <c r="AB236" s="9" t="n"/>
      <c r="AC236" s="9" t="n"/>
      <c r="AD236" s="9" t="n"/>
      <c r="AE236" s="10" t="inlineStr">
        <is>
          <t>https://archive.org/details/github.com-tsdye-harris-matrix_-_2019-08-27_02-15-00</t>
        </is>
      </c>
      <c r="AF236" s="9" t="n"/>
      <c r="AG236" s="9" t="n"/>
    </row>
    <row r="237">
      <c r="A237" s="9" t="inlineStr">
        <is>
          <t>harris-matrix</t>
        </is>
      </c>
      <c r="B237" s="9" t="inlineStr">
        <is>
          <t>Harris Matrix Visualization for the web using D3 + KLayJS-D3.</t>
        </is>
      </c>
      <c r="C237" s="10" t="inlineStr">
        <is>
          <t>https://github.com/semerj/harris-matrix</t>
        </is>
      </c>
      <c r="D237" s="9" t="n"/>
      <c r="E237" s="9" t="n"/>
      <c r="F237" s="9" t="n"/>
      <c r="G237" s="9" t="n"/>
      <c r="H237" s="9" t="n"/>
      <c r="I237" s="9" t="n"/>
      <c r="J237" s="9" t="n"/>
      <c r="K237" s="9" t="n"/>
      <c r="L237" s="9" t="n"/>
      <c r="M237" s="9" t="n"/>
      <c r="N237" s="9" t="n"/>
      <c r="O237" s="9" t="n"/>
      <c r="P237" s="9" t="n"/>
      <c r="Q237" s="9" t="inlineStr">
        <is>
          <t>semerj</t>
        </is>
      </c>
      <c r="R237" s="9" t="n"/>
      <c r="S237" s="9" t="n"/>
      <c r="T237" s="9" t="n"/>
      <c r="U237" s="9" t="n"/>
      <c r="V237" s="9" t="n"/>
      <c r="W237" s="9" t="inlineStr">
        <is>
          <t>Standalone software</t>
        </is>
      </c>
      <c r="X237" s="9" t="n"/>
      <c r="Y237" s="9" t="inlineStr">
        <is>
          <t>Harris matrix</t>
        </is>
      </c>
      <c r="Z237" s="9" t="n"/>
      <c r="AA237" s="9" t="n"/>
      <c r="AB237" s="9" t="n"/>
      <c r="AC237" s="9" t="n"/>
      <c r="AD237" s="9" t="n"/>
      <c r="AE237" s="10" t="inlineStr">
        <is>
          <t>https://archive.org/details/github.com-semerj-harris-matrix_-_2016-05-29_22-11-13</t>
        </is>
      </c>
      <c r="AF237" s="9" t="n"/>
      <c r="AG237" s="9" t="n"/>
    </row>
    <row r="238">
      <c r="A238" s="9" t="inlineStr">
        <is>
          <t>harris-matrix-data-package</t>
        </is>
      </c>
      <c r="B238" s="9" t="inlineStr">
        <is>
          <t>A Data Package specification for archaeological stratigraphy data following the Harris Matrix convention.</t>
        </is>
      </c>
      <c r="C238" s="9" t="n"/>
      <c r="D238" s="9" t="n"/>
      <c r="E238" s="9" t="n"/>
      <c r="F238" s="9" t="n"/>
      <c r="G238" s="9" t="n"/>
      <c r="H238" s="9" t="n"/>
      <c r="I238" s="9" t="n"/>
      <c r="J238" s="9" t="n"/>
      <c r="K238" s="9" t="n"/>
      <c r="L238" s="9" t="n"/>
      <c r="M238" s="10" t="inlineStr">
        <is>
          <t>https://codeberg.org/steko/harris-matrix-data-package</t>
        </is>
      </c>
      <c r="N238" s="9" t="n"/>
      <c r="O238" s="9" t="n"/>
      <c r="P238" s="9" t="n"/>
      <c r="Q238" s="9" t="inlineStr">
        <is>
          <t>steko</t>
        </is>
      </c>
      <c r="R238" s="9" t="n"/>
      <c r="S238" s="9" t="n"/>
      <c r="T238" s="9" t="n"/>
      <c r="U238" s="9" t="n"/>
      <c r="V238" s="9" t="n"/>
      <c r="W238" s="9" t="inlineStr">
        <is>
          <t>Specifications, protocols and schemas</t>
        </is>
      </c>
      <c r="X238" s="9" t="n"/>
      <c r="Y238" s="9" t="inlineStr">
        <is>
          <t>Harris matrix</t>
        </is>
      </c>
      <c r="Z238" s="9" t="inlineStr">
        <is>
          <t>Schemas and ontologies</t>
        </is>
      </c>
      <c r="AA238" s="9" t="n"/>
      <c r="AB238" s="9" t="n"/>
      <c r="AC238" s="9" t="n"/>
      <c r="AD238" s="9" t="n"/>
      <c r="AE238" s="10" t="inlineStr">
        <is>
          <t>https://archive.org/details/codeberg.org-steko-harris-matrix-data-package_-_2020-03-04_22-46-43</t>
        </is>
      </c>
      <c r="AF238" s="9" t="n"/>
      <c r="AG238" s="9" t="n"/>
    </row>
    <row r="239">
      <c r="A239" s="9" t="inlineStr">
        <is>
          <t>Harris-matrix-legacy</t>
        </is>
      </c>
      <c r="B239" s="9" t="inlineStr">
        <is>
          <t>Create a Harris Matrix from archaeological stratigraphy data using Python and Graphviz.</t>
        </is>
      </c>
      <c r="C239" s="9" t="n"/>
      <c r="D239" s="9" t="n"/>
      <c r="E239" s="9" t="n"/>
      <c r="F239" s="9" t="n"/>
      <c r="G239" s="9" t="n"/>
      <c r="H239" s="9" t="n"/>
      <c r="I239" s="9" t="n"/>
      <c r="J239" s="10" t="inlineStr">
        <is>
          <t>https://codeberg.org/steko/harris-matrix-legacy</t>
        </is>
      </c>
      <c r="K239" s="9" t="n"/>
      <c r="L239" s="9" t="n"/>
      <c r="M239" s="9" t="n"/>
      <c r="N239" s="10" t="inlineStr">
        <is>
          <t>https://www.iosa.it/2008/08/27/harris-matrix-with-graphviz-a-draft-application-with-python/</t>
        </is>
      </c>
      <c r="O239" s="9" t="n"/>
      <c r="P239" s="9" t="n"/>
      <c r="Q239" s="9" t="inlineStr">
        <is>
          <t>steko</t>
        </is>
      </c>
      <c r="R239" s="9" t="inlineStr">
        <is>
          <t>iosa</t>
        </is>
      </c>
      <c r="S239" s="9" t="n"/>
      <c r="T239" s="9" t="n"/>
      <c r="U239" s="9" t="n"/>
      <c r="V239" s="9" t="n"/>
      <c r="W239" s="9" t="inlineStr">
        <is>
          <t>Packages and libraries</t>
        </is>
      </c>
      <c r="X239" s="9" t="inlineStr">
        <is>
          <t>Python</t>
        </is>
      </c>
      <c r="Y239" s="9" t="inlineStr">
        <is>
          <t>Harris matrix</t>
        </is>
      </c>
      <c r="Z239" s="9" t="n"/>
      <c r="AA239" s="9" t="n"/>
      <c r="AB239" s="9" t="n"/>
      <c r="AC239" s="9" t="n"/>
      <c r="AD239" s="9" t="n"/>
      <c r="AE239" s="9" t="n"/>
      <c r="AF239" s="9" t="n"/>
      <c r="AG239" s="9" t="n"/>
    </row>
    <row r="240">
      <c r="A240" s="9" t="inlineStr">
        <is>
          <t>harris2graph</t>
        </is>
      </c>
      <c r="B240" s="9" t="inlineStr">
        <is>
          <t>harris2graph is a script to help migrate data from the LST file format used by the BASP Harris, Stratify and ArchEd packages into modern graph file formats.</t>
        </is>
      </c>
      <c r="C240" s="10" t="inlineStr">
        <is>
          <t>https://github.com/lparchaeology/harris2graph/</t>
        </is>
      </c>
      <c r="D240" s="9" t="n"/>
      <c r="E240" s="9" t="n"/>
      <c r="F240" s="9" t="n"/>
      <c r="G240" s="9" t="n"/>
      <c r="H240" s="9" t="n"/>
      <c r="I240" s="9" t="n"/>
      <c r="J240" s="9" t="n"/>
      <c r="K240" s="9" t="n"/>
      <c r="L240" s="9" t="n"/>
      <c r="M240" s="9" t="n"/>
      <c r="N240" s="9" t="n"/>
      <c r="O240" s="9" t="n"/>
      <c r="P240" s="9" t="n"/>
      <c r="Q240" s="9" t="inlineStr">
        <is>
          <t>L-P Archaeology</t>
        </is>
      </c>
      <c r="R240" s="9" t="n"/>
      <c r="S240" s="9" t="n"/>
      <c r="T240" s="9" t="n"/>
      <c r="U240" s="9" t="n"/>
      <c r="V240" s="9" t="n"/>
      <c r="W240" s="9" t="inlineStr">
        <is>
          <t>Packages and libraries</t>
        </is>
      </c>
      <c r="X240" s="9" t="inlineStr">
        <is>
          <t>Python</t>
        </is>
      </c>
      <c r="Y240" s="9" t="inlineStr">
        <is>
          <t>Harris matrix</t>
        </is>
      </c>
      <c r="Z240" s="9" t="n"/>
      <c r="AA240" s="9" t="n"/>
      <c r="AB240" s="9" t="n"/>
      <c r="AC240" s="9" t="n"/>
      <c r="AD240" s="9" t="inlineStr">
        <is>
          <t>This seems to stem from prior work done at https://github.com/jlayt/harris2gv</t>
        </is>
      </c>
      <c r="AE240" s="10" t="inlineStr">
        <is>
          <t>https://archive.org/details/github.com-lparchaeology-harris2graph_-_2016-01-28_10-44-01</t>
        </is>
      </c>
      <c r="AF240" s="9" t="n"/>
      <c r="AG240" s="9" t="n"/>
    </row>
    <row r="241">
      <c r="A241" s="9" t="inlineStr">
        <is>
          <t>heurist</t>
        </is>
      </c>
      <c r="B241" s="9" t="inlineStr">
        <is>
          <t>A web-based data management infrastructure that allows researchers to design, create, manage, analyse and publish their own richly-structured database(s) through a simple web interface, without the need for programmers or consultants.</t>
        </is>
      </c>
      <c r="C241" s="10" t="inlineStr">
        <is>
          <t>https://github.com/HeuristNetwork/heurist</t>
        </is>
      </c>
      <c r="D241" s="9" t="n"/>
      <c r="E241" s="9" t="n"/>
      <c r="F241" s="9" t="n"/>
      <c r="G241" s="9" t="n"/>
      <c r="H241" s="9" t="n"/>
      <c r="I241" s="9" t="n"/>
      <c r="J241" s="9" t="n"/>
      <c r="K241" s="9" t="n"/>
      <c r="L241" s="9" t="n"/>
      <c r="M241" s="9" t="n"/>
      <c r="N241" s="10" t="inlineStr">
        <is>
          <t>http://heuristnetwork.org/</t>
        </is>
      </c>
      <c r="O241" s="9" t="n"/>
      <c r="P241" s="9" t="n"/>
      <c r="Q241" s="9" t="inlineStr">
        <is>
          <t>HeuristNetwork</t>
        </is>
      </c>
      <c r="R241" s="9" t="n"/>
      <c r="S241" s="9" t="n"/>
      <c r="T241" s="9" t="n"/>
      <c r="U241" s="9" t="n"/>
      <c r="V241" s="9" t="n"/>
      <c r="W241" s="9" t="inlineStr">
        <is>
          <t>Standalone software</t>
        </is>
      </c>
      <c r="X241" s="9" t="n"/>
      <c r="Y241" s="9" t="inlineStr">
        <is>
          <t>Data management</t>
        </is>
      </c>
      <c r="Z241" s="9" t="n"/>
      <c r="AA241" s="9" t="n"/>
      <c r="AB241" s="9" t="n"/>
      <c r="AC241" s="9" t="n"/>
      <c r="AD241" s="9" t="n"/>
      <c r="AE241" s="10" t="inlineStr">
        <is>
          <t>https://archive.org/details/github.com-HeuristNetwork-heurist_-_2021-03-01_11-18-04</t>
        </is>
      </c>
      <c r="AF241" s="9" t="n"/>
      <c r="AG241" s="9" t="n"/>
    </row>
    <row r="242">
      <c r="A242" s="9" t="inlineStr">
        <is>
          <t>historical-geocoding-assistant</t>
        </is>
      </c>
      <c r="B242" s="9" t="inlineStr">
        <is>
          <t>Tool for assisted geocoding of historical datasets (something between a manual table editing and automated geocoding script)</t>
        </is>
      </c>
      <c r="C242" s="10" t="inlineStr">
        <is>
          <t>https://github.com/adammertel/historical-geocoding-assistant</t>
        </is>
      </c>
      <c r="D242" s="9" t="n"/>
      <c r="E242" s="9" t="n"/>
      <c r="F242" s="9" t="n"/>
      <c r="G242" s="9" t="n"/>
      <c r="H242" s="9" t="n"/>
      <c r="I242" s="9" t="n"/>
      <c r="J242" s="9" t="n"/>
      <c r="K242" s="9" t="n"/>
      <c r="L242" s="9" t="n"/>
      <c r="M242" s="9" t="n"/>
      <c r="N242" s="9" t="n"/>
      <c r="O242" s="9" t="n"/>
      <c r="P242" s="9" t="n"/>
      <c r="Q242" s="9" t="inlineStr">
        <is>
          <t>adammertel</t>
        </is>
      </c>
      <c r="R242" s="9" t="n"/>
      <c r="S242" s="9" t="n"/>
      <c r="T242" s="9" t="n"/>
      <c r="U242" s="9" t="n"/>
      <c r="V242" s="9" t="n"/>
      <c r="W242" s="9" t="inlineStr">
        <is>
          <t>Standalone software</t>
        </is>
      </c>
      <c r="X242" s="9" t="n"/>
      <c r="Y242" s="9" t="inlineStr">
        <is>
          <t>Data management</t>
        </is>
      </c>
      <c r="Z242" s="9" t="n"/>
      <c r="AA242" s="9" t="n"/>
      <c r="AB242" s="9" t="n"/>
      <c r="AC242" s="9" t="n"/>
      <c r="AD242" s="9" t="n"/>
      <c r="AE242" s="10" t="inlineStr">
        <is>
          <t>https://archive.org/details/github.com-adammertel-historical-geocoding-assistant_-_2021-02-04_13-33-32</t>
        </is>
      </c>
      <c r="AF242" s="9" t="n"/>
      <c r="AG242" s="9" t="n"/>
    </row>
    <row r="243">
      <c r="A243" s="9" t="inlineStr">
        <is>
          <t>hsv-api</t>
        </is>
      </c>
      <c r="B243" s="9" t="inlineStr">
        <is>
          <t>Historical Street View API</t>
        </is>
      </c>
      <c r="C243" s="10" t="inlineStr">
        <is>
          <t>https://github.com/openhistorymap/hsv-api</t>
        </is>
      </c>
      <c r="D243" s="9" t="n"/>
      <c r="E243" s="9" t="n"/>
      <c r="F243" s="9" t="n"/>
      <c r="G243" s="9" t="n"/>
      <c r="H243" s="9" t="n"/>
      <c r="I243" s="9" t="n"/>
      <c r="J243" s="9" t="n"/>
      <c r="K243" s="9" t="n"/>
      <c r="L243" s="9" t="n"/>
      <c r="M243" s="9" t="n"/>
      <c r="N243" s="10" t="inlineStr">
        <is>
          <t>https://visions.ofthepast.org/</t>
        </is>
      </c>
      <c r="O243" s="9" t="n"/>
      <c r="P243" s="9" t="n"/>
      <c r="Q243" s="9" t="inlineStr">
        <is>
          <t>openhistorymap</t>
        </is>
      </c>
      <c r="R243" s="9" t="n"/>
      <c r="S243" s="9" t="n"/>
      <c r="T243" s="9" t="n"/>
      <c r="U243" s="9" t="n"/>
      <c r="V243" s="9" t="n"/>
      <c r="W243" s="9" t="inlineStr">
        <is>
          <t>Standalone software</t>
        </is>
      </c>
      <c r="X243" s="9" t="n"/>
      <c r="Y243" s="9" t="inlineStr">
        <is>
          <t>Site mapping</t>
        </is>
      </c>
      <c r="Z243" s="9" t="inlineStr">
        <is>
          <t>Public archaeology</t>
        </is>
      </c>
      <c r="AA243" s="9" t="inlineStr">
        <is>
          <t>Drivers and IO</t>
        </is>
      </c>
      <c r="AB243" s="9" t="n"/>
      <c r="AC243" s="9" t="n"/>
      <c r="AD243" s="9" t="n"/>
      <c r="AE243" s="9" t="n"/>
      <c r="AF243" s="9" t="n"/>
      <c r="AG243" s="9" t="n"/>
    </row>
    <row r="244">
      <c r="A244" s="9" t="inlineStr">
        <is>
          <t>HumanOS</t>
        </is>
      </c>
      <c r="B244" s="9" t="inlineStr">
        <is>
          <t>A mobile application for the intuitive recording of human bones from archaeological sites.</t>
        </is>
      </c>
      <c r="C244" s="9" t="n"/>
      <c r="D244" s="9" t="n"/>
      <c r="E244" s="9" t="n"/>
      <c r="F244" s="9" t="n"/>
      <c r="G244" s="9" t="n"/>
      <c r="H244" s="9" t="n"/>
      <c r="I244" s="9" t="n"/>
      <c r="J244" s="9" t="n"/>
      <c r="K244" s="9" t="n"/>
      <c r="L244" s="9" t="n"/>
      <c r="M244" s="9" t="n"/>
      <c r="N244" s="10" t="inlineStr">
        <is>
          <t>https://www.humanos.cnrs.fr/</t>
        </is>
      </c>
      <c r="O244" s="10" t="inlineStr">
        <is>
          <t>https://polipapers.upv.es/index.php/var/article/view/13422</t>
        </is>
      </c>
      <c r="P244" s="9" t="inlineStr">
        <is>
          <t>10.4995/var.2020.13422</t>
        </is>
      </c>
      <c r="Q244" s="9" t="inlineStr">
        <is>
          <t>Rozenn Colleter</t>
        </is>
      </c>
      <c r="R244" s="9" t="inlineStr">
        <is>
          <t>Jean-Baptiste Romain</t>
        </is>
      </c>
      <c r="S244" s="9" t="inlineStr">
        <is>
          <t>Jean-Baptiste Barreau</t>
        </is>
      </c>
      <c r="T244" s="9" t="n"/>
      <c r="U244" s="9" t="n"/>
      <c r="V244" s="9" t="n"/>
      <c r="W244" s="9" t="inlineStr">
        <is>
          <t>Packages and libraries</t>
        </is>
      </c>
      <c r="X244" s="9" t="inlineStr">
        <is>
          <t>Mobile app</t>
        </is>
      </c>
      <c r="Y244" s="9" t="inlineStr">
        <is>
          <t>Zooarchaeology</t>
        </is>
      </c>
      <c r="Z244" s="9" t="inlineStr">
        <is>
          <t>Data management</t>
        </is>
      </c>
      <c r="AA244" s="9" t="n"/>
      <c r="AB244" s="9" t="n"/>
      <c r="AC244" s="9" t="n"/>
      <c r="AD244" s="9" t="n"/>
      <c r="AE244" s="9" t="n"/>
      <c r="AF244" s="9" t="n"/>
      <c r="AG244" s="9" t="n"/>
    </row>
    <row r="245">
      <c r="A245" s="9" t="inlineStr">
        <is>
          <t>iconr</t>
        </is>
      </c>
      <c r="B245" s="9" t="inlineStr">
        <is>
          <t>Set of formal methods for studying archaeological iconographic datasets (rock-art, pottery decoration, stelae, etc.) using network and spatial analysis.</t>
        </is>
      </c>
      <c r="C245" s="10" t="inlineStr">
        <is>
          <t>https://github.com/zoometh/iconr</t>
        </is>
      </c>
      <c r="D245" s="9" t="n"/>
      <c r="E245" s="9" t="n"/>
      <c r="F245" s="9" t="n"/>
      <c r="G245" s="9" t="n"/>
      <c r="H245" s="9" t="n"/>
      <c r="I245" s="9" t="n"/>
      <c r="J245" s="9" t="n"/>
      <c r="K245" s="9" t="n"/>
      <c r="L245" s="9" t="n"/>
      <c r="M245" s="9" t="n"/>
      <c r="N245" s="10" t="inlineStr">
        <is>
          <t>https://zoometh.github.io/iconr/articles/index.html</t>
        </is>
      </c>
      <c r="O245" s="9" t="n"/>
      <c r="P245" s="9" t="n"/>
      <c r="Q245" s="9" t="inlineStr">
        <is>
          <t>zoometh</t>
        </is>
      </c>
      <c r="R245" s="9" t="inlineStr">
        <is>
          <t>josempozo</t>
        </is>
      </c>
      <c r="S245" s="9" t="inlineStr">
        <is>
          <t>Craig Alexander</t>
        </is>
      </c>
      <c r="T245" s="9" t="n"/>
      <c r="U245" s="9" t="n"/>
      <c r="V245" s="9" t="n"/>
      <c r="W245" s="9" t="inlineStr">
        <is>
          <t>Packages and libraries</t>
        </is>
      </c>
      <c r="X245" s="9" t="inlineStr">
        <is>
          <t>R</t>
        </is>
      </c>
      <c r="Y245" s="9" t="inlineStr">
        <is>
          <t>Iconography</t>
        </is>
      </c>
      <c r="Z245" s="9" t="n"/>
      <c r="AA245" s="9" t="n"/>
      <c r="AB245" s="9" t="n"/>
      <c r="AC245" s="9" t="n"/>
      <c r="AD245" s="9" t="n"/>
      <c r="AE245" s="10" t="inlineStr">
        <is>
          <t>https://archive.org/details/github.com-zoometh-iconr_-_2021-03-01_18-06-08</t>
        </is>
      </c>
      <c r="AF245" s="9" t="n"/>
      <c r="AG245" s="9" t="n"/>
    </row>
    <row r="246">
      <c r="A246" s="9" t="inlineStr">
        <is>
          <t>iDAI.field</t>
        </is>
      </c>
      <c r="B246" s="9" t="inlineStr">
        <is>
          <t>The German Archaeological Institute's (DAI) new take on a field research documentation system. Combining features of GIS, photo management, and database management systems in a unique and integrating manner, it aims at facilitating archaeological workflows by reducing the overhead of using multiple systems. Developed in-house by the DAI's information technology department, it targets primarily the needs of the institute's excavations, older ones as well as those to come. Yet, due to the nature of its adjustable data model and the fact it is open source software, any interested third party is free to reuse and adjust it to their needs.</t>
        </is>
      </c>
      <c r="C246" s="10" t="inlineStr">
        <is>
          <t>https://github.com/dainst/idai-field</t>
        </is>
      </c>
      <c r="D246" s="9" t="n"/>
      <c r="E246" s="9" t="n"/>
      <c r="F246" s="9" t="n"/>
      <c r="G246" s="9" t="n"/>
      <c r="H246" s="9" t="n"/>
      <c r="I246" s="9" t="n"/>
      <c r="J246" s="9" t="n"/>
      <c r="K246" s="9" t="n"/>
      <c r="L246" s="9" t="n"/>
      <c r="M246" s="9" t="n"/>
      <c r="N246" s="10" t="inlineStr">
        <is>
          <t>https://field.dainst.org/#/</t>
        </is>
      </c>
      <c r="O246" s="9" t="n"/>
      <c r="P246" s="9" t="n"/>
      <c r="Q246" s="9" t="inlineStr">
        <is>
          <t>daiinst</t>
        </is>
      </c>
      <c r="R246" s="9" t="n"/>
      <c r="S246" s="9" t="n"/>
      <c r="T246" s="9" t="n"/>
      <c r="U246" s="9" t="n"/>
      <c r="V246" s="9" t="n"/>
      <c r="W246" s="9" t="inlineStr">
        <is>
          <t>Standalone software</t>
        </is>
      </c>
      <c r="X246" s="9" t="n"/>
      <c r="Y246" s="9" t="inlineStr">
        <is>
          <t>Data management</t>
        </is>
      </c>
      <c r="Z246" s="9" t="n"/>
      <c r="AA246" s="9" t="n"/>
      <c r="AB246" s="9" t="n"/>
      <c r="AC246" s="9" t="n"/>
      <c r="AD246" s="9" t="n"/>
      <c r="AE246" s="10" t="inlineStr">
        <is>
          <t>https://archive.org/details/github.com-dainst-idai-field_-_2021-07-06_16-20-43</t>
        </is>
      </c>
      <c r="AF246" s="9" t="n"/>
      <c r="AG246" s="9" t="n"/>
    </row>
    <row r="247">
      <c r="A247" s="9" t="inlineStr">
        <is>
          <t>idaifieldR</t>
        </is>
      </c>
      <c r="B247" s="9" t="inlineStr">
        <is>
          <t>The goal of idaifieldR is to flexibly get data from the idaifield database into R.</t>
        </is>
      </c>
      <c r="C247" s="10" t="inlineStr">
        <is>
          <t>https://github.com/lsteinmann/idaifieldR</t>
        </is>
      </c>
      <c r="D247" s="9" t="n"/>
      <c r="E247" s="9" t="n"/>
      <c r="F247" s="9" t="n"/>
      <c r="G247" s="9" t="n"/>
      <c r="H247" s="9" t="n"/>
      <c r="I247" s="9" t="n"/>
      <c r="J247" s="9" t="n"/>
      <c r="K247" s="9" t="n"/>
      <c r="L247" s="9" t="n"/>
      <c r="M247" s="9" t="n"/>
      <c r="N247" s="9" t="n"/>
      <c r="O247" s="9" t="n"/>
      <c r="P247" s="9" t="n"/>
      <c r="Q247" s="9" t="inlineStr">
        <is>
          <t>lsteinmann</t>
        </is>
      </c>
      <c r="R247" s="9" t="n"/>
      <c r="S247" s="9" t="n"/>
      <c r="T247" s="9" t="n"/>
      <c r="U247" s="9" t="n"/>
      <c r="V247" s="9" t="n"/>
      <c r="W247" s="9" t="inlineStr">
        <is>
          <t>Packages and libraries</t>
        </is>
      </c>
      <c r="X247" s="9" t="inlineStr">
        <is>
          <t>R</t>
        </is>
      </c>
      <c r="Y247" s="9" t="inlineStr">
        <is>
          <t>API interfaces and web scrapers</t>
        </is>
      </c>
      <c r="Z247" s="9" t="n"/>
      <c r="AA247" s="9" t="n"/>
      <c r="AB247" s="9" t="n"/>
      <c r="AC247" s="9" t="n"/>
      <c r="AD247" s="9" t="n"/>
      <c r="AE247" s="10" t="inlineStr">
        <is>
          <t>https://archive.org/details/github.com-lsteinmann-idaifieldR_-_2021-04-13_16-34-48</t>
        </is>
      </c>
      <c r="AF247" s="9" t="n"/>
      <c r="AG247" s="9" t="n"/>
    </row>
    <row r="248">
      <c r="A248" s="9" t="inlineStr">
        <is>
          <t>inclusions</t>
        </is>
      </c>
      <c r="B248" s="9" t="inlineStr">
        <is>
          <t>Shortcodes to describe inclusions in ceramic bodies.</t>
        </is>
      </c>
      <c r="C248" s="9" t="n"/>
      <c r="D248" s="9" t="n"/>
      <c r="E248" s="9" t="n"/>
      <c r="F248" s="9" t="n"/>
      <c r="G248" s="9" t="n"/>
      <c r="H248" s="9" t="n"/>
      <c r="I248" s="9" t="n"/>
      <c r="J248" s="9" t="n"/>
      <c r="K248" s="9" t="n"/>
      <c r="L248" s="9" t="n"/>
      <c r="M248" s="10" t="inlineStr">
        <is>
          <t>https://codeberg.org/steko/inclusions</t>
        </is>
      </c>
      <c r="N248" s="9" t="n"/>
      <c r="O248" s="9" t="n"/>
      <c r="P248" s="9" t="n"/>
      <c r="Q248" s="9" t="inlineStr">
        <is>
          <t>steko</t>
        </is>
      </c>
      <c r="R248" s="9" t="n"/>
      <c r="S248" s="9" t="n"/>
      <c r="T248" s="9" t="n"/>
      <c r="U248" s="9" t="n"/>
      <c r="V248" s="9" t="n"/>
      <c r="W248" s="9" t="inlineStr">
        <is>
          <t>Specifications, protocols and schemas</t>
        </is>
      </c>
      <c r="X248" s="9" t="n"/>
      <c r="Y248" s="9" t="inlineStr">
        <is>
          <t>Schemas and ontologies</t>
        </is>
      </c>
      <c r="Z248" s="9" t="inlineStr">
        <is>
          <t>Ceramic analysis</t>
        </is>
      </c>
      <c r="AA248" s="9" t="n"/>
      <c r="AB248" s="9" t="n"/>
      <c r="AC248" s="9" t="n"/>
      <c r="AD248" s="9" t="n"/>
      <c r="AE248" s="10" t="inlineStr">
        <is>
          <t>https://archive.org/details/codeberg.org-steko-inclusions_-_2019-10-26_17-03-54</t>
        </is>
      </c>
      <c r="AF248" s="9" t="n"/>
      <c r="AG248" s="9" t="n"/>
    </row>
    <row r="249">
      <c r="A249" s="9" t="inlineStr">
        <is>
          <t>IntCal</t>
        </is>
      </c>
      <c r="B249" s="9" t="inlineStr">
        <is>
          <t>The IntCal20 radiocarbon calibration curves are provided here in a single data package, together with previous IntCal curves and postbomb curves.</t>
        </is>
      </c>
      <c r="C249" s="10" t="inlineStr">
        <is>
          <t>https://github.com/Maarten14C/IntCal</t>
        </is>
      </c>
      <c r="D249" s="9" t="n"/>
      <c r="E249" s="9" t="n"/>
      <c r="F249" s="9" t="n"/>
      <c r="G249" s="9" t="n"/>
      <c r="H249" s="9" t="n"/>
      <c r="I249" s="9" t="n"/>
      <c r="J249" s="9" t="n"/>
      <c r="K249" s="10" t="inlineStr">
        <is>
          <t>https://cran.r-project.org/package=IntCal</t>
        </is>
      </c>
      <c r="L249" s="9" t="n"/>
      <c r="M249" s="9" t="n"/>
      <c r="N249" s="9" t="n"/>
      <c r="O249" s="9" t="n"/>
      <c r="P249" s="9" t="n"/>
      <c r="Q249" s="9" t="inlineStr">
        <is>
          <t>Maarten14C</t>
        </is>
      </c>
      <c r="R249" s="9" t="n"/>
      <c r="S249" s="9" t="n"/>
      <c r="T249" s="9" t="n"/>
      <c r="U249" s="9" t="n"/>
      <c r="V249" s="9" t="n"/>
      <c r="W249" s="9" t="inlineStr">
        <is>
          <t>Packages and libraries</t>
        </is>
      </c>
      <c r="X249" s="9" t="inlineStr">
        <is>
          <t>R</t>
        </is>
      </c>
      <c r="Y249" s="9" t="inlineStr">
        <is>
          <t>Radiocarbon dating, calibration and sequencing</t>
        </is>
      </c>
      <c r="Z249" s="9" t="n"/>
      <c r="AA249" s="9" t="n"/>
      <c r="AB249" s="9" t="n"/>
      <c r="AC249" s="9" t="n"/>
      <c r="AD249" s="9" t="n"/>
      <c r="AE249" s="9" t="n"/>
      <c r="AF249" s="9" t="n"/>
      <c r="AG249" s="9" t="n"/>
    </row>
    <row r="250">
      <c r="A250" s="9" t="inlineStr">
        <is>
          <t>IntChron</t>
        </is>
      </c>
      <c r="B250" s="9" t="inlineStr">
        <is>
          <t>An indexing service for chronological information. Information can be viewed as webpages or downloaded as data files in different formats.</t>
        </is>
      </c>
      <c r="C250" s="9" t="n"/>
      <c r="D250" s="9" t="n"/>
      <c r="E250" s="9" t="n"/>
      <c r="F250" s="9" t="n"/>
      <c r="G250" s="9" t="n"/>
      <c r="H250" s="9" t="n"/>
      <c r="I250" s="9" t="n"/>
      <c r="J250" s="9" t="n"/>
      <c r="K250" s="9" t="n"/>
      <c r="L250" s="9" t="n"/>
      <c r="M250" s="9" t="n"/>
      <c r="N250" s="10" t="inlineStr">
        <is>
          <t>https://intchron.org/</t>
        </is>
      </c>
      <c r="O250" s="9" t="n"/>
      <c r="P250" s="9" t="inlineStr">
        <is>
          <t>10.1017/RDC.2019.21</t>
        </is>
      </c>
      <c r="Q250" s="9" t="inlineStr">
        <is>
          <t>Christopher Bronk Ramsey</t>
        </is>
      </c>
      <c r="R250" s="9" t="n"/>
      <c r="S250" s="9" t="n"/>
      <c r="T250" s="9" t="n"/>
      <c r="U250" s="9" t="n"/>
      <c r="V250" s="9" t="n"/>
      <c r="W250" s="9" t="inlineStr">
        <is>
          <t>Lists and datasets</t>
        </is>
      </c>
      <c r="X250" s="9" t="n"/>
      <c r="Y250" s="9" t="inlineStr">
        <is>
          <t>Lists</t>
        </is>
      </c>
      <c r="Z250" s="9" t="n"/>
      <c r="AA250" s="9" t="n"/>
      <c r="AB250" s="9" t="n"/>
      <c r="AC250" s="9" t="n"/>
      <c r="AD250" s="9" t="n"/>
      <c r="AE250" s="9" t="n"/>
      <c r="AF250" s="9" t="n"/>
      <c r="AG250" s="9" t="n"/>
    </row>
    <row r="251">
      <c r="A251" s="9" t="inlineStr">
        <is>
          <t>IOSACal</t>
        </is>
      </c>
      <c r="B251" s="9" t="inlineStr">
        <is>
          <t>IOSACal is an open source tool for radiocarbon calibration</t>
        </is>
      </c>
      <c r="C251" s="9" t="n"/>
      <c r="D251" s="9" t="n"/>
      <c r="E251" s="9" t="n"/>
      <c r="F251" s="9" t="n"/>
      <c r="G251" s="9" t="n"/>
      <c r="H251" s="9" t="n"/>
      <c r="I251" s="9" t="n"/>
      <c r="J251" s="9" t="n"/>
      <c r="K251" s="9" t="n"/>
      <c r="L251" s="10" t="inlineStr">
        <is>
          <t>https://pypi.org/project/iosacal/</t>
        </is>
      </c>
      <c r="M251" s="10" t="inlineStr">
        <is>
          <t>https://codeberg.org/steko/iosacal</t>
        </is>
      </c>
      <c r="N251" s="10" t="inlineStr">
        <is>
          <t>https://iosacal.readthedocs.io/en/latest/</t>
        </is>
      </c>
      <c r="O251" s="9" t="n"/>
      <c r="P251" s="9" t="inlineStr">
        <is>
          <t>10.5281/zenodo.630455</t>
        </is>
      </c>
      <c r="Q251" s="9" t="inlineStr">
        <is>
          <t>iosa</t>
        </is>
      </c>
      <c r="R251" s="9" t="n"/>
      <c r="S251" s="9" t="n"/>
      <c r="T251" s="9" t="n"/>
      <c r="U251" s="9" t="n"/>
      <c r="V251" s="9" t="n"/>
      <c r="W251" s="9" t="inlineStr">
        <is>
          <t>Standalone software</t>
        </is>
      </c>
      <c r="X251" s="9" t="n"/>
      <c r="Y251" s="9" t="inlineStr">
        <is>
          <t>Radiocarbon dating, calibration and sequencing</t>
        </is>
      </c>
      <c r="Z251" s="9" t="n"/>
      <c r="AA251" s="9" t="n"/>
      <c r="AB251" s="9" t="n"/>
      <c r="AC251" s="9" t="n"/>
      <c r="AD251" s="9" t="n"/>
      <c r="AE251" s="10" t="inlineStr">
        <is>
          <t>https://archive.org/details/codeberg.org-steko-iosacal_-_2021-01-28_00-04-29</t>
        </is>
      </c>
      <c r="AF251" s="9" t="n"/>
      <c r="AG251" s="9" t="n"/>
    </row>
    <row r="252">
      <c r="A252" s="9" t="inlineStr">
        <is>
          <t>Iraq_mortar</t>
        </is>
      </c>
      <c r="B252" s="9" t="inlineStr">
        <is>
          <t>Enables the creation of a high quality 3D model of an archaeological artefact via process known as photo-masking.</t>
        </is>
      </c>
      <c r="C252" s="10" t="inlineStr">
        <is>
          <t>https://github.com/apalmisano82/Iraq_mortar</t>
        </is>
      </c>
      <c r="D252" s="9" t="n"/>
      <c r="E252" s="9" t="n"/>
      <c r="F252" s="9" t="n"/>
      <c r="G252" s="9" t="n"/>
      <c r="H252" s="9" t="n"/>
      <c r="I252" s="9" t="n"/>
      <c r="J252" s="9" t="n"/>
      <c r="K252" s="9" t="n"/>
      <c r="L252" s="9" t="n"/>
      <c r="M252" s="9" t="n"/>
      <c r="N252" s="9" t="n"/>
      <c r="O252" s="9" t="n"/>
      <c r="P252" s="9" t="n"/>
      <c r="Q252" s="9" t="inlineStr">
        <is>
          <t>apalmisano82</t>
        </is>
      </c>
      <c r="R252" s="9" t="n"/>
      <c r="S252" s="9" t="n"/>
      <c r="T252" s="9" t="n"/>
      <c r="U252" s="9" t="n"/>
      <c r="V252" s="9" t="n"/>
      <c r="W252" s="9" t="inlineStr">
        <is>
          <t>Packages and libraries</t>
        </is>
      </c>
      <c r="X252" s="9" t="inlineStr">
        <is>
          <t>Python</t>
        </is>
      </c>
      <c r="Y252" s="9" t="inlineStr">
        <is>
          <t>3D modelling</t>
        </is>
      </c>
      <c r="Z252" s="9" t="inlineStr">
        <is>
          <t>Shape recognition</t>
        </is>
      </c>
      <c r="AA252" s="9" t="n"/>
      <c r="AB252" s="9" t="n"/>
      <c r="AC252" s="9" t="n"/>
      <c r="AD252" s="9" t="n"/>
      <c r="AE252" s="10" t="inlineStr">
        <is>
          <t>https://archive.org/details/github.com-apalmisano82-Iraq_mortar_-_2017-03-17_18-27-31</t>
        </is>
      </c>
      <c r="AF252" s="9" t="n"/>
      <c r="AG252" s="9" t="n"/>
    </row>
    <row r="253">
      <c r="A253" s="9" t="inlineStr">
        <is>
          <t>Isaac's List of FOSS tools for academics... and what to use them for!</t>
        </is>
      </c>
      <c r="B253" s="9" t="inlineStr">
        <is>
          <t>An annotated list of open source tools for academics.</t>
        </is>
      </c>
      <c r="C253" s="9" t="n"/>
      <c r="D253" s="9" t="n"/>
      <c r="E253" s="9" t="n"/>
      <c r="F253" s="9" t="n"/>
      <c r="G253" s="9" t="n"/>
      <c r="H253" s="9" t="n"/>
      <c r="I253" s="9" t="n"/>
      <c r="J253" s="10" t="inlineStr">
        <is>
          <t>http://isaacullah.github.io/List-of-FOSS-tools-for-academics/</t>
        </is>
      </c>
      <c r="K253" s="9" t="n"/>
      <c r="L253" s="9" t="n"/>
      <c r="M253" s="9" t="n"/>
      <c r="N253" s="9" t="n"/>
      <c r="O253" s="9" t="n"/>
      <c r="P253" s="9" t="n"/>
      <c r="Q253" s="9" t="inlineStr">
        <is>
          <t>isaacullah</t>
        </is>
      </c>
      <c r="R253" s="9" t="n"/>
      <c r="S253" s="9" t="n"/>
      <c r="T253" s="9" t="n"/>
      <c r="U253" s="9" t="n"/>
      <c r="V253" s="9" t="n"/>
      <c r="W253" s="9" t="inlineStr">
        <is>
          <t>Lists and datasets</t>
        </is>
      </c>
      <c r="X253" s="9" t="n"/>
      <c r="Y253" s="9" t="inlineStr">
        <is>
          <t>Lists</t>
        </is>
      </c>
      <c r="Z253" s="9" t="n"/>
      <c r="AA253" s="9" t="n"/>
      <c r="AB253" s="9" t="n"/>
      <c r="AC253" s="9" t="n"/>
      <c r="AD253" s="9" t="n"/>
      <c r="AE253" s="9" t="n"/>
      <c r="AF253" s="9" t="n"/>
      <c r="AG253" s="9" t="n"/>
    </row>
    <row r="254">
      <c r="A254" s="9" t="inlineStr">
        <is>
          <t>ishtar</t>
        </is>
      </c>
      <c r="B254" s="9" t="inlineStr">
        <is>
          <t>Ishtar is a database project for managing archaeological data and documentation from archaeological operations, that prioritizes maximum traceability of the information. Designed to enable inter-database communication, the Ishtar project aims rather to a distributed information model than a centralized one: communication between the databases is favored.</t>
        </is>
      </c>
      <c r="C254" s="9" t="n"/>
      <c r="D254" s="9" t="n"/>
      <c r="E254" s="10" t="inlineStr">
        <is>
          <t>https://gitlab.com/iggdrasil/ishtar</t>
        </is>
      </c>
      <c r="F254" s="9" t="n"/>
      <c r="G254" s="9" t="n"/>
      <c r="H254" s="9" t="n"/>
      <c r="I254" s="9" t="n"/>
      <c r="J254" s="9" t="n"/>
      <c r="K254" s="9" t="n"/>
      <c r="L254" s="9" t="n"/>
      <c r="M254" s="9" t="n"/>
      <c r="N254" s="10" t="inlineStr">
        <is>
          <t>https://ishtar-archeo.net/en/</t>
        </is>
      </c>
      <c r="O254" s="9" t="n"/>
      <c r="P254" s="9" t="n"/>
      <c r="Q254" s="9" t="inlineStr">
        <is>
          <t>iggdrasil</t>
        </is>
      </c>
      <c r="R254" s="9" t="n"/>
      <c r="S254" s="9" t="n"/>
      <c r="T254" s="9" t="n"/>
      <c r="U254" s="9" t="n"/>
      <c r="V254" s="9" t="n"/>
      <c r="W254" s="9" t="inlineStr">
        <is>
          <t>Standalone software</t>
        </is>
      </c>
      <c r="X254" s="9" t="n"/>
      <c r="Y254" s="9" t="inlineStr">
        <is>
          <t>Data management</t>
        </is>
      </c>
      <c r="Z254" s="9" t="n"/>
      <c r="AA254" s="9" t="n"/>
      <c r="AB254" s="9" t="n"/>
      <c r="AC254" s="9" t="n"/>
      <c r="AD254" s="9" t="n"/>
      <c r="AE254" s="10" t="inlineStr">
        <is>
          <t>https://archive.org/details/gitlab.com-iggdrasil-ishtar_-_2021-02-12_16-06-23</t>
        </is>
      </c>
      <c r="AF254" s="9" t="n"/>
      <c r="AG254" s="9" t="n"/>
    </row>
    <row r="255">
      <c r="A255" s="9" t="inlineStr">
        <is>
          <t>IsoArcH</t>
        </is>
      </c>
      <c r="B255" s="9" t="inlineStr">
        <is>
          <t>Open access and collaborative isotope database for bioarcheological samples.</t>
        </is>
      </c>
      <c r="C255" s="9" t="n"/>
      <c r="D255" s="9" t="n"/>
      <c r="E255" s="9" t="n"/>
      <c r="F255" s="9" t="n"/>
      <c r="G255" s="9" t="n"/>
      <c r="H255" s="10" t="inlineStr">
        <is>
          <t>https://twitter.com/isoarch_eu</t>
        </is>
      </c>
      <c r="I255" s="9" t="n"/>
      <c r="J255" s="9" t="n"/>
      <c r="K255" s="9" t="n"/>
      <c r="L255" s="9" t="n"/>
      <c r="M255" s="9" t="n"/>
      <c r="N255" s="10" t="inlineStr">
        <is>
          <t>https://isoarch.eu/</t>
        </is>
      </c>
      <c r="O255" s="9" t="n"/>
      <c r="P255" s="9" t="n"/>
      <c r="Q255" s="9" t="inlineStr">
        <is>
          <t>IsoArcH</t>
        </is>
      </c>
      <c r="R255" s="9" t="n"/>
      <c r="S255" s="9" t="n"/>
      <c r="T255" s="9" t="n"/>
      <c r="U255" s="9" t="n"/>
      <c r="V255" s="9" t="n"/>
      <c r="W255" s="9" t="inlineStr">
        <is>
          <t>Lists and datasets</t>
        </is>
      </c>
      <c r="X255" s="9" t="n"/>
      <c r="Y255" s="9" t="inlineStr">
        <is>
          <t>Datasets</t>
        </is>
      </c>
      <c r="Z255" s="9" t="n"/>
      <c r="AA255" s="9" t="n"/>
      <c r="AB255" s="9" t="n"/>
      <c r="AC255" s="9" t="n"/>
      <c r="AD255" s="9" t="n"/>
      <c r="AE255" s="9" t="n"/>
      <c r="AF255" s="9" t="n"/>
      <c r="AG255" s="9" t="n"/>
    </row>
    <row r="256">
      <c r="A256" s="9" t="inlineStr">
        <is>
          <t>IsoDataVis</t>
        </is>
      </c>
      <c r="B256" s="9" t="inlineStr">
        <is>
          <t>Data visualization guidelines for stable isotopes graphs, with examples</t>
        </is>
      </c>
      <c r="C256" s="10" t="inlineStr">
        <is>
          <t>https://github.com/stantis/IsoDataVis</t>
        </is>
      </c>
      <c r="D256" s="9" t="n"/>
      <c r="E256" s="9" t="n"/>
      <c r="F256" s="9" t="n"/>
      <c r="G256" s="9" t="n"/>
      <c r="H256" s="9" t="n"/>
      <c r="I256" s="9" t="n"/>
      <c r="J256" s="9" t="n"/>
      <c r="K256" s="9" t="n"/>
      <c r="L256" s="9" t="n"/>
      <c r="M256" s="9" t="n"/>
      <c r="N256" s="10" t="inlineStr">
        <is>
          <t>https://stantis.github.io/IsoDataVis/</t>
        </is>
      </c>
      <c r="O256" s="9" t="n"/>
      <c r="P256" s="9" t="n"/>
      <c r="Q256" s="9" t="inlineStr">
        <is>
          <t>stantis</t>
        </is>
      </c>
      <c r="R256" s="9" t="n"/>
      <c r="S256" s="9" t="n"/>
      <c r="T256" s="9" t="n"/>
      <c r="U256" s="9" t="n"/>
      <c r="V256" s="9" t="n"/>
      <c r="W256" s="9" t="inlineStr">
        <is>
          <t>Guides</t>
        </is>
      </c>
      <c r="X256" s="9" t="n"/>
      <c r="Y256" s="9" t="inlineStr">
        <is>
          <t>Stable isotope analysis</t>
        </is>
      </c>
      <c r="Z256" s="9" t="inlineStr">
        <is>
          <t>Educational resources and practical guides</t>
        </is>
      </c>
      <c r="AA256" s="9" t="inlineStr">
        <is>
          <t>Diagrams and visualizations</t>
        </is>
      </c>
      <c r="AB256" s="9" t="n"/>
      <c r="AC256" s="9" t="n"/>
      <c r="AD256" s="9" t="n"/>
      <c r="AE256" s="9" t="n"/>
      <c r="AF256" s="9" t="n"/>
      <c r="AG256" s="9" t="n"/>
    </row>
    <row r="257">
      <c r="A257" s="9" t="inlineStr">
        <is>
          <t>IsoMapNL</t>
        </is>
      </c>
      <c r="B257" s="9" t="inlineStr">
        <is>
          <t>Data and script to generate a map of the Netherlands for isotopic analyses</t>
        </is>
      </c>
      <c r="C257" s="10" t="inlineStr">
        <is>
          <t>https://github.com/EstherPlomp/IsoMapNL</t>
        </is>
      </c>
      <c r="D257" s="9" t="n"/>
      <c r="E257" s="9" t="n"/>
      <c r="F257" s="9" t="n"/>
      <c r="G257" s="9" t="n"/>
      <c r="H257" s="9" t="n"/>
      <c r="I257" s="9" t="n"/>
      <c r="J257" s="9" t="n"/>
      <c r="K257" s="9" t="n"/>
      <c r="L257" s="9" t="n"/>
      <c r="M257" s="9" t="n"/>
      <c r="N257" s="9" t="n"/>
      <c r="O257" s="9" t="n"/>
      <c r="P257" s="9" t="n"/>
      <c r="Q257" s="9" t="inlineStr">
        <is>
          <t>EstherPlomp</t>
        </is>
      </c>
      <c r="R257" s="9" t="n"/>
      <c r="S257" s="9" t="n"/>
      <c r="T257" s="9" t="n"/>
      <c r="U257" s="9" t="n"/>
      <c r="V257" s="9" t="n"/>
      <c r="W257" s="9" t="inlineStr">
        <is>
          <t>Guides</t>
        </is>
      </c>
      <c r="X257" s="9" t="n"/>
      <c r="Y257" s="9" t="inlineStr">
        <is>
          <t>Educational resources and practical guides</t>
        </is>
      </c>
      <c r="Z257" s="9" t="inlineStr">
        <is>
          <t>Stable isotope analysis</t>
        </is>
      </c>
      <c r="AA257" s="9" t="inlineStr">
        <is>
          <t>Diagrams and visualizations</t>
        </is>
      </c>
      <c r="AB257" s="9" t="n"/>
      <c r="AC257" s="9" t="n"/>
      <c r="AD257" s="9" t="n"/>
      <c r="AE257" s="9" t="n"/>
      <c r="AF257" s="9" t="n"/>
      <c r="AG257" s="9" t="n"/>
    </row>
    <row r="258">
      <c r="A258" s="9" t="inlineStr">
        <is>
          <t>isopleuros</t>
        </is>
      </c>
      <c r="B258" s="9" t="inlineStr">
        <is>
          <t>Ternary plots made simple.</t>
        </is>
      </c>
      <c r="C258" s="10" t="inlineStr">
        <is>
          <t>https://github.com/tesselle/isopleuros</t>
        </is>
      </c>
      <c r="D258" s="9" t="n"/>
      <c r="E258" s="9" t="n"/>
      <c r="F258" s="9" t="n"/>
      <c r="G258" s="9" t="n"/>
      <c r="H258" s="9" t="n"/>
      <c r="I258" s="9" t="n"/>
      <c r="J258" s="9" t="n"/>
      <c r="K258" s="10" t="inlineStr">
        <is>
          <t>https://cran.r-project.org/package=isopleuros</t>
        </is>
      </c>
      <c r="L258" s="9" t="n"/>
      <c r="M258" s="9" t="n"/>
      <c r="N258" s="10" t="inlineStr">
        <is>
          <t>https://packages.tesselle.org/isopleuros/</t>
        </is>
      </c>
      <c r="O258" s="9" t="n"/>
      <c r="P258" s="9" t="inlineStr">
        <is>
          <t>10.5281/zenodo.7940389</t>
        </is>
      </c>
      <c r="Q258" s="9" t="inlineStr">
        <is>
          <t>tesselle</t>
        </is>
      </c>
      <c r="R258" s="9" t="n"/>
      <c r="S258" s="9" t="n"/>
      <c r="T258" s="9" t="n"/>
      <c r="U258" s="9" t="n"/>
      <c r="V258" s="9" t="n"/>
      <c r="W258" s="9" t="inlineStr">
        <is>
          <t>Packages and libraries</t>
        </is>
      </c>
      <c r="X258" s="9" t="inlineStr">
        <is>
          <t>R</t>
        </is>
      </c>
      <c r="Y258" s="9" t="inlineStr">
        <is>
          <t>Diagrams and visualizations</t>
        </is>
      </c>
      <c r="Z258" s="9" t="n"/>
      <c r="AA258" s="9" t="n"/>
      <c r="AB258" s="9" t="n"/>
      <c r="AC258" s="9" t="n"/>
      <c r="AD258" s="9" t="n"/>
      <c r="AE258" s="9" t="n"/>
      <c r="AF258" s="9" t="n"/>
      <c r="AG258" s="9" t="n"/>
    </row>
    <row r="259">
      <c r="A259" s="9" t="inlineStr">
        <is>
          <t>Isotope-Visualisation</t>
        </is>
      </c>
      <c r="B259" s="9" t="inlineStr">
        <is>
          <t>Resources relevant to visualisation of isotopic results</t>
        </is>
      </c>
      <c r="C259" s="10" t="inlineStr">
        <is>
          <t>https://github.com/EstherPlomp/Isotope-Visualisation</t>
        </is>
      </c>
      <c r="D259" s="9" t="n"/>
      <c r="E259" s="9" t="n"/>
      <c r="F259" s="9" t="n"/>
      <c r="G259" s="9" t="n"/>
      <c r="H259" s="9" t="n"/>
      <c r="I259" s="9" t="n"/>
      <c r="J259" s="9" t="n"/>
      <c r="K259" s="9" t="n"/>
      <c r="L259" s="9" t="n"/>
      <c r="M259" s="9" t="n"/>
      <c r="N259" s="9" t="n"/>
      <c r="O259" s="9" t="n"/>
      <c r="P259" s="9" t="n"/>
      <c r="Q259" s="9" t="inlineStr">
        <is>
          <t>EstherPlomp</t>
        </is>
      </c>
      <c r="R259" s="9" t="n"/>
      <c r="S259" s="9" t="n"/>
      <c r="T259" s="9" t="n"/>
      <c r="U259" s="9" t="n"/>
      <c r="V259" s="9" t="n"/>
      <c r="W259" s="9" t="inlineStr">
        <is>
          <t>Lists and datasets</t>
        </is>
      </c>
      <c r="X259" s="9" t="n"/>
      <c r="Y259" s="9" t="inlineStr">
        <is>
          <t>Stable isotope analysis</t>
        </is>
      </c>
      <c r="Z259" s="9" t="inlineStr">
        <is>
          <t>Diagrams and visualizations</t>
        </is>
      </c>
      <c r="AA259" s="9" t="inlineStr">
        <is>
          <t>Educational resources and practical guides</t>
        </is>
      </c>
      <c r="AB259" s="9" t="n"/>
      <c r="AC259" s="9" t="n"/>
      <c r="AD259" s="9" t="n"/>
      <c r="AE259" s="9" t="n"/>
      <c r="AF259" s="9" t="n"/>
      <c r="AG259" s="9" t="n"/>
    </row>
    <row r="260">
      <c r="A260" s="9" t="inlineStr">
        <is>
          <t>italy-3d-amphitheaters</t>
        </is>
      </c>
      <c r="B260" s="9" t="inlineStr">
        <is>
          <t>3D amphitheatres.</t>
        </is>
      </c>
      <c r="C260" s="10" t="inlineStr">
        <is>
          <t>https://github.com/sfsheath/italy-3d-amphitheaters</t>
        </is>
      </c>
      <c r="D260" s="9" t="n"/>
      <c r="E260" s="9" t="n"/>
      <c r="F260" s="9" t="n"/>
      <c r="G260" s="9" t="n"/>
      <c r="H260" s="9" t="n"/>
      <c r="I260" s="9" t="n"/>
      <c r="J260" s="9" t="n"/>
      <c r="K260" s="9" t="n"/>
      <c r="L260" s="9" t="n"/>
      <c r="M260" s="9" t="n"/>
      <c r="N260" s="9" t="n"/>
      <c r="O260" s="9" t="n"/>
      <c r="P260" s="9" t="n"/>
      <c r="Q260" s="9" t="inlineStr">
        <is>
          <t>sfsheath</t>
        </is>
      </c>
      <c r="R260" s="9" t="n"/>
      <c r="S260" s="9" t="n"/>
      <c r="T260" s="9" t="n"/>
      <c r="U260" s="9" t="n"/>
      <c r="V260" s="9" t="n"/>
      <c r="W260" s="9" t="inlineStr">
        <is>
          <t>Lists and datasets</t>
        </is>
      </c>
      <c r="X260" s="9" t="n"/>
      <c r="Y260" s="9" t="inlineStr">
        <is>
          <t>3D modelling</t>
        </is>
      </c>
      <c r="Z260" s="9" t="n"/>
      <c r="AA260" s="9" t="n"/>
      <c r="AB260" s="9" t="n"/>
      <c r="AC260" s="9" t="n"/>
      <c r="AD260" s="9" t="n"/>
      <c r="AE260" s="10" t="inlineStr">
        <is>
          <t>https://archive.org/details/github.com-sfsheath-italy-3d-amphitheaters_-_2018-01-21_04-52-13</t>
        </is>
      </c>
      <c r="AF260" s="9" t="n"/>
      <c r="AG260" s="9" t="n"/>
    </row>
    <row r="261">
      <c r="A261" s="9" t="inlineStr">
        <is>
          <t>ithaca</t>
        </is>
      </c>
      <c r="B261" s="9" t="inlineStr">
        <is>
          <t>Restoring and attributing ancient texts using deep neural networks.</t>
        </is>
      </c>
      <c r="C261" s="10" t="inlineStr">
        <is>
          <t>https://github.com/deepmind/ithaca</t>
        </is>
      </c>
      <c r="D261" s="9" t="n"/>
      <c r="E261" s="9" t="n"/>
      <c r="F261" s="9" t="n"/>
      <c r="G261" s="9" t="n"/>
      <c r="H261" s="9" t="n"/>
      <c r="I261" s="9" t="n"/>
      <c r="J261" s="9" t="n"/>
      <c r="K261" s="9" t="n"/>
      <c r="L261" s="9" t="n"/>
      <c r="M261" s="9" t="n"/>
      <c r="N261" s="9" t="n"/>
      <c r="O261" s="9" t="n"/>
      <c r="P261" s="9" t="n"/>
      <c r="Q261" s="9" t="inlineStr">
        <is>
          <t>deepmind</t>
        </is>
      </c>
      <c r="R261" s="9" t="n"/>
      <c r="S261" s="9" t="n"/>
      <c r="T261" s="9" t="n"/>
      <c r="U261" s="9" t="n"/>
      <c r="V261" s="9" t="n"/>
      <c r="W261" s="9" t="inlineStr">
        <is>
          <t>Packages and libraries</t>
        </is>
      </c>
      <c r="X261" s="9" t="inlineStr">
        <is>
          <t>Python</t>
        </is>
      </c>
      <c r="Y261" s="9" t="inlineStr">
        <is>
          <t>Literary analysis and epigraphy</t>
        </is>
      </c>
      <c r="Z261" s="9" t="inlineStr">
        <is>
          <t>Shape recognition</t>
        </is>
      </c>
      <c r="AA261" s="9" t="n"/>
      <c r="AB261" s="9" t="n"/>
      <c r="AC261" s="9" t="n"/>
      <c r="AD261" s="9" t="n"/>
      <c r="AE261" s="9" t="n"/>
      <c r="AF261" s="9" t="n"/>
      <c r="AG261" s="9" t="n"/>
    </row>
    <row r="262">
      <c r="A262" s="9" t="inlineStr">
        <is>
          <t>joint-disease-tool</t>
        </is>
      </c>
      <c r="B262" s="9" t="inlineStr">
        <is>
          <t>Interactively guides the user through a number of questions, ending in a specific pathology diagnosis.</t>
        </is>
      </c>
      <c r="C262" s="10" t="inlineStr">
        <is>
          <t>https://github.com/alexbrandsen/joint-disease-tool</t>
        </is>
      </c>
      <c r="D262" s="9" t="n"/>
      <c r="E262" s="9" t="n"/>
      <c r="F262" s="9" t="n"/>
      <c r="G262" s="9" t="n"/>
      <c r="H262" s="9" t="n"/>
      <c r="I262" s="9" t="n"/>
      <c r="J262" s="9" t="n"/>
      <c r="K262" s="9" t="n"/>
      <c r="L262" s="9" t="n"/>
      <c r="M262" s="9" t="n"/>
      <c r="N262" s="9" t="n"/>
      <c r="O262" s="9" t="n"/>
      <c r="P262" s="9" t="n"/>
      <c r="Q262" s="9" t="inlineStr">
        <is>
          <t>alexbrandsen</t>
        </is>
      </c>
      <c r="R262" s="9" t="n"/>
      <c r="S262" s="9" t="n"/>
      <c r="T262" s="9" t="n"/>
      <c r="U262" s="9" t="n"/>
      <c r="V262" s="9" t="n"/>
      <c r="W262" s="9" t="inlineStr">
        <is>
          <t>Packages and libraries</t>
        </is>
      </c>
      <c r="X262" s="9" t="n"/>
      <c r="Y262" s="9" t="inlineStr">
        <is>
          <t>Biological anthropology</t>
        </is>
      </c>
      <c r="Z262" s="9" t="n"/>
      <c r="AA262" s="9" t="n"/>
      <c r="AB262" s="9" t="n"/>
      <c r="AC262" s="9" t="n"/>
      <c r="AD262" s="9" t="n"/>
      <c r="AE262" s="9" t="n"/>
      <c r="AF262" s="9" t="n"/>
      <c r="AG262" s="9" t="n"/>
    </row>
    <row r="263">
      <c r="A263" s="9" t="inlineStr">
        <is>
          <t>kairos</t>
        </is>
      </c>
      <c r="B263" s="9" t="inlineStr">
        <is>
          <t>Analysis of Chronological Patterns from Archaeological Count Data.</t>
        </is>
      </c>
      <c r="C263" s="10" t="inlineStr">
        <is>
          <t>https://github.com/tesselle/kairos</t>
        </is>
      </c>
      <c r="D263" s="9" t="n"/>
      <c r="E263" s="9" t="n"/>
      <c r="F263" s="9" t="n"/>
      <c r="G263" s="9" t="n"/>
      <c r="H263" s="9" t="n"/>
      <c r="I263" s="9" t="n"/>
      <c r="J263" s="9" t="n"/>
      <c r="K263" s="10" t="inlineStr">
        <is>
          <t>https://cran.r-project.org/package=kairos</t>
        </is>
      </c>
      <c r="L263" s="9" t="n"/>
      <c r="M263" s="9" t="n"/>
      <c r="N263" s="10" t="inlineStr">
        <is>
          <t>https://packages.tesselle.org/kairos/</t>
        </is>
      </c>
      <c r="O263" s="9" t="n"/>
      <c r="P263" s="9" t="inlineStr">
        <is>
          <t>10.5281/zenodo.5653896</t>
        </is>
      </c>
      <c r="Q263" s="9" t="inlineStr">
        <is>
          <t>tesselle</t>
        </is>
      </c>
      <c r="R263" s="9" t="n"/>
      <c r="S263" s="9" t="n"/>
      <c r="T263" s="9" t="n"/>
      <c r="U263" s="9" t="n"/>
      <c r="V263" s="9" t="n"/>
      <c r="W263" s="9" t="inlineStr">
        <is>
          <t>Packages and libraries</t>
        </is>
      </c>
      <c r="X263" s="9" t="inlineStr">
        <is>
          <t>R</t>
        </is>
      </c>
      <c r="Y263" s="9" t="inlineStr">
        <is>
          <t>Chronological modelling</t>
        </is>
      </c>
      <c r="Z263" s="9" t="n"/>
      <c r="AA263" s="9" t="n"/>
      <c r="AB263" s="9" t="n"/>
      <c r="AC263" s="9" t="n"/>
      <c r="AD263" s="9" t="n"/>
      <c r="AE263" s="10" t="inlineStr">
        <is>
          <t>https://archive.org/details/github.com-tesselle-kairos_-_2021-06-24_12-52-49</t>
        </is>
      </c>
      <c r="AF263" s="9" t="n"/>
      <c r="AG263" s="9" t="n"/>
    </row>
    <row r="264">
      <c r="A264" s="9" t="inlineStr">
        <is>
          <t>kart4arch</t>
        </is>
      </c>
      <c r="B264" s="9" t="inlineStr">
        <is>
          <t>Tutorial to drive step by step any practitioner interested in learning how to use Kart.</t>
        </is>
      </c>
      <c r="C264" s="10" t="inlineStr">
        <is>
          <t>https://github.com/UnitoAssyrianGovernance/kart4arch</t>
        </is>
      </c>
      <c r="D264" s="9" t="n"/>
      <c r="E264" s="9" t="n"/>
      <c r="F264" s="9" t="n"/>
      <c r="G264" s="9" t="n"/>
      <c r="H264" s="9" t="n"/>
      <c r="I264" s="9" t="n"/>
      <c r="J264" s="9" t="n"/>
      <c r="K264" s="9" t="n"/>
      <c r="L264" s="9" t="n"/>
      <c r="M264" s="9" t="n"/>
      <c r="N264" s="10" t="inlineStr">
        <is>
          <t>https://unitoassyriangovernance.github.io/kart4arch/</t>
        </is>
      </c>
      <c r="O264" s="9" t="n"/>
      <c r="P264" s="9" t="n"/>
      <c r="Q264" s="9" t="inlineStr">
        <is>
          <t>UnitoAssyrianGovernance</t>
        </is>
      </c>
      <c r="R264" s="9" t="inlineStr">
        <is>
          <t>andreatitolo</t>
        </is>
      </c>
      <c r="S264" s="9" t="inlineStr">
        <is>
          <t>apalmisano82</t>
        </is>
      </c>
      <c r="T264" s="9" t="n"/>
      <c r="U264" s="9" t="n"/>
      <c r="V264" s="9" t="n"/>
      <c r="W264" s="9" t="inlineStr">
        <is>
          <t>Guides</t>
        </is>
      </c>
      <c r="X264" s="9" t="n"/>
      <c r="Y264" s="9" t="inlineStr">
        <is>
          <t>Data management</t>
        </is>
      </c>
      <c r="Z264" s="9" t="inlineStr">
        <is>
          <t>Educational resources and practical guides</t>
        </is>
      </c>
      <c r="AA264" s="9" t="n"/>
      <c r="AB264" s="9" t="n"/>
      <c r="AC264" s="9" t="n"/>
      <c r="AD264" s="9" t="n"/>
      <c r="AE264" s="9" t="n"/>
      <c r="AF264" s="9" t="n"/>
      <c r="AG264" s="9" t="n"/>
    </row>
    <row r="265">
      <c r="A265" s="9" t="inlineStr">
        <is>
          <t>katun</t>
        </is>
      </c>
      <c r="B265" s="9" t="inlineStr">
        <is>
          <t>Tools for converting between Maya and Western calendars.</t>
        </is>
      </c>
      <c r="C265" s="10" t="inlineStr">
        <is>
          <t>https://github.com/jgregoriods/katun</t>
        </is>
      </c>
      <c r="D265" s="9" t="n"/>
      <c r="E265" s="9" t="n"/>
      <c r="F265" s="9" t="n"/>
      <c r="G265" s="9" t="n"/>
      <c r="H265" s="9" t="n"/>
      <c r="I265" s="9" t="n"/>
      <c r="J265" s="9" t="n"/>
      <c r="K265" s="9" t="n"/>
      <c r="L265" s="9" t="n"/>
      <c r="M265" s="9" t="n"/>
      <c r="N265" s="10" t="inlineStr">
        <is>
          <t>https://jgregoriods.github.io/katun/</t>
        </is>
      </c>
      <c r="O265" s="9" t="n"/>
      <c r="P265" s="9" t="n"/>
      <c r="Q265" s="9" t="inlineStr">
        <is>
          <t>jgregoriods</t>
        </is>
      </c>
      <c r="R265" s="9" t="n"/>
      <c r="S265" s="9" t="n"/>
      <c r="T265" s="9" t="n"/>
      <c r="U265" s="9" t="n"/>
      <c r="V265" s="9" t="n"/>
      <c r="W265" s="9" t="inlineStr">
        <is>
          <t>Standalone software</t>
        </is>
      </c>
      <c r="X265" s="9" t="n"/>
      <c r="Y265" s="9" t="inlineStr">
        <is>
          <t>Chronological modelling</t>
        </is>
      </c>
      <c r="Z265" s="9" t="n"/>
      <c r="AA265" s="9" t="n"/>
      <c r="AB265" s="9" t="n"/>
      <c r="AC265" s="9" t="n"/>
      <c r="AD265" s="9" t="n"/>
      <c r="AE265" s="10" t="inlineStr">
        <is>
          <t>https://archive.org/details/github.com-jgregoriods-katun_-_2021-05-27_03-02-18</t>
        </is>
      </c>
      <c r="AF265" s="9" t="n"/>
      <c r="AG265" s="9" t="n"/>
    </row>
    <row r="266">
      <c r="A266" s="9" t="inlineStr">
        <is>
          <t>khroma</t>
        </is>
      </c>
      <c r="B266" s="9" t="inlineStr">
        <is>
          <t>Colour Schemes for Archaeological Data Visualization</t>
        </is>
      </c>
      <c r="C266" s="10" t="inlineStr">
        <is>
          <t>https://github.com/tesselle/khroma</t>
        </is>
      </c>
      <c r="D266" s="9" t="n"/>
      <c r="E266" s="9" t="n"/>
      <c r="F266" s="9" t="n"/>
      <c r="G266" s="9" t="n"/>
      <c r="H266" s="9" t="n"/>
      <c r="I266" s="9" t="n"/>
      <c r="J266" s="9" t="n"/>
      <c r="K266" s="10" t="inlineStr">
        <is>
          <t>https://cran.r-project.org/package=khroma</t>
        </is>
      </c>
      <c r="L266" s="9" t="n"/>
      <c r="M266" s="9" t="n"/>
      <c r="N266" s="10" t="inlineStr">
        <is>
          <t>https://packages.tesselle.org/khroma/</t>
        </is>
      </c>
      <c r="O266" s="9" t="n"/>
      <c r="P266" s="9" t="inlineStr">
        <is>
          <t>10.5281/zenodo.1472077</t>
        </is>
      </c>
      <c r="Q266" s="9" t="inlineStr">
        <is>
          <t>tesselle</t>
        </is>
      </c>
      <c r="R266" s="9" t="n"/>
      <c r="S266" s="9" t="n"/>
      <c r="T266" s="9" t="n"/>
      <c r="U266" s="9" t="n"/>
      <c r="V266" s="9" t="n"/>
      <c r="W266" s="9" t="inlineStr">
        <is>
          <t>Packages and libraries</t>
        </is>
      </c>
      <c r="X266" s="9" t="inlineStr">
        <is>
          <t>R</t>
        </is>
      </c>
      <c r="Y266" s="9" t="inlineStr">
        <is>
          <t>Diagrams and visualizations</t>
        </is>
      </c>
      <c r="Z266" s="9" t="n"/>
      <c r="AA266" s="9" t="n"/>
      <c r="AB266" s="9" t="n"/>
      <c r="AC266" s="9" t="n"/>
      <c r="AD266" s="9" t="n"/>
      <c r="AE266" s="10" t="inlineStr">
        <is>
          <t>https://archive.org/details/github.com-tesselle-khroma_-_2021-01-26_17-55-46</t>
        </is>
      </c>
      <c r="AF266" s="9" t="n"/>
      <c r="AG266" s="9" t="n"/>
    </row>
    <row r="267">
      <c r="A267" s="9" t="inlineStr">
        <is>
          <t>kidstats</t>
        </is>
      </c>
      <c r="B267" s="9" t="inlineStr">
        <is>
          <t>Shiny application that provides subadult age estimations based on dental and skeletal development and skeletal diaphyseal metrics using pre-optimized mixed cumulative probit models.</t>
        </is>
      </c>
      <c r="C267" s="10" t="inlineStr">
        <is>
          <t>https://github.com/ElaineYChu/kidstats</t>
        </is>
      </c>
      <c r="D267" s="9" t="n"/>
      <c r="E267" s="9" t="n"/>
      <c r="F267" s="9" t="n"/>
      <c r="G267" s="9" t="n"/>
      <c r="H267" s="9" t="n"/>
      <c r="I267" s="9" t="n"/>
      <c r="J267" s="9" t="n"/>
      <c r="K267" s="9" t="n"/>
      <c r="L267" s="9" t="n"/>
      <c r="M267" s="9" t="n"/>
      <c r="N267" s="9" t="n"/>
      <c r="O267" s="9" t="n"/>
      <c r="P267" s="9" t="n"/>
      <c r="Q267" s="9" t="inlineStr">
        <is>
          <t>ElaineYChu</t>
        </is>
      </c>
      <c r="R267" s="9" t="n"/>
      <c r="S267" s="9" t="n"/>
      <c r="T267" s="9" t="n"/>
      <c r="U267" s="9" t="n"/>
      <c r="V267" s="9" t="n"/>
      <c r="W267" s="9" t="inlineStr">
        <is>
          <t>Scripts</t>
        </is>
      </c>
      <c r="X267" s="9" t="inlineStr">
        <is>
          <t>R</t>
        </is>
      </c>
      <c r="Y267" s="9" t="inlineStr">
        <is>
          <t>Biological anthropology</t>
        </is>
      </c>
      <c r="Z267" s="9" t="n"/>
      <c r="AA267" s="9" t="n"/>
      <c r="AB267" s="9" t="n"/>
      <c r="AC267" s="9" t="n"/>
      <c r="AD267" s="9" t="n"/>
      <c r="AE267" s="9" t="n"/>
      <c r="AF267" s="9" t="n"/>
      <c r="AG267" s="9" t="n"/>
    </row>
    <row r="268">
      <c r="A268" s="9" t="inlineStr">
        <is>
          <t>Kmeans</t>
        </is>
      </c>
      <c r="B268" s="9" t="inlineStr">
        <is>
          <t>Script for conducting K-means cluster analysis using R. This script provides output designed to help the user select an appropriate cluster solution.</t>
        </is>
      </c>
      <c r="C268" s="10" t="inlineStr">
        <is>
          <t>https://github.com/mpeeples2008/Kmeans</t>
        </is>
      </c>
      <c r="D268" s="9" t="n"/>
      <c r="E268" s="9" t="n"/>
      <c r="F268" s="9" t="n"/>
      <c r="G268" s="9" t="n"/>
      <c r="H268" s="9" t="n"/>
      <c r="I268" s="9" t="n"/>
      <c r="J268" s="9" t="n"/>
      <c r="K268" s="9" t="n"/>
      <c r="L268" s="9" t="n"/>
      <c r="M268" s="9" t="n"/>
      <c r="N268" s="10" t="inlineStr">
        <is>
          <t>http://www.mattpeeples.net/kmeans.html</t>
        </is>
      </c>
      <c r="O268" s="9" t="n"/>
      <c r="P268" s="9" t="n"/>
      <c r="Q268" s="9" t="inlineStr">
        <is>
          <t>mpeeples2008</t>
        </is>
      </c>
      <c r="R268" s="9" t="n"/>
      <c r="S268" s="9" t="n"/>
      <c r="T268" s="9" t="n"/>
      <c r="U268" s="9" t="n"/>
      <c r="V268" s="9" t="n"/>
      <c r="W268" s="9" t="inlineStr">
        <is>
          <t>Scripts</t>
        </is>
      </c>
      <c r="X268" s="9" t="inlineStr">
        <is>
          <t>R</t>
        </is>
      </c>
      <c r="Y268" s="9" t="inlineStr">
        <is>
          <t>Statistical analysis</t>
        </is>
      </c>
      <c r="Z268" s="9" t="n"/>
      <c r="AA268" s="9" t="n"/>
      <c r="AB268" s="9" t="n"/>
      <c r="AC268" s="9" t="n"/>
      <c r="AD268" s="9" t="n"/>
      <c r="AE268" s="10" t="inlineStr">
        <is>
          <t>https://archive.org/details/github.com-mpeeples2008-Kmeans_-_2018-05-10_22-06-21</t>
        </is>
      </c>
      <c r="AF268" s="9" t="n"/>
      <c r="AG268" s="9" t="n"/>
    </row>
    <row r="269">
      <c r="A269" s="9" t="inlineStr">
        <is>
          <t>kotyle</t>
        </is>
      </c>
      <c r="B269" s="9" t="inlineStr">
        <is>
          <t>Calculate the capacity of a ceramic vessel, like an amphora.</t>
        </is>
      </c>
      <c r="C269" s="9" t="n"/>
      <c r="D269" s="9" t="n"/>
      <c r="E269" s="9" t="n"/>
      <c r="F269" s="9" t="n"/>
      <c r="G269" s="9" t="n"/>
      <c r="H269" s="9" t="n"/>
      <c r="I269" s="9" t="n"/>
      <c r="J269" s="9" t="n"/>
      <c r="K269" s="9" t="n"/>
      <c r="L269" s="9" t="n"/>
      <c r="M269" s="10" t="inlineStr">
        <is>
          <t>https://codeberg.org/steko/kotyle</t>
        </is>
      </c>
      <c r="N269" s="10" t="inlineStr">
        <is>
          <t>https://kotyle.readthedocs.io/en/latest/</t>
        </is>
      </c>
      <c r="O269" s="9" t="n"/>
      <c r="P269" s="9" t="n"/>
      <c r="Q269" s="9" t="inlineStr">
        <is>
          <t>iosa</t>
        </is>
      </c>
      <c r="R269" s="9" t="n"/>
      <c r="S269" s="9" t="n"/>
      <c r="T269" s="9" t="n"/>
      <c r="U269" s="9" t="n"/>
      <c r="V269" s="9" t="n"/>
      <c r="W269" s="9" t="inlineStr">
        <is>
          <t>Packages and libraries</t>
        </is>
      </c>
      <c r="X269" s="9" t="inlineStr">
        <is>
          <t>Python</t>
        </is>
      </c>
      <c r="Y269" s="9" t="inlineStr">
        <is>
          <t>Artefact morphology</t>
        </is>
      </c>
      <c r="Z269" s="9" t="inlineStr">
        <is>
          <t>Ceramic analysis</t>
        </is>
      </c>
      <c r="AA269" s="9" t="n"/>
      <c r="AB269" s="9" t="n"/>
      <c r="AC269" s="9" t="n"/>
      <c r="AD269" s="9" t="n"/>
      <c r="AE269" s="10" t="inlineStr">
        <is>
          <t>https://archive.org/details/codeberg.org-steko-kotyle_-_2020-06-23_23-00-02</t>
        </is>
      </c>
      <c r="AF269" s="9" t="n"/>
      <c r="AG269" s="9" t="n"/>
    </row>
    <row r="270">
      <c r="A270" s="9" t="inlineStr">
        <is>
          <t>kriging</t>
        </is>
      </c>
      <c r="B270" s="9" t="inlineStr">
        <is>
          <t>Codes for performing kriging for ethnographic and archaeological data.</t>
        </is>
      </c>
      <c r="C270" s="10" t="inlineStr">
        <is>
          <t>https://github.com/cl379/kriging</t>
        </is>
      </c>
      <c r="D270" s="9" t="n"/>
      <c r="E270" s="9" t="n"/>
      <c r="F270" s="9" t="n"/>
      <c r="G270" s="9" t="n"/>
      <c r="H270" s="9" t="n"/>
      <c r="I270" s="9" t="n"/>
      <c r="J270" s="9" t="n"/>
      <c r="K270" s="9" t="n"/>
      <c r="L270" s="9" t="n"/>
      <c r="M270" s="9" t="n"/>
      <c r="N270" s="9" t="n"/>
      <c r="O270" s="9" t="n"/>
      <c r="P270" s="9" t="n"/>
      <c r="Q270" s="9" t="inlineStr">
        <is>
          <t>cl379</t>
        </is>
      </c>
      <c r="R270" s="9" t="n"/>
      <c r="S270" s="9" t="n"/>
      <c r="T270" s="9" t="n"/>
      <c r="U270" s="9" t="n"/>
      <c r="V270" s="9" t="n"/>
      <c r="W270" s="9" t="inlineStr">
        <is>
          <t>Scripts</t>
        </is>
      </c>
      <c r="X270" s="9" t="inlineStr">
        <is>
          <t>R</t>
        </is>
      </c>
      <c r="Y270" s="9" t="inlineStr">
        <is>
          <t>Statistical analysis</t>
        </is>
      </c>
      <c r="Z270" s="9" t="n"/>
      <c r="AA270" s="9" t="n"/>
      <c r="AB270" s="9" t="n"/>
      <c r="AC270" s="9" t="n"/>
      <c r="AD270" s="9" t="n"/>
      <c r="AE270" s="10" t="inlineStr">
        <is>
          <t>https://archive.org/details/github.com-cl379-kriging_-_2015-05-04_10-58-32</t>
        </is>
      </c>
      <c r="AF270" s="9" t="n"/>
      <c r="AG270" s="9" t="n"/>
    </row>
    <row r="271">
      <c r="A271" s="9" t="inlineStr">
        <is>
          <t>LA_ICP_MS-Routines_FMNH</t>
        </is>
      </c>
      <c r="B271" s="9" t="inlineStr">
        <is>
          <t>Routines to read and analyze LA-ICP-MS data from the Field Museum's Elemental Analysis Facility</t>
        </is>
      </c>
      <c r="C271" s="10" t="inlineStr">
        <is>
          <t>https://github.com/ajupton/LA_ICP_MS-Routines_FMNH</t>
        </is>
      </c>
      <c r="D271" s="9" t="n"/>
      <c r="E271" s="9" t="n"/>
      <c r="F271" s="9" t="n"/>
      <c r="G271" s="9" t="n"/>
      <c r="H271" s="9" t="n"/>
      <c r="I271" s="9" t="n"/>
      <c r="J271" s="9" t="n"/>
      <c r="K271" s="9" t="n"/>
      <c r="L271" s="9" t="n"/>
      <c r="M271" s="9" t="n"/>
      <c r="N271" s="9" t="n"/>
      <c r="O271" s="9" t="n"/>
      <c r="P271" s="9" t="n"/>
      <c r="Q271" s="9" t="inlineStr">
        <is>
          <t>ajupton</t>
        </is>
      </c>
      <c r="R271" s="9" t="n"/>
      <c r="S271" s="9" t="n"/>
      <c r="T271" s="9" t="n"/>
      <c r="U271" s="9" t="n"/>
      <c r="V271" s="9" t="n"/>
      <c r="W271" s="9" t="inlineStr">
        <is>
          <t>Scripts</t>
        </is>
      </c>
      <c r="X271" s="9" t="inlineStr">
        <is>
          <t>R</t>
        </is>
      </c>
      <c r="Y271" s="9" t="inlineStr">
        <is>
          <t>Educational resources and practical guides</t>
        </is>
      </c>
      <c r="Z271" s="9" t="n"/>
      <c r="AA271" s="9" t="n"/>
      <c r="AB271" s="9" t="n"/>
      <c r="AC271" s="9" t="n"/>
      <c r="AD271" s="9" t="n"/>
      <c r="AE271" s="10" t="inlineStr">
        <is>
          <t>https://archive.org/details/github.com-ajupton-LA_ICP_MS-Routines_FMNH_-_2018-10-20_19-02-22</t>
        </is>
      </c>
      <c r="AF271" s="9" t="n"/>
      <c r="AG271" s="9" t="n"/>
    </row>
    <row r="272">
      <c r="A272" s="9" t="inlineStr">
        <is>
          <t>lakhesis</t>
        </is>
      </c>
      <c r="B272" s="9" t="inlineStr">
        <is>
          <t>Provides an interactive platform and critical measures for seriating binary data matrices through the exploration, selection, and consensus of partially seriated sequences.</t>
        </is>
      </c>
      <c r="C272" s="10" t="inlineStr">
        <is>
          <t>https://github.com/scollinselliott/lakhesis</t>
        </is>
      </c>
      <c r="D272" s="9" t="n"/>
      <c r="E272" s="9" t="n"/>
      <c r="F272" s="9" t="n"/>
      <c r="G272" s="9" t="n"/>
      <c r="H272" s="9" t="n"/>
      <c r="I272" s="9" t="n"/>
      <c r="J272" s="9" t="n"/>
      <c r="K272" s="10" t="inlineStr">
        <is>
          <t>https://cran.r-project.org/package=lakhesis</t>
        </is>
      </c>
      <c r="L272" s="9" t="n"/>
      <c r="M272" s="9" t="n"/>
      <c r="N272" s="9" t="n"/>
      <c r="O272" s="9" t="n"/>
      <c r="P272" s="9" t="n"/>
      <c r="Q272" s="9" t="inlineStr">
        <is>
          <t>scollinselliott</t>
        </is>
      </c>
      <c r="R272" s="9" t="n"/>
      <c r="S272" s="9" t="n"/>
      <c r="T272" s="9" t="n"/>
      <c r="U272" s="9" t="n"/>
      <c r="V272" s="9" t="n"/>
      <c r="W272" s="9" t="inlineStr">
        <is>
          <t>Packages and libraries</t>
        </is>
      </c>
      <c r="X272" s="9" t="inlineStr">
        <is>
          <t>R</t>
        </is>
      </c>
      <c r="Y272" s="9" t="inlineStr">
        <is>
          <t>Statistical analysis</t>
        </is>
      </c>
      <c r="Z272" s="9" t="n"/>
      <c r="AA272" s="9" t="n"/>
      <c r="AB272" s="9" t="n"/>
      <c r="AC272" s="9" t="n"/>
      <c r="AD272" s="9" t="n"/>
      <c r="AE272" s="9" t="n"/>
      <c r="AF272" s="9" t="n"/>
      <c r="AG272" s="9" t="n"/>
    </row>
    <row r="273">
      <c r="A273" s="9" t="inlineStr">
        <is>
          <t>Le Stratifiant</t>
        </is>
      </c>
      <c r="B273" s="9" t="inlineStr">
        <is>
          <t>Application for creating stratigraphic diagrams and checking the consistency of the chronostratigraphic recording.</t>
        </is>
      </c>
      <c r="C273" s="9" t="n"/>
      <c r="D273" s="9" t="n"/>
      <c r="E273" s="9" t="n"/>
      <c r="F273" s="9" t="n"/>
      <c r="G273" s="9" t="n"/>
      <c r="H273" s="9" t="n"/>
      <c r="I273" s="9" t="n"/>
      <c r="J273" s="9" t="n"/>
      <c r="K273" s="9" t="n"/>
      <c r="L273" s="9" t="n"/>
      <c r="M273" s="9" t="n"/>
      <c r="N273" s="10" t="inlineStr">
        <is>
          <t>https://abp.hypotheses.org/3965</t>
        </is>
      </c>
      <c r="O273" s="9" t="n"/>
      <c r="P273" s="9" t="n"/>
      <c r="Q273" s="9" t="inlineStr">
        <is>
          <t>Bruno Desachy</t>
        </is>
      </c>
      <c r="R273" s="9" t="n"/>
      <c r="S273" s="9" t="n"/>
      <c r="T273" s="9" t="n"/>
      <c r="U273" s="9" t="n"/>
      <c r="V273" s="9" t="n"/>
      <c r="W273" s="9" t="inlineStr">
        <is>
          <t>Packages and libraries</t>
        </is>
      </c>
      <c r="X273" s="9" t="inlineStr">
        <is>
          <t>Microsoft Excel</t>
        </is>
      </c>
      <c r="Y273" s="9" t="inlineStr">
        <is>
          <t>Harris matrix</t>
        </is>
      </c>
      <c r="Z273" s="9" t="n"/>
      <c r="AA273" s="9" t="n"/>
      <c r="AB273" s="9" t="n"/>
      <c r="AC273" s="9" t="n"/>
      <c r="AD273" s="9" t="n"/>
      <c r="AE273" s="9" t="n"/>
      <c r="AF273" s="9" t="n"/>
      <c r="AG273" s="9" t="n"/>
    </row>
    <row r="274">
      <c r="A274" s="9" t="inlineStr">
        <is>
          <t>leastcostpath</t>
        </is>
      </c>
      <c r="B274" s="9" t="inlineStr">
        <is>
          <t>Provides the functionality to calculate Least Cost Paths (LCPs) which are often, but not exclusively, used in archaeological research. This package can be used to apply multiple cost functions when approximating the difficulty of moving across a landscape, as well as taking into account traversing across slope and other costs such as landscape features. This package also provides functionality to validate the accuracy of the computed LCP relative to another path.</t>
        </is>
      </c>
      <c r="C274" s="10" t="inlineStr">
        <is>
          <t>https://github.com/josephlewis/leastcostpath</t>
        </is>
      </c>
      <c r="D274" s="9" t="n"/>
      <c r="E274" s="9" t="n"/>
      <c r="F274" s="9" t="n"/>
      <c r="G274" s="9" t="n"/>
      <c r="H274" s="9" t="n"/>
      <c r="I274" s="9" t="n"/>
      <c r="J274" s="9" t="n"/>
      <c r="K274" s="9" t="n"/>
      <c r="L274" s="9" t="n"/>
      <c r="M274" s="9" t="n"/>
      <c r="N274" s="9" t="n"/>
      <c r="O274" s="9" t="n"/>
      <c r="P274" s="9" t="n"/>
      <c r="Q274" s="9" t="inlineStr">
        <is>
          <t>josephlewis</t>
        </is>
      </c>
      <c r="R274" s="9" t="n"/>
      <c r="S274" s="9" t="n"/>
      <c r="T274" s="9" t="n"/>
      <c r="U274" s="9" t="n"/>
      <c r="V274" s="9" t="n"/>
      <c r="W274" s="9" t="inlineStr">
        <is>
          <t>Packages and libraries</t>
        </is>
      </c>
      <c r="X274" s="9" t="inlineStr">
        <is>
          <t>R</t>
        </is>
      </c>
      <c r="Y274" s="9" t="inlineStr">
        <is>
          <t>Spatial analysis</t>
        </is>
      </c>
      <c r="Z274" s="9" t="n"/>
      <c r="AA274" s="9" t="n"/>
      <c r="AB274" s="9" t="n"/>
      <c r="AC274" s="9" t="n"/>
      <c r="AD274" s="9" t="n"/>
      <c r="AE274" s="10" t="inlineStr">
        <is>
          <t>https://archive.org/details/github.com-josephlewis-leastcostpath_-_2021-01-28_18-03-22</t>
        </is>
      </c>
      <c r="AF274" s="9" t="n"/>
      <c r="AG274" s="9" t="n"/>
    </row>
    <row r="275">
      <c r="A275" s="9" t="inlineStr">
        <is>
          <t>lecAAR</t>
        </is>
      </c>
      <c r="B275" s="9" t="inlineStr">
        <is>
          <t>Tool for calculating the largest empty circles and estimation of archaeological sites theoretically to be expected in region of interest, an implementation of the method published by Andreas Zimmermann and Karl Peter Wendt (2003).</t>
        </is>
      </c>
      <c r="C275" s="10" t="inlineStr">
        <is>
          <t>https://github.com/ISAAKiel/lecAAR</t>
        </is>
      </c>
      <c r="D275" s="9" t="n"/>
      <c r="E275" s="9" t="n"/>
      <c r="F275" s="9" t="n"/>
      <c r="G275" s="9" t="n"/>
      <c r="H275" s="9" t="n"/>
      <c r="I275" s="9" t="n"/>
      <c r="J275" s="9" t="n"/>
      <c r="K275" s="9" t="n"/>
      <c r="L275" s="9" t="n"/>
      <c r="M275" s="9" t="n"/>
      <c r="N275" s="9" t="n"/>
      <c r="O275" s="9" t="n"/>
      <c r="P275" s="9" t="n"/>
      <c r="Q275" s="9" t="inlineStr">
        <is>
          <t>yesdavid</t>
        </is>
      </c>
      <c r="R275" s="9" t="inlineStr">
        <is>
          <t>nevrome</t>
        </is>
      </c>
      <c r="S275" s="9" t="inlineStr">
        <is>
          <t>nmueller18</t>
        </is>
      </c>
      <c r="T275" s="9" t="inlineStr">
        <is>
          <t>whamer</t>
        </is>
      </c>
      <c r="U275" s="9" t="inlineStr">
        <is>
          <t>dakni</t>
        </is>
      </c>
      <c r="V275" s="9" t="n"/>
      <c r="W275" s="9" t="inlineStr">
        <is>
          <t>Packages and libraries</t>
        </is>
      </c>
      <c r="X275" s="9" t="inlineStr">
        <is>
          <t>R</t>
        </is>
      </c>
      <c r="Y275" s="9" t="inlineStr">
        <is>
          <t>Statistical analysis</t>
        </is>
      </c>
      <c r="Z275" s="9" t="inlineStr">
        <is>
          <t>Spatial analysis</t>
        </is>
      </c>
      <c r="AA275" s="9" t="n"/>
      <c r="AB275" s="9" t="n"/>
      <c r="AC275" s="9" t="n"/>
      <c r="AD275" s="9" t="n"/>
      <c r="AE275" s="10" t="inlineStr">
        <is>
          <t>https://archive.org/details/github.com-ISAAKiel-lecAAR_-_2019-07-29_12-28-26</t>
        </is>
      </c>
      <c r="AF275" s="9" t="n"/>
      <c r="AG275" s="9" t="n"/>
    </row>
    <row r="276">
      <c r="A276" s="9" t="inlineStr">
        <is>
          <t>levant-zooarch</t>
        </is>
      </c>
      <c r="B276" s="9" t="inlineStr">
        <is>
          <t>Table of faunal analyses from archaeological sites in the Levant.</t>
        </is>
      </c>
      <c r="C276" s="10" t="inlineStr">
        <is>
          <t>https://github.com/sarahkansa/levant-zooarch</t>
        </is>
      </c>
      <c r="D276" s="9" t="n"/>
      <c r="E276" s="9" t="n"/>
      <c r="F276" s="9" t="n"/>
      <c r="G276" s="9" t="n"/>
      <c r="H276" s="9" t="n"/>
      <c r="I276" s="9" t="n"/>
      <c r="J276" s="9" t="n"/>
      <c r="K276" s="9" t="n"/>
      <c r="L276" s="9" t="n"/>
      <c r="M276" s="9" t="n"/>
      <c r="N276" s="9" t="n"/>
      <c r="O276" s="9" t="n"/>
      <c r="P276" s="9" t="n"/>
      <c r="Q276" s="9" t="inlineStr">
        <is>
          <t>sarahkansa</t>
        </is>
      </c>
      <c r="R276" s="9" t="n"/>
      <c r="S276" s="9" t="n"/>
      <c r="T276" s="9" t="n"/>
      <c r="U276" s="9" t="n"/>
      <c r="V276" s="9" t="n"/>
      <c r="W276" s="9" t="inlineStr">
        <is>
          <t>Lists and datasets</t>
        </is>
      </c>
      <c r="X276" s="9" t="n"/>
      <c r="Y276" s="9" t="inlineStr">
        <is>
          <t>Lists</t>
        </is>
      </c>
      <c r="Z276" s="9" t="n"/>
      <c r="AA276" s="9" t="n"/>
      <c r="AB276" s="9" t="n"/>
      <c r="AC276" s="9" t="n"/>
      <c r="AD276" s="9" t="n"/>
      <c r="AE276" s="10" t="inlineStr">
        <is>
          <t>https://archive.org/details/github.com-sarahkansa-levant-zooarch_-_2015-01-15_06-52-11</t>
        </is>
      </c>
      <c r="AF276" s="9" t="n"/>
      <c r="AG276" s="9" t="n"/>
    </row>
    <row r="277">
      <c r="A277" s="9" t="inlineStr">
        <is>
          <t>LISA</t>
        </is>
      </c>
      <c r="B277" s="9" t="inlineStr">
        <is>
          <t>Moran's I and Getis-Ord G* Analysis.</t>
        </is>
      </c>
      <c r="C277" s="9" t="n"/>
      <c r="D277" s="9" t="n"/>
      <c r="E277" s="9" t="n"/>
      <c r="F277" s="9" t="n"/>
      <c r="G277" s="9" t="n"/>
      <c r="H277" s="9" t="n"/>
      <c r="I277" s="9" t="n"/>
      <c r="J277" s="9" t="n"/>
      <c r="K277" s="9" t="n"/>
      <c r="L277" s="9" t="n"/>
      <c r="M277" s="9" t="n"/>
      <c r="N277" s="10" t="inlineStr">
        <is>
          <t>http://www.mattpeeples.net/modules/LISA.html</t>
        </is>
      </c>
      <c r="O277" s="9" t="n"/>
      <c r="P277" s="9" t="n"/>
      <c r="Q277" s="9" t="inlineStr">
        <is>
          <t>mpeeples2008</t>
        </is>
      </c>
      <c r="R277" s="9" t="n"/>
      <c r="S277" s="9" t="n"/>
      <c r="T277" s="9" t="n"/>
      <c r="U277" s="9" t="n"/>
      <c r="V277" s="9" t="n"/>
      <c r="W277" s="9" t="inlineStr">
        <is>
          <t>Scripts</t>
        </is>
      </c>
      <c r="X277" s="9" t="inlineStr">
        <is>
          <t>R</t>
        </is>
      </c>
      <c r="Y277" s="9" t="inlineStr">
        <is>
          <t>Statistical analysis</t>
        </is>
      </c>
      <c r="Z277" s="9" t="n"/>
      <c r="AA277" s="9" t="n"/>
      <c r="AB277" s="9" t="n"/>
      <c r="AC277" s="9" t="n"/>
      <c r="AD277" s="9" t="n"/>
      <c r="AE277" s="9" t="n"/>
      <c r="AF277" s="9" t="n"/>
      <c r="AG277" s="9" t="n"/>
    </row>
    <row r="278">
      <c r="A278" s="9" t="inlineStr">
        <is>
          <t>lithic3dslicer</t>
        </is>
      </c>
      <c r="B278" s="9" t="inlineStr">
        <is>
          <t>.obj slicing for lithic 3d morphometrics.</t>
        </is>
      </c>
      <c r="C278" s="10" t="inlineStr">
        <is>
          <t>https://github.com/kotdijian/lithic3dslicer</t>
        </is>
      </c>
      <c r="D278" s="9" t="n"/>
      <c r="E278" s="9" t="n"/>
      <c r="F278" s="9" t="n"/>
      <c r="G278" s="9" t="n"/>
      <c r="H278" s="9" t="n"/>
      <c r="I278" s="9" t="n"/>
      <c r="J278" s="9" t="n"/>
      <c r="K278" s="9" t="n"/>
      <c r="L278" s="9" t="n"/>
      <c r="M278" s="9" t="n"/>
      <c r="N278" s="9" t="n"/>
      <c r="O278" s="9" t="n"/>
      <c r="P278" s="9" t="n"/>
      <c r="Q278" s="9" t="inlineStr">
        <is>
          <t>kotdijian</t>
        </is>
      </c>
      <c r="R278" s="9" t="n"/>
      <c r="S278" s="9" t="n"/>
      <c r="T278" s="9" t="n"/>
      <c r="U278" s="9" t="n"/>
      <c r="V278" s="9" t="n"/>
      <c r="W278" s="9" t="inlineStr">
        <is>
          <t>Scripts</t>
        </is>
      </c>
      <c r="X278" s="9" t="inlineStr">
        <is>
          <t>R</t>
        </is>
      </c>
      <c r="Y278" s="9" t="inlineStr">
        <is>
          <t>Artefact morphology</t>
        </is>
      </c>
      <c r="Z278" s="9" t="n"/>
      <c r="AA278" s="9" t="n"/>
      <c r="AB278" s="9" t="n"/>
      <c r="AC278" s="9" t="n"/>
      <c r="AD278" s="9" t="n"/>
      <c r="AE278" s="10" t="inlineStr">
        <is>
          <t>https://archive.org/details/github.com-kotdijian-lithic3dslicer_-_2019-06-23_01-39-40</t>
        </is>
      </c>
      <c r="AF278" s="9" t="n"/>
      <c r="AG278" s="9" t="n"/>
    </row>
    <row r="279">
      <c r="A279" s="9" t="inlineStr">
        <is>
          <t>Lithics3D</t>
        </is>
      </c>
      <c r="B279" s="9" t="inlineStr">
        <is>
          <t>An R package for processing and analyzing 3D scans of archaeological lithics.</t>
        </is>
      </c>
      <c r="C279" s="10" t="inlineStr">
        <is>
          <t>https://github.com/cornelmpop/Lithics3D</t>
        </is>
      </c>
      <c r="D279" s="9" t="n"/>
      <c r="E279" s="9" t="n"/>
      <c r="F279" s="9" t="n"/>
      <c r="G279" s="9" t="n"/>
      <c r="H279" s="9" t="n"/>
      <c r="I279" s="9" t="n"/>
      <c r="J279" s="9" t="n"/>
      <c r="K279" s="9" t="n"/>
      <c r="L279" s="9" t="n"/>
      <c r="M279" s="9" t="n"/>
      <c r="N279" s="9" t="n"/>
      <c r="O279" s="9" t="n"/>
      <c r="P279" s="9" t="n"/>
      <c r="Q279" s="9" t="inlineStr">
        <is>
          <t>cornelmpop</t>
        </is>
      </c>
      <c r="R279" s="9" t="n"/>
      <c r="S279" s="9" t="n"/>
      <c r="T279" s="9" t="n"/>
      <c r="U279" s="9" t="n"/>
      <c r="V279" s="9" t="n"/>
      <c r="W279" s="9" t="inlineStr">
        <is>
          <t>Packages and libraries</t>
        </is>
      </c>
      <c r="X279" s="9" t="inlineStr">
        <is>
          <t>R</t>
        </is>
      </c>
      <c r="Y279" s="9" t="inlineStr">
        <is>
          <t>3D modelling</t>
        </is>
      </c>
      <c r="Z279" s="9" t="n"/>
      <c r="AA279" s="9" t="n"/>
      <c r="AB279" s="9" t="n"/>
      <c r="AC279" s="9" t="n"/>
      <c r="AD279" s="9" t="n"/>
      <c r="AE279" s="10" t="inlineStr">
        <is>
          <t>https://archive.org/details/github.com-cornelmpop-Lithics3D_-_2019-05-03_13-16-34</t>
        </is>
      </c>
      <c r="AF279" s="9" t="n"/>
      <c r="AG279" s="9" t="n"/>
    </row>
    <row r="280">
      <c r="A280" s="9" t="inlineStr">
        <is>
          <t>long-bone-diaphyseal-CSG-Toolkit</t>
        </is>
      </c>
      <c r="B280" s="9" t="inlineStr">
        <is>
          <t>A GNU Octave toolkit for analyzing diaphyseal long bone cross sectional geometry.</t>
        </is>
      </c>
      <c r="C280" s="10" t="inlineStr">
        <is>
          <t>https://github.com/pr0m1th3as/long-bone-diaphyseal-CSG-Toolkit</t>
        </is>
      </c>
      <c r="D280" s="9" t="n"/>
      <c r="E280" s="9" t="n"/>
      <c r="F280" s="9" t="n"/>
      <c r="G280" s="9" t="n"/>
      <c r="H280" s="9" t="n"/>
      <c r="I280" s="9" t="n"/>
      <c r="J280" s="9" t="n"/>
      <c r="K280" s="9" t="n"/>
      <c r="L280" s="9" t="n"/>
      <c r="M280" s="9" t="n"/>
      <c r="N280" s="9" t="n"/>
      <c r="O280" s="9" t="n"/>
      <c r="P280" s="9" t="n"/>
      <c r="Q280" s="9" t="inlineStr">
        <is>
          <t>pr0m1th3as</t>
        </is>
      </c>
      <c r="R280" s="9" t="n"/>
      <c r="S280" s="9" t="n"/>
      <c r="T280" s="9" t="n"/>
      <c r="U280" s="9" t="n"/>
      <c r="V280" s="9" t="n"/>
      <c r="W280" s="9" t="inlineStr">
        <is>
          <t>Scripts</t>
        </is>
      </c>
      <c r="X280" s="9" t="inlineStr">
        <is>
          <t>MATLAB</t>
        </is>
      </c>
      <c r="Y280" s="9" t="inlineStr">
        <is>
          <t>Biological anthropology</t>
        </is>
      </c>
      <c r="Z280" s="9" t="inlineStr">
        <is>
          <t>Zooarchaeology</t>
        </is>
      </c>
      <c r="AA280" s="9" t="n"/>
      <c r="AB280" s="9" t="n"/>
      <c r="AC280" s="9" t="n"/>
      <c r="AD280" s="9" t="n"/>
      <c r="AE280" s="10" t="inlineStr">
        <is>
          <t>https://archive.org/details/github.com-pr0m1th3as-long-bone-diaphyseal-CSG-Toolkit_-_2021-04-18_01-42-07</t>
        </is>
      </c>
      <c r="AF280" s="9" t="n"/>
      <c r="AG280" s="9" t="n"/>
    </row>
    <row r="281">
      <c r="A281" s="9" t="inlineStr">
        <is>
          <t>Luminescence</t>
        </is>
      </c>
      <c r="B281" s="9" t="inlineStr">
        <is>
          <t>Development version of the R package 'Luminescence'. The R package 'Luminescence' by the R-Luminescence Group provides a collection of various R functions for luminescence dating data analysis.</t>
        </is>
      </c>
      <c r="C281" s="10" t="inlineStr">
        <is>
          <t>https://github.com/R-Lum/Luminescence</t>
        </is>
      </c>
      <c r="D281" s="9" t="n"/>
      <c r="E281" s="9" t="n"/>
      <c r="F281" s="9" t="n"/>
      <c r="G281" s="9" t="n"/>
      <c r="H281" s="9" t="n"/>
      <c r="I281" s="9" t="n"/>
      <c r="J281" s="9" t="n"/>
      <c r="K281" s="10" t="inlineStr">
        <is>
          <t>https://cran.r-project.org/package=Luminescence</t>
        </is>
      </c>
      <c r="L281" s="9" t="n"/>
      <c r="M281" s="9" t="n"/>
      <c r="N281" s="10" t="inlineStr">
        <is>
          <t>https://r-lum.github.io/Luminescence/</t>
        </is>
      </c>
      <c r="O281" s="9" t="n"/>
      <c r="P281" s="9" t="n"/>
      <c r="Q281" s="9" t="inlineStr">
        <is>
          <t>R-Lum</t>
        </is>
      </c>
      <c r="R281" s="9" t="n"/>
      <c r="S281" s="9" t="n"/>
      <c r="T281" s="9" t="n"/>
      <c r="U281" s="9" t="n"/>
      <c r="V281" s="9" t="n"/>
      <c r="W281" s="9" t="inlineStr">
        <is>
          <t>Packages and libraries</t>
        </is>
      </c>
      <c r="X281" s="9" t="inlineStr">
        <is>
          <t>R</t>
        </is>
      </c>
      <c r="Y281" s="9" t="inlineStr">
        <is>
          <t>Luminescence dating</t>
        </is>
      </c>
      <c r="Z281" s="9" t="n"/>
      <c r="AA281" s="9" t="n"/>
      <c r="AB281" s="9" t="n"/>
      <c r="AC281" s="9" t="n"/>
      <c r="AD281" s="9" t="n"/>
      <c r="AE281" s="10" t="inlineStr">
        <is>
          <t>https://archive.org/details/github.com-R-Lum-Luminescence_-_2021-02-01_17-37-18</t>
        </is>
      </c>
      <c r="AF281" s="9" t="n"/>
      <c r="AG281" s="9" t="n"/>
    </row>
    <row r="282">
      <c r="A282" s="9" t="inlineStr">
        <is>
          <t>LumReader</t>
        </is>
      </c>
      <c r="B282" s="9" t="inlineStr">
        <is>
          <t>R package to simulate a Luminescence Reader</t>
        </is>
      </c>
      <c r="C282" s="10" t="inlineStr">
        <is>
          <t>https://github.com/dstreble/LumReader</t>
        </is>
      </c>
      <c r="D282" s="9" t="n"/>
      <c r="E282" s="9" t="n"/>
      <c r="F282" s="9" t="n"/>
      <c r="G282" s="9" t="n"/>
      <c r="H282" s="9" t="n"/>
      <c r="I282" s="9" t="n"/>
      <c r="J282" s="9" t="n"/>
      <c r="K282" s="9" t="n"/>
      <c r="L282" s="9" t="n"/>
      <c r="M282" s="9" t="n"/>
      <c r="N282" s="9" t="n"/>
      <c r="O282" s="9" t="n"/>
      <c r="P282" s="9" t="n"/>
      <c r="Q282" s="9" t="inlineStr">
        <is>
          <t>dstreble</t>
        </is>
      </c>
      <c r="R282" s="9" t="n"/>
      <c r="S282" s="9" t="n"/>
      <c r="T282" s="9" t="n"/>
      <c r="U282" s="9" t="n"/>
      <c r="V282" s="9" t="n"/>
      <c r="W282" s="9" t="inlineStr">
        <is>
          <t>Packages and libraries</t>
        </is>
      </c>
      <c r="X282" s="9" t="inlineStr">
        <is>
          <t>R</t>
        </is>
      </c>
      <c r="Y282" s="9" t="inlineStr">
        <is>
          <t>Luminescence dating</t>
        </is>
      </c>
      <c r="Z282" s="9" t="n"/>
      <c r="AA282" s="9" t="n"/>
      <c r="AB282" s="9" t="n"/>
      <c r="AC282" s="9" t="n"/>
      <c r="AD282" s="9" t="n"/>
      <c r="AE282" s="10" t="inlineStr">
        <is>
          <t>https://archive.org/details/github.com-dstreble-LumReader_-_2017-01-26_13-55-17</t>
        </is>
      </c>
      <c r="AF282" s="9" t="n"/>
      <c r="AG282" s="9" t="n"/>
    </row>
    <row r="283">
      <c r="A283" s="9" t="inlineStr">
        <is>
          <t>maacgis</t>
        </is>
      </c>
      <c r="B283" s="9" t="inlineStr">
        <is>
          <t>Climate Response and Virginia Archaeology: Maps from Different Points of View</t>
        </is>
      </c>
      <c r="C283" s="10" t="inlineStr">
        <is>
          <t>https://github.com/aejolene/maacgis</t>
        </is>
      </c>
      <c r="D283" s="9" t="n"/>
      <c r="E283" s="9" t="n"/>
      <c r="F283" s="9" t="n"/>
      <c r="G283" s="9" t="n"/>
      <c r="H283" s="9" t="n"/>
      <c r="I283" s="9" t="n"/>
      <c r="J283" s="9" t="n"/>
      <c r="K283" s="9" t="n"/>
      <c r="L283" s="9" t="n"/>
      <c r="M283" s="9" t="n"/>
      <c r="N283" s="10" t="inlineStr">
        <is>
          <t>https://aejolene.github.io/maacgis/</t>
        </is>
      </c>
      <c r="O283" s="9" t="n"/>
      <c r="P283" s="9" t="n"/>
      <c r="Q283" s="9" t="inlineStr">
        <is>
          <t>aejolene</t>
        </is>
      </c>
      <c r="R283" s="9" t="n"/>
      <c r="S283" s="9" t="n"/>
      <c r="T283" s="9" t="n"/>
      <c r="U283" s="9" t="n"/>
      <c r="V283" s="9" t="n"/>
      <c r="W283" s="9" t="inlineStr">
        <is>
          <t>Products</t>
        </is>
      </c>
      <c r="X283" s="9" t="n"/>
      <c r="Y283" s="9" t="inlineStr">
        <is>
          <t>Public policy and civic action</t>
        </is>
      </c>
      <c r="Z283" s="9" t="n"/>
      <c r="AA283" s="9" t="n"/>
      <c r="AB283" s="9" t="n"/>
      <c r="AC283" s="9" t="n"/>
      <c r="AD283" s="9" t="n"/>
      <c r="AE283" s="10" t="inlineStr">
        <is>
          <t>https://archive.org/details/github.com-aejolene-maacgis_-_2018-03-15_19-42-30</t>
        </is>
      </c>
      <c r="AF283" s="9" t="n"/>
      <c r="AG283" s="9" t="n"/>
    </row>
    <row r="284">
      <c r="A284" s="9" t="inlineStr">
        <is>
          <t>mafa</t>
        </is>
      </c>
      <c r="B284" s="9" t="inlineStr">
        <is>
          <t>Computes morphological indices of spatial entities (e.g. parcels, buildings).</t>
        </is>
      </c>
      <c r="C284" s="10" t="inlineStr">
        <is>
          <t>https://github.com/JGravier/mafa</t>
        </is>
      </c>
      <c r="D284" s="9" t="n"/>
      <c r="E284" s="9" t="n"/>
      <c r="F284" s="9" t="n"/>
      <c r="G284" s="9" t="n"/>
      <c r="H284" s="9" t="n"/>
      <c r="I284" s="9" t="n"/>
      <c r="J284" s="9" t="n"/>
      <c r="K284" s="9" t="n"/>
      <c r="L284" s="9" t="n"/>
      <c r="M284" s="9" t="n"/>
      <c r="N284" s="10" t="inlineStr">
        <is>
          <t>https://jgravier.github.io/mafa/</t>
        </is>
      </c>
      <c r="O284" s="9" t="n"/>
      <c r="P284" s="9" t="n"/>
      <c r="Q284" s="9" t="inlineStr">
        <is>
          <t>JGravier</t>
        </is>
      </c>
      <c r="R284" s="9" t="n"/>
      <c r="S284" s="9" t="n"/>
      <c r="T284" s="9" t="n"/>
      <c r="U284" s="9" t="n"/>
      <c r="V284" s="9" t="n"/>
      <c r="W284" s="9" t="inlineStr">
        <is>
          <t>Packages and libraries</t>
        </is>
      </c>
      <c r="X284" s="9" t="inlineStr">
        <is>
          <t>R</t>
        </is>
      </c>
      <c r="Y284" s="9" t="inlineStr">
        <is>
          <t>Spatial analysis</t>
        </is>
      </c>
      <c r="Z284" s="9" t="n"/>
      <c r="AA284" s="9" t="n"/>
      <c r="AB284" s="9" t="n"/>
      <c r="AC284" s="9" t="n"/>
      <c r="AD284" s="9" t="n"/>
      <c r="AE284" s="9" t="n"/>
      <c r="AF284" s="9" t="n"/>
      <c r="AG284" s="9" t="n"/>
    </row>
    <row r="285">
      <c r="A285" s="9" t="inlineStr">
        <is>
          <t>magAAR</t>
        </is>
      </c>
      <c r="B285" s="9" t="inlineStr">
        <is>
          <t>Analyse geomagnetic data from archaeological context</t>
        </is>
      </c>
      <c r="C285" s="10" t="inlineStr">
        <is>
          <t>https://github.com/ISAAKiel/magAAR</t>
        </is>
      </c>
      <c r="D285" s="9" t="n"/>
      <c r="E285" s="9" t="n"/>
      <c r="F285" s="9" t="n"/>
      <c r="G285" s="9" t="n"/>
      <c r="H285" s="9" t="n"/>
      <c r="I285" s="9" t="n"/>
      <c r="J285" s="9" t="n"/>
      <c r="K285" s="9" t="n"/>
      <c r="L285" s="9" t="n"/>
      <c r="M285" s="9" t="n"/>
      <c r="N285" s="9" t="n"/>
      <c r="O285" s="9" t="n"/>
      <c r="P285" s="9" t="n"/>
      <c r="Q285" s="9" t="inlineStr">
        <is>
          <t>ISAAKiel</t>
        </is>
      </c>
      <c r="R285" s="9" t="n"/>
      <c r="S285" s="9" t="n"/>
      <c r="T285" s="9" t="n"/>
      <c r="U285" s="9" t="n"/>
      <c r="V285" s="9" t="n"/>
      <c r="W285" s="9" t="inlineStr">
        <is>
          <t>Packages and libraries</t>
        </is>
      </c>
      <c r="X285" s="9" t="inlineStr">
        <is>
          <t>R</t>
        </is>
      </c>
      <c r="Y285" s="9" t="inlineStr">
        <is>
          <t>Geophysical survey</t>
        </is>
      </c>
      <c r="Z285" s="9" t="n"/>
      <c r="AA285" s="9" t="n"/>
      <c r="AB285" s="9" t="n"/>
      <c r="AC285" s="9" t="n"/>
      <c r="AD285" s="9" t="n"/>
      <c r="AE285" s="10" t="inlineStr">
        <is>
          <t>https://archive.org/details/github.com-ISAAKiel-magAAR_-_2017-06-10_14-34-21</t>
        </is>
      </c>
      <c r="AF285" s="9" t="n"/>
      <c r="AG285" s="9" t="n"/>
    </row>
    <row r="286">
      <c r="A286" s="9" t="inlineStr">
        <is>
          <t>map-of-Ancient-Egypt</t>
        </is>
      </c>
      <c r="B286" s="9" t="inlineStr">
        <is>
          <t>Known pyramids of Ancient Egypt using python + OpenStreetMap.</t>
        </is>
      </c>
      <c r="C286" s="10" t="inlineStr">
        <is>
          <t>https://github.com/LSIND/map-of-Ancient-Egypt</t>
        </is>
      </c>
      <c r="D286" s="9" t="n"/>
      <c r="E286" s="9" t="n"/>
      <c r="F286" s="9" t="n"/>
      <c r="G286" s="9" t="n"/>
      <c r="H286" s="9" t="n"/>
      <c r="I286" s="9" t="n"/>
      <c r="J286" s="9" t="n"/>
      <c r="K286" s="9" t="n"/>
      <c r="L286" s="9" t="n"/>
      <c r="M286" s="9" t="n"/>
      <c r="N286" s="9" t="n"/>
      <c r="O286" s="9" t="n"/>
      <c r="P286" s="9" t="n"/>
      <c r="Q286" s="9" t="inlineStr">
        <is>
          <t>LSIND</t>
        </is>
      </c>
      <c r="R286" s="9" t="n"/>
      <c r="S286" s="9" t="n"/>
      <c r="T286" s="9" t="n"/>
      <c r="U286" s="9" t="n"/>
      <c r="V286" s="9" t="n"/>
      <c r="W286" s="9" t="inlineStr">
        <is>
          <t>Lists and datasets</t>
        </is>
      </c>
      <c r="X286" s="9" t="n"/>
      <c r="Y286" s="9" t="inlineStr">
        <is>
          <t>Datasets</t>
        </is>
      </c>
      <c r="Z286" s="9" t="n"/>
      <c r="AA286" s="9" t="n"/>
      <c r="AB286" s="9" t="n"/>
      <c r="AC286" s="9" t="n"/>
      <c r="AD286" s="9" t="n"/>
      <c r="AE286" s="10" t="inlineStr">
        <is>
          <t>https://archive.org/details/github.com-LSIND-map-of-Ancient-Egypt_-_2020-02-08_23-45-07</t>
        </is>
      </c>
      <c r="AF286" s="9" t="n"/>
      <c r="AG286" s="9" t="n"/>
    </row>
    <row r="287">
      <c r="A287" s="9" t="inlineStr">
        <is>
          <t>MapofComputationalArchaeology</t>
        </is>
      </c>
      <c r="B287" s="9" t="inlineStr">
        <is>
          <t>Visualizes digital archaeology as a fantasy landscape.</t>
        </is>
      </c>
      <c r="C287" s="10" t="inlineStr">
        <is>
          <t>https://github.com/sslarch/MapofComputationalArchaeology</t>
        </is>
      </c>
      <c r="D287" s="9" t="n"/>
      <c r="E287" s="9" t="n"/>
      <c r="F287" s="9" t="n"/>
      <c r="G287" s="9" t="n"/>
      <c r="H287" s="9" t="n"/>
      <c r="I287" s="9" t="n"/>
      <c r="J287" s="9" t="n"/>
      <c r="K287" s="9" t="n"/>
      <c r="L287" s="9" t="n"/>
      <c r="M287" s="9" t="n"/>
      <c r="N287" s="9" t="n"/>
      <c r="O287" s="9" t="n"/>
      <c r="P287" s="9" t="n"/>
      <c r="Q287" s="9" t="inlineStr">
        <is>
          <t>sslarch</t>
        </is>
      </c>
      <c r="R287" s="9" t="n"/>
      <c r="S287" s="9" t="n"/>
      <c r="T287" s="9" t="n"/>
      <c r="U287" s="9" t="n"/>
      <c r="V287" s="9" t="n"/>
      <c r="W287" s="9" t="inlineStr">
        <is>
          <t>Products</t>
        </is>
      </c>
      <c r="X287" s="9" t="n"/>
      <c r="Y287" s="9" t="inlineStr">
        <is>
          <t>Diagrams and visualizations</t>
        </is>
      </c>
      <c r="Z287" s="9" t="n"/>
      <c r="AA287" s="9" t="n"/>
      <c r="AB287" s="9" t="n"/>
      <c r="AC287" s="9" t="n"/>
      <c r="AD287" s="9" t="n"/>
      <c r="AE287" s="9" t="n"/>
      <c r="AF287" s="9" t="n"/>
      <c r="AG287" s="9" t="n"/>
    </row>
    <row r="288">
      <c r="A288" s="9" t="inlineStr">
        <is>
          <t>marbleplan</t>
        </is>
      </c>
      <c r="B288" s="9" t="inlineStr">
        <is>
          <t>Loading a Marble Plan fragment.</t>
        </is>
      </c>
      <c r="C288" s="10" t="inlineStr">
        <is>
          <t>https://github.com/rybesh/marbleplan</t>
        </is>
      </c>
      <c r="D288" s="9" t="n"/>
      <c r="E288" s="9" t="n"/>
      <c r="F288" s="9" t="n"/>
      <c r="G288" s="9" t="n"/>
      <c r="H288" s="9" t="n"/>
      <c r="I288" s="9" t="n"/>
      <c r="J288" s="9" t="n"/>
      <c r="K288" s="9" t="n"/>
      <c r="L288" s="9" t="n"/>
      <c r="M288" s="9" t="n"/>
      <c r="N288" s="10" t="inlineStr">
        <is>
          <t>http://rybesh.github.io/marbleplan/</t>
        </is>
      </c>
      <c r="O288" s="9" t="n"/>
      <c r="P288" s="9" t="n"/>
      <c r="Q288" s="9" t="inlineStr">
        <is>
          <t>rybesh</t>
        </is>
      </c>
      <c r="R288" s="9" t="n"/>
      <c r="S288" s="9" t="n"/>
      <c r="T288" s="9" t="n"/>
      <c r="U288" s="9" t="n"/>
      <c r="V288" s="9" t="n"/>
      <c r="W288" s="9" t="inlineStr">
        <is>
          <t>Standalone software</t>
        </is>
      </c>
      <c r="X288" s="9" t="n"/>
      <c r="Y288" s="9" t="inlineStr">
        <is>
          <t>3D modelling</t>
        </is>
      </c>
      <c r="Z288" s="9" t="inlineStr">
        <is>
          <t>Educational resources and practical guides</t>
        </is>
      </c>
      <c r="AA288" s="9" t="n"/>
      <c r="AB288" s="9" t="n"/>
      <c r="AC288" s="9" t="n"/>
      <c r="AD288" s="9" t="n"/>
      <c r="AE288" s="9" t="n"/>
      <c r="AF288" s="9" t="n"/>
      <c r="AG288" s="9" t="n"/>
    </row>
    <row r="289">
      <c r="A289" s="9" t="inlineStr">
        <is>
          <t>Mask_UAV</t>
        </is>
      </c>
      <c r="B289" s="9" t="inlineStr">
        <is>
          <t>Software to annotate, train, using deep learning, and segment imagery data from UAVs or other platforms.</t>
        </is>
      </c>
      <c r="C289" s="10" t="inlineStr">
        <is>
          <t>https://github.com/maltaweel/Mask_UAV</t>
        </is>
      </c>
      <c r="D289" s="9" t="n"/>
      <c r="E289" s="9" t="n"/>
      <c r="F289" s="9" t="n"/>
      <c r="G289" s="9" t="n"/>
      <c r="H289" s="9" t="n"/>
      <c r="I289" s="9" t="n"/>
      <c r="J289" s="9" t="n"/>
      <c r="K289" s="9" t="n"/>
      <c r="L289" s="9" t="n"/>
      <c r="M289" s="9" t="n"/>
      <c r="N289" s="9" t="n"/>
      <c r="O289" s="9" t="n"/>
      <c r="P289" s="9" t="n"/>
      <c r="Q289" s="9" t="inlineStr">
        <is>
          <t>maltaweel</t>
        </is>
      </c>
      <c r="R289" s="9" t="n"/>
      <c r="S289" s="9" t="n"/>
      <c r="T289" s="9" t="n"/>
      <c r="U289" s="9" t="n"/>
      <c r="V289" s="9" t="n"/>
      <c r="W289" s="9" t="inlineStr">
        <is>
          <t>Packages and libraries</t>
        </is>
      </c>
      <c r="X289" s="9" t="inlineStr">
        <is>
          <t>Python</t>
        </is>
      </c>
      <c r="Y289" s="9" t="inlineStr">
        <is>
          <t>Site mapping</t>
        </is>
      </c>
      <c r="Z289" s="9" t="inlineStr">
        <is>
          <t>Aerial and satellite imagery</t>
        </is>
      </c>
      <c r="AA289" s="9" t="inlineStr">
        <is>
          <t>Drones</t>
        </is>
      </c>
      <c r="AB289" s="9" t="n"/>
      <c r="AC289" s="9" t="n"/>
      <c r="AD289" s="9" t="n"/>
      <c r="AE289" s="9" t="n"/>
      <c r="AF289" s="9" t="n"/>
      <c r="AG289" s="9" t="n"/>
    </row>
    <row r="290">
      <c r="A290" s="9" t="inlineStr">
        <is>
          <t>Mastodon-Archaeology</t>
        </is>
      </c>
      <c r="B290" s="9" t="inlineStr">
        <is>
          <t>Simple web app that helps to bulk follow archaeologists on the FOSS microblogging service Mastodon.</t>
        </is>
      </c>
      <c r="C290" s="10" t="inlineStr">
        <is>
          <t>https://github.com/stark1tty/Mastodon-Archaeology</t>
        </is>
      </c>
      <c r="D290" s="9" t="n"/>
      <c r="E290" s="9" t="n"/>
      <c r="F290" s="9" t="n"/>
      <c r="G290" s="9" t="n"/>
      <c r="H290" s="9" t="n"/>
      <c r="I290" s="9" t="n"/>
      <c r="J290" s="9" t="n"/>
      <c r="K290" s="9" t="n"/>
      <c r="L290" s="9" t="n"/>
      <c r="M290" s="9" t="n"/>
      <c r="N290" s="9" t="n"/>
      <c r="O290" s="9" t="n"/>
      <c r="P290" s="9" t="n"/>
      <c r="Q290" s="9" t="inlineStr">
        <is>
          <t>stark1tty</t>
        </is>
      </c>
      <c r="R290" s="9" t="n"/>
      <c r="S290" s="9" t="n"/>
      <c r="T290" s="9" t="n"/>
      <c r="U290" s="9" t="n"/>
      <c r="V290" s="9" t="n"/>
      <c r="W290" s="9" t="inlineStr">
        <is>
          <t>Lists and datasets</t>
        </is>
      </c>
      <c r="X290" s="9" t="n"/>
      <c r="Y290" s="9" t="inlineStr">
        <is>
          <t>Lists</t>
        </is>
      </c>
      <c r="Z290" s="9" t="inlineStr">
        <is>
          <t>Public archaeology</t>
        </is>
      </c>
      <c r="AA290" s="9" t="n"/>
      <c r="AB290" s="9" t="n"/>
      <c r="AC290" s="9" t="n"/>
      <c r="AD290" s="9" t="n"/>
      <c r="AE290" s="9" t="n"/>
      <c r="AF290" s="9" t="n"/>
      <c r="AG290" s="9" t="n"/>
    </row>
    <row r="291">
      <c r="A291" s="9" t="inlineStr">
        <is>
          <t>Material Sources for Early Islam and Late Antique Near East</t>
        </is>
      </c>
      <c r="B291" s="9" t="inlineStr">
        <is>
          <t>A list of resources and materials for research on the history of Early Islam and the Late Antique Near East.</t>
        </is>
      </c>
      <c r="C291" s="9" t="n"/>
      <c r="D291" s="9" t="n"/>
      <c r="E291" s="9" t="n"/>
      <c r="F291" s="9" t="n"/>
      <c r="G291" s="9" t="n"/>
      <c r="H291" s="9" t="n"/>
      <c r="I291" s="9" t="n"/>
      <c r="J291" s="9" t="n"/>
      <c r="K291" s="9" t="n"/>
      <c r="L291" s="9" t="n"/>
      <c r="M291" s="9" t="n"/>
      <c r="N291" s="10" t="inlineStr">
        <is>
          <t>https://materialsourcesforearlyislamandlateantiqueneareast.hcommons.org/</t>
        </is>
      </c>
      <c r="O291" s="9" t="n"/>
      <c r="P291" s="9" t="n"/>
      <c r="Q291" s="9" t="inlineStr">
        <is>
          <t>Hagit Nol</t>
        </is>
      </c>
      <c r="R291" s="9" t="n"/>
      <c r="S291" s="9" t="n"/>
      <c r="T291" s="9" t="n"/>
      <c r="U291" s="9" t="n"/>
      <c r="V291" s="9" t="n"/>
      <c r="W291" s="9" t="inlineStr">
        <is>
          <t>Lists and datasets</t>
        </is>
      </c>
      <c r="X291" s="9" t="n"/>
      <c r="Y291" s="9" t="inlineStr">
        <is>
          <t>Lists</t>
        </is>
      </c>
      <c r="Z291" s="9" t="n"/>
      <c r="AA291" s="9" t="n"/>
      <c r="AB291" s="9" t="n"/>
      <c r="AC291" s="9" t="n"/>
      <c r="AD291" s="9" t="n"/>
      <c r="AE291" s="9" t="n"/>
      <c r="AF291" s="9" t="n"/>
      <c r="AG291" s="9" t="n"/>
    </row>
    <row r="292">
      <c r="A292" s="9" t="inlineStr">
        <is>
          <t>MAX</t>
        </is>
      </c>
      <c r="B292" s="9" t="inlineStr">
        <is>
          <t>An online tool for the comparative analysis of museum databases.</t>
        </is>
      </c>
      <c r="C292" s="10" t="inlineStr">
        <is>
          <t>https://github.com/stefanieschneider/MAX</t>
        </is>
      </c>
      <c r="D292" s="9" t="n"/>
      <c r="E292" s="9" t="n"/>
      <c r="F292" s="9" t="n"/>
      <c r="G292" s="9" t="n"/>
      <c r="H292" s="9" t="n"/>
      <c r="I292" s="9" t="n"/>
      <c r="J292" s="9" t="n"/>
      <c r="K292" s="9" t="n"/>
      <c r="L292" s="9" t="n"/>
      <c r="M292" s="9" t="n"/>
      <c r="N292" s="10" t="inlineStr">
        <is>
          <t>https://www.max.gwi.uni-muenchen.de/</t>
        </is>
      </c>
      <c r="O292" s="9" t="n"/>
      <c r="P292" s="9" t="n"/>
      <c r="Q292" s="9" t="inlineStr">
        <is>
          <t>stefanieschneider</t>
        </is>
      </c>
      <c r="R292" s="9" t="inlineStr">
        <is>
          <t>Hubertus Kohle</t>
        </is>
      </c>
      <c r="S292" s="9" t="inlineStr">
        <is>
          <t>Severin Burg</t>
        </is>
      </c>
      <c r="T292" s="9" t="inlineStr">
        <is>
          <t>Helmut Küchenhoff</t>
        </is>
      </c>
      <c r="U292" s="9" t="n"/>
      <c r="V292" s="9" t="n"/>
      <c r="W292" s="9" t="inlineStr">
        <is>
          <t>Standalone software</t>
        </is>
      </c>
      <c r="X292" s="9" t="n"/>
      <c r="Y292" s="9" t="inlineStr">
        <is>
          <t>Museums</t>
        </is>
      </c>
      <c r="Z292" s="9" t="n"/>
      <c r="AA292" s="9" t="n"/>
      <c r="AB292" s="9" t="n"/>
      <c r="AC292" s="9" t="n"/>
      <c r="AD292" s="9" t="n"/>
      <c r="AE292" s="10" t="inlineStr">
        <is>
          <t>https://archive.org/details/github.com-stefanieschneider-MAX_-_2020-10-20_11-38-03</t>
        </is>
      </c>
      <c r="AF292" s="9" t="n"/>
      <c r="AG292" s="9" t="n"/>
    </row>
    <row r="293">
      <c r="A293" s="9" t="inlineStr">
        <is>
          <t>maya-calendar</t>
        </is>
      </c>
      <c r="B293" s="9" t="inlineStr">
        <is>
          <t>Tools for converting between Maya and Western calendars.</t>
        </is>
      </c>
      <c r="C293" s="10" t="inlineStr">
        <is>
          <t>https://github.com/jgregoriods/maya-calendar</t>
        </is>
      </c>
      <c r="D293" s="9" t="n"/>
      <c r="E293" s="9" t="n"/>
      <c r="F293" s="9" t="n"/>
      <c r="G293" s="9" t="n"/>
      <c r="H293" s="9" t="n"/>
      <c r="I293" s="9" t="n"/>
      <c r="J293" s="9" t="n"/>
      <c r="K293" s="9" t="n"/>
      <c r="L293" s="9" t="n"/>
      <c r="M293" s="9" t="n"/>
      <c r="N293" s="10" t="inlineStr">
        <is>
          <t>https://jgregoriods.github.io/maya-calendar/dist/</t>
        </is>
      </c>
      <c r="O293" s="9" t="n"/>
      <c r="P293" s="9" t="n"/>
      <c r="Q293" s="9" t="inlineStr">
        <is>
          <t>jgregoriods</t>
        </is>
      </c>
      <c r="R293" s="9" t="n"/>
      <c r="S293" s="9" t="n"/>
      <c r="T293" s="9" t="n"/>
      <c r="U293" s="9" t="n"/>
      <c r="V293" s="9" t="n"/>
      <c r="W293" s="9" t="inlineStr">
        <is>
          <t>Standalone software</t>
        </is>
      </c>
      <c r="X293" s="9" t="n"/>
      <c r="Y293" s="9" t="inlineStr">
        <is>
          <t>Chronological modelling</t>
        </is>
      </c>
      <c r="Z293" s="9" t="n"/>
      <c r="AA293" s="9" t="n"/>
      <c r="AB293" s="9" t="n"/>
      <c r="AC293" s="9" t="n"/>
      <c r="AD293" s="9" t="n"/>
      <c r="AE293" s="10" t="inlineStr">
        <is>
          <t>https://archive.org/details/github.com-jgregoriods-maya-calendar_-_2021-05-27_02-40-14</t>
        </is>
      </c>
      <c r="AF293" s="9" t="n"/>
      <c r="AG293" s="9" t="n"/>
    </row>
    <row r="294">
      <c r="A294" s="9" t="inlineStr">
        <is>
          <t>Mean-Ceramic-Date-and-Error-Estimation</t>
        </is>
      </c>
      <c r="B294" s="9" t="inlineStr">
        <is>
          <t>Script for calculating mean ceramic dates based on tabular data. This script also estimates sampling error using a bootstrapping procedure.</t>
        </is>
      </c>
      <c r="C294" s="10" t="inlineStr">
        <is>
          <t>https://github.com/mpeeples2008/Mean-Ceramic-Date-and-Error-Estimation</t>
        </is>
      </c>
      <c r="D294" s="9" t="n"/>
      <c r="E294" s="9" t="n"/>
      <c r="F294" s="9" t="n"/>
      <c r="G294" s="9" t="n"/>
      <c r="H294" s="9" t="n"/>
      <c r="I294" s="9" t="n"/>
      <c r="J294" s="9" t="n"/>
      <c r="K294" s="9" t="n"/>
      <c r="L294" s="9" t="n"/>
      <c r="M294" s="9" t="n"/>
      <c r="N294" s="10" t="inlineStr">
        <is>
          <t>http://www.mattpeeples.net/mcd.html</t>
        </is>
      </c>
      <c r="O294" s="9" t="n"/>
      <c r="P294" s="9" t="n"/>
      <c r="Q294" s="9" t="inlineStr">
        <is>
          <t>mpeeples2008</t>
        </is>
      </c>
      <c r="R294" s="9" t="n"/>
      <c r="S294" s="9" t="n"/>
      <c r="T294" s="9" t="n"/>
      <c r="U294" s="9" t="n"/>
      <c r="V294" s="9" t="n"/>
      <c r="W294" s="9" t="inlineStr">
        <is>
          <t>Scripts</t>
        </is>
      </c>
      <c r="X294" s="9" t="inlineStr">
        <is>
          <t>R</t>
        </is>
      </c>
      <c r="Y294" s="9" t="inlineStr">
        <is>
          <t>Statistical analysis</t>
        </is>
      </c>
      <c r="Z294" s="9" t="inlineStr">
        <is>
          <t>Ceramic analysis</t>
        </is>
      </c>
      <c r="AA294" s="9" t="n"/>
      <c r="AB294" s="9" t="n"/>
      <c r="AC294" s="9" t="n"/>
      <c r="AD294" s="9" t="n"/>
      <c r="AE294" s="10" t="inlineStr">
        <is>
          <t>https://archive.org/details/github.com-mpeeples2008-Mean-Ceramic-Date-and-Error-Estimation_-_2018-05-10_22-18-24</t>
        </is>
      </c>
      <c r="AF294" s="9" t="n"/>
      <c r="AG294" s="9" t="n"/>
    </row>
    <row r="295">
      <c r="A295" s="9" t="inlineStr">
        <is>
          <t>meshlab</t>
        </is>
      </c>
      <c r="B295" s="9" t="inlineStr">
        <is>
          <t>These tools are meant to help you render orthographic views of 3D models for archaeological publication by simplifying, segmenting, cleaning and rendering 3D meshes.</t>
        </is>
      </c>
      <c r="C295" s="10" t="inlineStr">
        <is>
          <t>https://github.com/KevinCain/meshlab</t>
        </is>
      </c>
      <c r="D295" s="9" t="n"/>
      <c r="E295" s="9" t="n"/>
      <c r="F295" s="9" t="n"/>
      <c r="G295" s="9" t="n"/>
      <c r="H295" s="9" t="n"/>
      <c r="I295" s="9" t="n"/>
      <c r="J295" s="9" t="n"/>
      <c r="K295" s="9" t="n"/>
      <c r="L295" s="9" t="n"/>
      <c r="M295" s="9" t="n"/>
      <c r="N295" s="9" t="n"/>
      <c r="O295" s="9" t="n"/>
      <c r="P295" s="9" t="n"/>
      <c r="Q295" s="9" t="inlineStr">
        <is>
          <t>KevinCain</t>
        </is>
      </c>
      <c r="R295" s="9" t="n"/>
      <c r="S295" s="9" t="n"/>
      <c r="T295" s="9" t="n"/>
      <c r="U295" s="9" t="n"/>
      <c r="V295" s="9" t="n"/>
      <c r="W295" s="9" t="inlineStr">
        <is>
          <t>Standalone software</t>
        </is>
      </c>
      <c r="X295" s="9" t="inlineStr">
        <is>
          <t>Meshlab</t>
        </is>
      </c>
      <c r="Y295" s="9" t="inlineStr">
        <is>
          <t>3D modelling</t>
        </is>
      </c>
      <c r="Z295" s="9" t="n"/>
      <c r="AA295" s="9" t="n"/>
      <c r="AB295" s="9" t="n"/>
      <c r="AC295" s="9" t="n"/>
      <c r="AD295" s="9" t="n"/>
      <c r="AE295" s="10" t="inlineStr">
        <is>
          <t>https://archive.org/details/github.com-KevinCain-meshlab_-_2016-10-29_04-39-53</t>
        </is>
      </c>
      <c r="AF295" s="9" t="n"/>
      <c r="AG295" s="9" t="n"/>
    </row>
    <row r="296">
      <c r="A296" s="9" t="inlineStr">
        <is>
          <t>missing</t>
        </is>
      </c>
      <c r="B296" s="9" t="inlineStr">
        <is>
          <t>You have a sequence of numbered items and want to check if any are missing.</t>
        </is>
      </c>
      <c r="C296" s="9" t="n"/>
      <c r="D296" s="9" t="n"/>
      <c r="E296" s="9" t="n"/>
      <c r="F296" s="9" t="n"/>
      <c r="G296" s="9" t="n"/>
      <c r="H296" s="9" t="n"/>
      <c r="I296" s="9" t="n"/>
      <c r="J296" s="9" t="n"/>
      <c r="K296" s="9" t="n"/>
      <c r="L296" s="9" t="n"/>
      <c r="M296" s="10" t="inlineStr">
        <is>
          <t>https://codeberg.org/steko/missing</t>
        </is>
      </c>
      <c r="N296" s="9" t="n"/>
      <c r="O296" s="9" t="n"/>
      <c r="P296" s="9" t="n"/>
      <c r="Q296" s="9" t="inlineStr">
        <is>
          <t>steko</t>
        </is>
      </c>
      <c r="R296" s="9" t="n"/>
      <c r="S296" s="9" t="n"/>
      <c r="T296" s="9" t="n"/>
      <c r="U296" s="9" t="n"/>
      <c r="V296" s="9" t="n"/>
      <c r="W296" s="9" t="inlineStr">
        <is>
          <t>Scripts</t>
        </is>
      </c>
      <c r="X296" s="9" t="inlineStr">
        <is>
          <t>Python</t>
        </is>
      </c>
      <c r="Y296" s="9" t="inlineStr">
        <is>
          <t>Bits and bobs</t>
        </is>
      </c>
      <c r="Z296" s="9" t="n"/>
      <c r="AA296" s="9" t="n"/>
      <c r="AB296" s="9" t="n"/>
      <c r="AC296" s="9" t="n"/>
      <c r="AD296" s="9" t="n"/>
      <c r="AE296" s="10" t="inlineStr">
        <is>
          <t>https://archive.org/details/codeberg.org-steko-missing_-_2020-02-10_10-18-09</t>
        </is>
      </c>
      <c r="AF296" s="9" t="n"/>
      <c r="AG296" s="9" t="n"/>
    </row>
    <row r="297">
      <c r="A297" s="9" t="inlineStr">
        <is>
          <t>mobest</t>
        </is>
      </c>
      <c r="B297" s="9" t="inlineStr">
        <is>
          <t>An R package that provides types and functions for spatiotemporal interpolation of human genetic ancestry components, probabilistic similarity search and the calculation of a derived measure for mobility estimation.</t>
        </is>
      </c>
      <c r="C297" s="10" t="inlineStr">
        <is>
          <t>https://github.com/nevrome/mobest</t>
        </is>
      </c>
      <c r="D297" s="9" t="n"/>
      <c r="E297" s="9" t="n"/>
      <c r="F297" s="9" t="n"/>
      <c r="G297" s="9" t="n"/>
      <c r="H297" s="9" t="n"/>
      <c r="I297" s="9" t="n"/>
      <c r="J297" s="9" t="n"/>
      <c r="K297" s="9" t="n"/>
      <c r="L297" s="9" t="n"/>
      <c r="M297" s="9" t="n"/>
      <c r="N297" s="10" t="inlineStr">
        <is>
          <t>https://nevrome.de/mobest/html/master/</t>
        </is>
      </c>
      <c r="O297" s="10" t="inlineStr">
        <is>
          <t>https://doi.org/10.1073/pnas.2218375120</t>
        </is>
      </c>
      <c r="P297" s="9" t="n"/>
      <c r="Q297" s="9" t="inlineStr">
        <is>
          <t>nevrome</t>
        </is>
      </c>
      <c r="R297" s="9" t="n"/>
      <c r="S297" s="9" t="n"/>
      <c r="T297" s="9" t="n"/>
      <c r="U297" s="9" t="n"/>
      <c r="V297" s="9" t="n"/>
      <c r="W297" s="9" t="inlineStr">
        <is>
          <t>Packages and libraries</t>
        </is>
      </c>
      <c r="X297" s="9" t="inlineStr">
        <is>
          <t>R</t>
        </is>
      </c>
      <c r="Y297" s="9" t="inlineStr">
        <is>
          <t>Archaeogenetics</t>
        </is>
      </c>
      <c r="Z297" s="9" t="inlineStr">
        <is>
          <t>Simulation</t>
        </is>
      </c>
      <c r="AA297" s="9" t="n"/>
      <c r="AB297" s="9" t="n"/>
      <c r="AC297" s="9" t="n"/>
      <c r="AD297" s="9" t="n"/>
      <c r="AE297" s="9" t="n"/>
      <c r="AF297" s="9" t="n"/>
      <c r="AG297" s="9" t="n"/>
    </row>
    <row r="298">
      <c r="A298" s="9" t="inlineStr">
        <is>
          <t>MoDuLAAR</t>
        </is>
      </c>
      <c r="B298" s="9" t="inlineStr">
        <is>
          <t>comprehensive toolkit designed to model and analyze racemization processes in amino acids. This project integrates data processing, dehydration analysis, racemization simulation, parameter optimization, and result visualization to provide a robust framework for studying amino acid kinetics.</t>
        </is>
      </c>
      <c r="C298" s="10" t="inlineStr">
        <is>
          <t>https://github.com/Palaeoprot/ModulAAR</t>
        </is>
      </c>
      <c r="D298" s="9" t="n"/>
      <c r="E298" s="9" t="n"/>
      <c r="F298" s="9" t="n"/>
      <c r="G298" s="9" t="n"/>
      <c r="H298" s="9" t="n"/>
      <c r="I298" s="9" t="n"/>
      <c r="J298" s="9" t="n"/>
      <c r="K298" s="9" t="n"/>
      <c r="L298" s="9" t="n"/>
      <c r="M298" s="9" t="n"/>
      <c r="N298" s="10" t="inlineStr">
        <is>
          <t>https://www.palaeome.org/get-involved/software/modulaar</t>
        </is>
      </c>
      <c r="O298" s="9" t="n"/>
      <c r="P298" s="9" t="n"/>
      <c r="Q298" s="9" t="inlineStr">
        <is>
          <t>Palaeoprot</t>
        </is>
      </c>
      <c r="R298" s="9" t="n"/>
      <c r="S298" s="9" t="n"/>
      <c r="T298" s="9" t="n"/>
      <c r="U298" s="9" t="n"/>
      <c r="V298" s="9" t="n"/>
      <c r="W298" s="9" t="inlineStr">
        <is>
          <t>Packages and libraries</t>
        </is>
      </c>
      <c r="X298" s="9" t="inlineStr">
        <is>
          <t>Python</t>
        </is>
      </c>
      <c r="Y298" s="9" t="inlineStr">
        <is>
          <t>Palaeoproteomics</t>
        </is>
      </c>
      <c r="Z298" s="9" t="n"/>
      <c r="AA298" s="9" t="n"/>
      <c r="AB298" s="9" t="n"/>
      <c r="AC298" s="9" t="n"/>
      <c r="AD298" s="9" t="n"/>
      <c r="AE298" s="9" t="n"/>
      <c r="AF298" s="9" t="n"/>
      <c r="AG298" s="9" t="n"/>
    </row>
    <row r="299">
      <c r="A299" s="9" t="inlineStr">
        <is>
          <t>morphalr</t>
        </is>
      </c>
      <c r="B299" s="9" t="inlineStr">
        <is>
          <t>Morphological analysis for archaeology.</t>
        </is>
      </c>
      <c r="C299" s="10" t="inlineStr">
        <is>
          <t>https://github.com/JGravier/morphalr</t>
        </is>
      </c>
      <c r="D299" s="9" t="n"/>
      <c r="E299" s="9" t="n"/>
      <c r="F299" s="9" t="n"/>
      <c r="G299" s="9" t="n"/>
      <c r="H299" s="9" t="n"/>
      <c r="I299" s="9" t="n"/>
      <c r="J299" s="9" t="n"/>
      <c r="K299" s="9" t="n"/>
      <c r="L299" s="9" t="n"/>
      <c r="M299" s="9" t="n"/>
      <c r="N299" s="10" t="inlineStr">
        <is>
          <t>https://jgravier.github.io/morphalr/</t>
        </is>
      </c>
      <c r="O299" s="9" t="n"/>
      <c r="P299" s="9" t="n"/>
      <c r="Q299" s="9" t="inlineStr">
        <is>
          <t>JGravier</t>
        </is>
      </c>
      <c r="R299" s="9" t="n"/>
      <c r="S299" s="9" t="n"/>
      <c r="T299" s="9" t="n"/>
      <c r="U299" s="9" t="n"/>
      <c r="V299" s="9" t="n"/>
      <c r="W299" s="9" t="inlineStr">
        <is>
          <t>Packages and libraries</t>
        </is>
      </c>
      <c r="X299" s="9" t="inlineStr">
        <is>
          <t>R</t>
        </is>
      </c>
      <c r="Y299" s="9" t="inlineStr">
        <is>
          <t>Spatial analysis</t>
        </is>
      </c>
      <c r="Z299" s="9" t="n"/>
      <c r="AA299" s="9" t="n"/>
      <c r="AB299" s="9" t="n"/>
      <c r="AC299" s="9" t="n"/>
      <c r="AD299" s="9" t="n"/>
      <c r="AE299" s="9" t="n"/>
      <c r="AF299" s="9" t="n"/>
      <c r="AG299" s="9" t="n"/>
    </row>
    <row r="300">
      <c r="A300" s="9" t="inlineStr">
        <is>
          <t>morphotype</t>
        </is>
      </c>
      <c r="B300" s="9" t="inlineStr">
        <is>
          <t>Provide a pipeline from shape data extraction to typological arrangement of pottery profiles.</t>
        </is>
      </c>
      <c r="C300" s="10" t="inlineStr">
        <is>
          <t>https://github.com/kafetzakid/morphotype</t>
        </is>
      </c>
      <c r="D300" s="9" t="n"/>
      <c r="E300" s="9" t="n"/>
      <c r="F300" s="9" t="n"/>
      <c r="G300" s="9" t="n"/>
      <c r="H300" s="9" t="n"/>
      <c r="I300" s="9" t="n"/>
      <c r="J300" s="9" t="n"/>
      <c r="K300" s="9" t="n"/>
      <c r="L300" s="9" t="n"/>
      <c r="M300" s="9" t="n"/>
      <c r="N300" s="9" t="n"/>
      <c r="O300" s="9" t="n"/>
      <c r="P300" s="9" t="inlineStr">
        <is>
          <t>10.5281/zenodo.8224882</t>
        </is>
      </c>
      <c r="Q300" s="9" t="inlineStr">
        <is>
          <t>kafetzakid</t>
        </is>
      </c>
      <c r="R300" s="9" t="n"/>
      <c r="S300" s="9" t="n"/>
      <c r="T300" s="9" t="n"/>
      <c r="U300" s="9" t="n"/>
      <c r="V300" s="9" t="n"/>
      <c r="W300" s="9" t="inlineStr">
        <is>
          <t>Packages and libraries</t>
        </is>
      </c>
      <c r="X300" s="9" t="inlineStr">
        <is>
          <t>R</t>
        </is>
      </c>
      <c r="Y300" s="9" t="inlineStr">
        <is>
          <t>Artefact morphology</t>
        </is>
      </c>
      <c r="Z300" s="9" t="inlineStr">
        <is>
          <t>Shape recognition</t>
        </is>
      </c>
      <c r="AA300" s="9" t="inlineStr">
        <is>
          <t>Ceramic analysis</t>
        </is>
      </c>
      <c r="AB300" s="9" t="n"/>
      <c r="AC300" s="9" t="n"/>
      <c r="AD300" s="9" t="n"/>
      <c r="AE300" s="9" t="n"/>
      <c r="AF300" s="9" t="n"/>
      <c r="AG300" s="9" t="n"/>
    </row>
    <row r="301">
      <c r="A301" s="9" t="inlineStr">
        <is>
          <t>morphotypeShiny</t>
        </is>
      </c>
      <c r="B301" s="9" t="inlineStr">
        <is>
          <t>Shiny implementation of morphotype.</t>
        </is>
      </c>
      <c r="C301" s="10" t="inlineStr">
        <is>
          <t>https://github.com/kafetzakid/morphotypeShiny</t>
        </is>
      </c>
      <c r="D301" s="9" t="n"/>
      <c r="E301" s="9" t="n"/>
      <c r="F301" s="9" t="n"/>
      <c r="G301" s="9" t="n"/>
      <c r="H301" s="9" t="n"/>
      <c r="I301" s="9" t="n"/>
      <c r="J301" s="9" t="n"/>
      <c r="K301" s="9" t="n"/>
      <c r="L301" s="9" t="n"/>
      <c r="M301" s="9" t="n"/>
      <c r="N301" s="9" t="n"/>
      <c r="O301" s="9" t="n"/>
      <c r="P301" s="9" t="inlineStr">
        <is>
          <t>10.5281/zenodo.6760607</t>
        </is>
      </c>
      <c r="Q301" s="9" t="inlineStr">
        <is>
          <t>kafetzakid</t>
        </is>
      </c>
      <c r="R301" s="9" t="n"/>
      <c r="S301" s="9" t="n"/>
      <c r="T301" s="9" t="n"/>
      <c r="U301" s="9" t="n"/>
      <c r="V301" s="9" t="n"/>
      <c r="W301" s="9" t="inlineStr">
        <is>
          <t>Packages and libraries</t>
        </is>
      </c>
      <c r="X301" s="9" t="inlineStr">
        <is>
          <t>R</t>
        </is>
      </c>
      <c r="Y301" s="9" t="inlineStr">
        <is>
          <t>Artefact morphology</t>
        </is>
      </c>
      <c r="Z301" s="9" t="inlineStr">
        <is>
          <t>Shape recognition</t>
        </is>
      </c>
      <c r="AA301" s="9" t="n"/>
      <c r="AB301" s="9" t="n"/>
      <c r="AC301" s="9" t="n"/>
      <c r="AD301" s="9" t="n"/>
      <c r="AE301" s="9" t="n"/>
      <c r="AF301" s="9" t="n"/>
      <c r="AG301" s="9" t="n"/>
    </row>
    <row r="302">
      <c r="A302" s="9" t="inlineStr">
        <is>
          <t>mortAAR</t>
        </is>
      </c>
      <c r="B302" s="9" t="inlineStr">
        <is>
          <t>Analysis of Archaeological Mortality Data.</t>
        </is>
      </c>
      <c r="C302" s="10" t="inlineStr">
        <is>
          <t>https://github.com/ISAAKiel/mortAAR</t>
        </is>
      </c>
      <c r="D302" s="9" t="n"/>
      <c r="E302" s="9" t="n"/>
      <c r="F302" s="9" t="n"/>
      <c r="G302" s="9" t="n"/>
      <c r="H302" s="9" t="n"/>
      <c r="I302" s="9" t="n"/>
      <c r="J302" s="9" t="n"/>
      <c r="K302" s="9" t="n"/>
      <c r="L302" s="9" t="n"/>
      <c r="M302" s="9" t="n"/>
      <c r="N302" s="9" t="n"/>
      <c r="O302" s="9" t="n"/>
      <c r="P302" s="9" t="n"/>
      <c r="Q302" s="9" t="inlineStr">
        <is>
          <t>ISAAKiel</t>
        </is>
      </c>
      <c r="R302" s="9" t="n"/>
      <c r="S302" s="9" t="n"/>
      <c r="T302" s="9" t="n"/>
      <c r="U302" s="9" t="n"/>
      <c r="V302" s="9" t="n"/>
      <c r="W302" s="9" t="inlineStr">
        <is>
          <t>Packages and libraries</t>
        </is>
      </c>
      <c r="X302" s="9" t="inlineStr">
        <is>
          <t>R</t>
        </is>
      </c>
      <c r="Y302" s="9" t="inlineStr">
        <is>
          <t>Zooarchaeology</t>
        </is>
      </c>
      <c r="Z302" s="9" t="n"/>
      <c r="AA302" s="9" t="n"/>
      <c r="AB302" s="9" t="n"/>
      <c r="AC302" s="9" t="n"/>
      <c r="AD302" s="9" t="n"/>
      <c r="AE302" s="10" t="inlineStr">
        <is>
          <t>https://archive.org/details/github.com-ISAAKiel-mortAAR_-_2021-01-06_22-00-39</t>
        </is>
      </c>
      <c r="AF302" s="9" t="n"/>
      <c r="AG302" s="9" t="n"/>
    </row>
    <row r="303">
      <c r="A303" s="9" t="inlineStr">
        <is>
          <t>MtreeRing</t>
        </is>
      </c>
      <c r="B303" s="9" t="inlineStr">
        <is>
          <t>A tool for automatically measuring tree-ring width using image processing techniques.</t>
        </is>
      </c>
      <c r="C303" s="10" t="inlineStr">
        <is>
          <t>https://github.com/ropensci/MtreeRing</t>
        </is>
      </c>
      <c r="D303" s="9" t="n"/>
      <c r="E303" s="9" t="n"/>
      <c r="F303" s="9" t="n"/>
      <c r="G303" s="9" t="n"/>
      <c r="H303" s="9" t="n"/>
      <c r="I303" s="9" t="n"/>
      <c r="J303" s="9" t="n"/>
      <c r="K303" s="9" t="n"/>
      <c r="L303" s="9" t="n"/>
      <c r="M303" s="9" t="n"/>
      <c r="N303" s="10" t="inlineStr">
        <is>
          <t>https://ropensci.github.io/MtreeRing/</t>
        </is>
      </c>
      <c r="O303" s="9" t="n"/>
      <c r="P303" s="9" t="n"/>
      <c r="Q303" s="9" t="inlineStr">
        <is>
          <t>ropensci</t>
        </is>
      </c>
      <c r="R303" s="9" t="n"/>
      <c r="S303" s="9" t="n"/>
      <c r="T303" s="9" t="n"/>
      <c r="U303" s="9" t="n"/>
      <c r="V303" s="9" t="n"/>
      <c r="W303" s="9" t="inlineStr">
        <is>
          <t>Packages and libraries</t>
        </is>
      </c>
      <c r="X303" s="9" t="inlineStr">
        <is>
          <t>R</t>
        </is>
      </c>
      <c r="Y303" s="9" t="inlineStr">
        <is>
          <t>Bits and bobs</t>
        </is>
      </c>
      <c r="Z303" s="9" t="n"/>
      <c r="AA303" s="9" t="n"/>
      <c r="AB303" s="9" t="n"/>
      <c r="AC303" s="9" t="n"/>
      <c r="AD303" s="9" t="n"/>
      <c r="AE303" s="10" t="inlineStr">
        <is>
          <t>https://archive.org/details/github.com-ropensci-MtreeRing_-_2020-06-09_18-41-07</t>
        </is>
      </c>
      <c r="AF303" s="9" t="n"/>
      <c r="AG303" s="9" t="n"/>
    </row>
    <row r="304">
      <c r="A304" s="9" t="inlineStr">
        <is>
          <t>munsell</t>
        </is>
      </c>
      <c r="B304" s="9" t="inlineStr">
        <is>
          <t>Provides easy access to, and manipulation of, the Munsell colours</t>
        </is>
      </c>
      <c r="C304" s="10" t="inlineStr">
        <is>
          <t>https://github.com/cwickham/munsell/</t>
        </is>
      </c>
      <c r="D304" s="9" t="n"/>
      <c r="E304" s="9" t="n"/>
      <c r="F304" s="9" t="n"/>
      <c r="G304" s="9" t="n"/>
      <c r="H304" s="9" t="n"/>
      <c r="I304" s="9" t="n"/>
      <c r="J304" s="9" t="n"/>
      <c r="K304" s="10" t="inlineStr">
        <is>
          <t>https://cran.r-project.org/package=munsell</t>
        </is>
      </c>
      <c r="L304" s="9" t="n"/>
      <c r="M304" s="9" t="n"/>
      <c r="N304" s="9" t="n"/>
      <c r="O304" s="9" t="n"/>
      <c r="P304" s="9" t="n"/>
      <c r="Q304" s="9" t="inlineStr">
        <is>
          <t>cwickham</t>
        </is>
      </c>
      <c r="R304" s="9" t="n"/>
      <c r="S304" s="9" t="n"/>
      <c r="T304" s="9" t="n"/>
      <c r="U304" s="9" t="n"/>
      <c r="V304" s="9" t="n"/>
      <c r="W304" s="9" t="inlineStr">
        <is>
          <t>Packages and libraries</t>
        </is>
      </c>
      <c r="X304" s="9" t="inlineStr">
        <is>
          <t>R</t>
        </is>
      </c>
      <c r="Y304" s="9" t="inlineStr">
        <is>
          <t>Diagrams and visualizations</t>
        </is>
      </c>
      <c r="Z304" s="9" t="n"/>
      <c r="AA304" s="9" t="n"/>
      <c r="AB304" s="9" t="n"/>
      <c r="AC304" s="9" t="n"/>
      <c r="AD304" s="9" t="n"/>
      <c r="AE304" s="10" t="inlineStr">
        <is>
          <t>https://archive.org/details/github.com-cwickham-munsell_-_2019-09-24_04-56-16</t>
        </is>
      </c>
      <c r="AF304" s="9" t="n"/>
      <c r="AG304" s="9" t="n"/>
    </row>
    <row r="305">
      <c r="A305" s="9" t="inlineStr">
        <is>
          <t>munsell-plot.R</t>
        </is>
      </c>
      <c r="B305" s="9" t="inlineStr">
        <is>
          <t>Make a stratigraphic-style plot-schematic of sediment colour using munsell values</t>
        </is>
      </c>
      <c r="C305" s="9" t="n"/>
      <c r="D305" s="10" t="inlineStr">
        <is>
          <t>https://gist.github.com/benmarwick/f32cbc2fe7297ec9f276b52c118a249a</t>
        </is>
      </c>
      <c r="E305" s="9" t="n"/>
      <c r="F305" s="9" t="n"/>
      <c r="G305" s="9" t="n"/>
      <c r="H305" s="9" t="n"/>
      <c r="I305" s="9" t="n"/>
      <c r="J305" s="9" t="n"/>
      <c r="K305" s="9" t="n"/>
      <c r="L305" s="9" t="n"/>
      <c r="M305" s="9" t="n"/>
      <c r="N305" s="9" t="n"/>
      <c r="O305" s="9" t="n"/>
      <c r="P305" s="9" t="n"/>
      <c r="Q305" s="9" t="inlineStr">
        <is>
          <t>benmarwick</t>
        </is>
      </c>
      <c r="R305" s="9" t="n"/>
      <c r="S305" s="9" t="n"/>
      <c r="T305" s="9" t="n"/>
      <c r="U305" s="9" t="n"/>
      <c r="V305" s="9" t="n"/>
      <c r="W305" s="9" t="inlineStr">
        <is>
          <t>Scripts</t>
        </is>
      </c>
      <c r="X305" s="9" t="inlineStr">
        <is>
          <t>R</t>
        </is>
      </c>
      <c r="Y305" s="9" t="inlineStr">
        <is>
          <t>Diagrams and visualizations</t>
        </is>
      </c>
      <c r="Z305" s="9" t="n"/>
      <c r="AA305" s="9" t="n"/>
      <c r="AB305" s="9" t="n"/>
      <c r="AC305" s="9" t="n"/>
      <c r="AD305" s="9" t="n"/>
      <c r="AE305" s="10" t="inlineStr">
        <is>
          <t>https://archive.org/details/gist.github.com-f32cbc2fe7297ec9f276b52c118a249a_-_2019-03-16_00-28-14</t>
        </is>
      </c>
      <c r="AF305" s="9" t="n"/>
      <c r="AG305" s="9" t="n"/>
    </row>
    <row r="306">
      <c r="A306" s="9" t="inlineStr">
        <is>
          <t>murature</t>
        </is>
      </c>
      <c r="B306" s="9" t="inlineStr">
        <is>
          <t>This Python library was written as an help for the study of stone walls, mainly through the quantitative analysis of spatial dimensions of stones.</t>
        </is>
      </c>
      <c r="C306" s="9" t="n"/>
      <c r="D306" s="9" t="n"/>
      <c r="E306" s="9" t="n"/>
      <c r="F306" s="9" t="n"/>
      <c r="G306" s="9" t="n"/>
      <c r="H306" s="9" t="n"/>
      <c r="I306" s="9" t="n"/>
      <c r="J306" s="9" t="n"/>
      <c r="K306" s="9" t="n"/>
      <c r="L306" s="9" t="n"/>
      <c r="M306" s="10" t="inlineStr">
        <is>
          <t>https://codeberg.org/steko/murature</t>
        </is>
      </c>
      <c r="N306" s="9" t="n"/>
      <c r="O306" s="9" t="n"/>
      <c r="P306" s="9" t="n"/>
      <c r="Q306" s="9" t="inlineStr">
        <is>
          <t>steko</t>
        </is>
      </c>
      <c r="R306" s="9" t="inlineStr">
        <is>
          <t>iosa</t>
        </is>
      </c>
      <c r="S306" s="9" t="n"/>
      <c r="T306" s="9" t="n"/>
      <c r="U306" s="9" t="n"/>
      <c r="V306" s="9" t="n"/>
      <c r="W306" s="9" t="inlineStr">
        <is>
          <t>Packages and libraries</t>
        </is>
      </c>
      <c r="X306" s="9" t="inlineStr">
        <is>
          <t>Python</t>
        </is>
      </c>
      <c r="Y306" s="9" t="inlineStr">
        <is>
          <t>Shape recognition</t>
        </is>
      </c>
      <c r="Z306" s="9" t="n"/>
      <c r="AA306" s="9" t="n"/>
      <c r="AB306" s="9" t="n"/>
      <c r="AC306" s="9" t="n"/>
      <c r="AD306" s="9" t="n"/>
      <c r="AE306" s="10" t="inlineStr">
        <is>
          <t>https://archive.org/details/codeberg.org-steko-murature_-_2020-06-22_14-12-21</t>
        </is>
      </c>
      <c r="AF306" s="9" t="n"/>
      <c r="AG306" s="9" t="n"/>
    </row>
    <row r="307">
      <c r="A307" s="9" t="inlineStr">
        <is>
          <t>Mycenaean Atlas Project</t>
        </is>
      </c>
      <c r="B307" s="9" t="inlineStr">
        <is>
          <t>The purpose of the Mycenaean Atlas is to furnish accurate lat/lon pairs for Bronze Age sites in the central and eastern Mediterranean.</t>
        </is>
      </c>
      <c r="C307" s="9" t="n"/>
      <c r="D307" s="9" t="n"/>
      <c r="E307" s="9" t="n"/>
      <c r="F307" s="9" t="n"/>
      <c r="G307" s="9" t="n"/>
      <c r="H307" s="9" t="n"/>
      <c r="I307" s="9" t="n"/>
      <c r="J307" s="9" t="n"/>
      <c r="K307" s="9" t="n"/>
      <c r="L307" s="9" t="n"/>
      <c r="M307" s="9" t="n"/>
      <c r="N307" s="10" t="inlineStr">
        <is>
          <t>http://helladic.info/</t>
        </is>
      </c>
      <c r="O307" s="9" t="n"/>
      <c r="P307" s="9" t="n"/>
      <c r="Q307" s="9" t="inlineStr">
        <is>
          <t>Robert Consoli</t>
        </is>
      </c>
      <c r="R307" s="9" t="n"/>
      <c r="S307" s="9" t="n"/>
      <c r="T307" s="9" t="n"/>
      <c r="U307" s="9" t="n"/>
      <c r="V307" s="9" t="n"/>
      <c r="W307" s="9" t="inlineStr">
        <is>
          <t>Lists and datasets</t>
        </is>
      </c>
      <c r="X307" s="9" t="n"/>
      <c r="Y307" s="9" t="inlineStr">
        <is>
          <t>Lists</t>
        </is>
      </c>
      <c r="Z307" s="9" t="n"/>
      <c r="AA307" s="9" t="n"/>
      <c r="AB307" s="9" t="n"/>
      <c r="AC307" s="9" t="n"/>
      <c r="AD307" s="9" t="n"/>
      <c r="AE307" s="9" t="n"/>
      <c r="AF307" s="9" t="n"/>
      <c r="AG307" s="9" t="n"/>
    </row>
    <row r="308">
      <c r="A308" s="9" t="inlineStr">
        <is>
          <t>NAA analytical dashboard</t>
        </is>
      </c>
      <c r="B308" s="9" t="inlineStr">
        <is>
          <t>Analytical Dashboard for conducting various analysis to group and assess groupings for Neutron Activation Analytical chemical compositional data</t>
        </is>
      </c>
      <c r="C308" s="10" t="inlineStr">
        <is>
          <t>https://github.com/mpeeples2008/NAA_analytical_dashboard</t>
        </is>
      </c>
      <c r="D308" s="9" t="n"/>
      <c r="E308" s="9" t="n"/>
      <c r="F308" s="9" t="n"/>
      <c r="G308" s="9" t="n"/>
      <c r="H308" s="9" t="n"/>
      <c r="I308" s="9" t="n"/>
      <c r="J308" s="9" t="n"/>
      <c r="K308" s="9" t="n"/>
      <c r="L308" s="9" t="n"/>
      <c r="M308" s="9" t="n"/>
      <c r="N308" s="10" t="inlineStr">
        <is>
          <t>http://nsls-ii.github.io/PyXRF/</t>
        </is>
      </c>
      <c r="O308" s="9" t="n"/>
      <c r="P308" s="9" t="n"/>
      <c r="Q308" s="9" t="inlineStr">
        <is>
          <t>mpeeples2008</t>
        </is>
      </c>
      <c r="R308" s="9" t="n"/>
      <c r="S308" s="9" t="n"/>
      <c r="T308" s="9" t="n"/>
      <c r="U308" s="9" t="n"/>
      <c r="V308" s="9" t="n"/>
      <c r="W308" s="9" t="inlineStr">
        <is>
          <t>Scripts</t>
        </is>
      </c>
      <c r="X308" s="9" t="inlineStr">
        <is>
          <t>R</t>
        </is>
      </c>
      <c r="Y308" s="9" t="inlineStr">
        <is>
          <t>Instrumental Neutron activation analysis</t>
        </is>
      </c>
      <c r="Z308" s="9" t="n"/>
      <c r="AA308" s="9" t="n"/>
      <c r="AB308" s="9" t="n"/>
      <c r="AC308" s="9" t="n"/>
      <c r="AD308" s="9" t="n"/>
      <c r="AE308" s="10" t="inlineStr">
        <is>
          <t>https://archive.org/details/github.com-mpeeples2008-NAA_analytical_dashboard_-_2018-10-24_03-38-28</t>
        </is>
      </c>
      <c r="AF308" s="9" t="n"/>
      <c r="AG308" s="9" t="n"/>
    </row>
    <row r="309">
      <c r="A309" s="9" t="inlineStr">
        <is>
          <t>NASSA-modules</t>
        </is>
      </c>
      <c r="B309" s="9" t="inlineStr">
        <is>
          <t>The modular library of the Network for Agent-based modelling of Socio-ecological systems in Archaeology</t>
        </is>
      </c>
      <c r="C309" s="10" t="inlineStr">
        <is>
          <t>https://github.com/Archaeology-ABM/NASSA-modules</t>
        </is>
      </c>
      <c r="D309" s="9" t="n"/>
      <c r="E309" s="9" t="n"/>
      <c r="F309" s="9" t="n"/>
      <c r="G309" s="9" t="n"/>
      <c r="H309" s="9" t="n"/>
      <c r="I309" s="9" t="n"/>
      <c r="J309" s="9" t="n"/>
      <c r="K309" s="9" t="n"/>
      <c r="L309" s="9" t="n"/>
      <c r="M309" s="9" t="n"/>
      <c r="N309" s="10" t="inlineStr">
        <is>
          <t>https://archaeology-abm.github.io/NASSA-modules</t>
        </is>
      </c>
      <c r="O309" s="9" t="n"/>
      <c r="P309" s="9" t="n"/>
      <c r="Q309" s="9" t="inlineStr">
        <is>
          <t>Archaeology-ABM</t>
        </is>
      </c>
      <c r="R309" s="9" t="n"/>
      <c r="S309" s="9" t="n"/>
      <c r="T309" s="9" t="n"/>
      <c r="U309" s="9" t="n"/>
      <c r="V309" s="9" t="n"/>
      <c r="W309" s="9" t="inlineStr">
        <is>
          <t>Lists and datasets</t>
        </is>
      </c>
      <c r="X309" s="9" t="n"/>
      <c r="Y309" s="9" t="inlineStr">
        <is>
          <t>Simulation</t>
        </is>
      </c>
      <c r="Z309" s="9" t="inlineStr">
        <is>
          <t>Lists</t>
        </is>
      </c>
      <c r="AA309" s="9" t="n"/>
      <c r="AB309" s="9" t="n"/>
      <c r="AC309" s="9" t="n"/>
      <c r="AD309" s="9" t="n"/>
      <c r="AE309" s="9" t="n"/>
      <c r="AF309" s="9" t="n"/>
      <c r="AG309" s="9" t="n"/>
    </row>
    <row r="310">
      <c r="A310" s="9" t="inlineStr">
        <is>
          <t>Near-Presence-Analysis</t>
        </is>
      </c>
      <c r="B310" s="9" t="inlineStr">
        <is>
          <t>R script for analyzing presence/absence data in irregularly distributed archaeological survey units.</t>
        </is>
      </c>
      <c r="C310" s="10" t="inlineStr">
        <is>
          <t>https://github.com/eweaverdyck/Near-Presence-Analysis</t>
        </is>
      </c>
      <c r="D310" s="9" t="n"/>
      <c r="E310" s="9" t="n"/>
      <c r="F310" s="9" t="n"/>
      <c r="G310" s="9" t="n"/>
      <c r="H310" s="9" t="n"/>
      <c r="I310" s="9" t="n"/>
      <c r="J310" s="9" t="n"/>
      <c r="K310" s="9" t="n"/>
      <c r="L310" s="9" t="n"/>
      <c r="M310" s="9" t="n"/>
      <c r="N310" s="9" t="n"/>
      <c r="O310" s="9" t="n"/>
      <c r="P310" s="9" t="n"/>
      <c r="Q310" s="9" t="inlineStr">
        <is>
          <t>eweaverdyck</t>
        </is>
      </c>
      <c r="R310" s="9" t="n"/>
      <c r="S310" s="9" t="n"/>
      <c r="T310" s="9" t="n"/>
      <c r="U310" s="9" t="n"/>
      <c r="V310" s="9" t="n"/>
      <c r="W310" s="9" t="inlineStr">
        <is>
          <t>Scripts</t>
        </is>
      </c>
      <c r="X310" s="9" t="inlineStr">
        <is>
          <t>R</t>
        </is>
      </c>
      <c r="Y310" s="9" t="inlineStr">
        <is>
          <t>Statistical analysis</t>
        </is>
      </c>
      <c r="Z310" s="9" t="inlineStr">
        <is>
          <t>Spatial analysis</t>
        </is>
      </c>
      <c r="AA310" s="9" t="n"/>
      <c r="AB310" s="9" t="n"/>
      <c r="AC310" s="9" t="n"/>
      <c r="AD310" s="9" t="n"/>
      <c r="AE310" s="10" t="inlineStr">
        <is>
          <t>https://archive.org/details/github.com-eweaverdyck-Near-Presence-Analysis_-_2021-06-11_19-30-34</t>
        </is>
      </c>
      <c r="AF310" s="9" t="n"/>
      <c r="AG310" s="9" t="n"/>
    </row>
    <row r="311">
      <c r="A311" s="9" t="inlineStr">
        <is>
          <t>nearpresence</t>
        </is>
      </c>
      <c r="B311" s="9" t="inlineStr">
        <is>
          <t>Implements Near Presence Cluster Analysis, a statistical method for identifying spatial clustering within presence / absence data observed in irregularly distributed areal observation units.</t>
        </is>
      </c>
      <c r="C311" s="10" t="inlineStr">
        <is>
          <t>https://github.com/eweaverdyck/nearpresence</t>
        </is>
      </c>
      <c r="D311" s="9" t="n"/>
      <c r="E311" s="9" t="n"/>
      <c r="F311" s="9" t="n"/>
      <c r="G311" s="9" t="n"/>
      <c r="H311" s="9" t="n"/>
      <c r="I311" s="9" t="n"/>
      <c r="J311" s="9" t="n"/>
      <c r="K311" s="9" t="n"/>
      <c r="L311" s="9" t="n"/>
      <c r="M311" s="9" t="n"/>
      <c r="N311" s="9" t="n"/>
      <c r="O311" s="9" t="n"/>
      <c r="P311" s="9" t="n"/>
      <c r="Q311" s="9" t="inlineStr">
        <is>
          <t>eweaverdyck</t>
        </is>
      </c>
      <c r="R311" s="9" t="n"/>
      <c r="S311" s="9" t="n"/>
      <c r="T311" s="9" t="n"/>
      <c r="U311" s="9" t="n"/>
      <c r="V311" s="9" t="n"/>
      <c r="W311" s="9" t="inlineStr">
        <is>
          <t>Packages and libraries</t>
        </is>
      </c>
      <c r="X311" s="9" t="inlineStr">
        <is>
          <t>R</t>
        </is>
      </c>
      <c r="Y311" s="9" t="inlineStr">
        <is>
          <t>Statistical analysis</t>
        </is>
      </c>
      <c r="Z311" s="9" t="inlineStr">
        <is>
          <t>Spatial analysis</t>
        </is>
      </c>
      <c r="AA311" s="9" t="n"/>
      <c r="AB311" s="9" t="n"/>
      <c r="AC311" s="9" t="n"/>
      <c r="AD311" s="9" t="n"/>
      <c r="AE311" s="9" t="n"/>
      <c r="AF311" s="9" t="n"/>
      <c r="AG311" s="9" t="n"/>
    </row>
    <row r="312">
      <c r="A312" s="9" t="inlineStr">
        <is>
          <t>neiman1995</t>
        </is>
      </c>
      <c r="B312" s="9" t="inlineStr">
        <is>
          <t>R Shiny Document - Visualizing model functions in Neimans 'Stylistic variation in evolutionary perspective' with an interactive document.</t>
        </is>
      </c>
      <c r="C312" s="10" t="inlineStr">
        <is>
          <t>https://github.com/nevrome/neiman1995</t>
        </is>
      </c>
      <c r="D312" s="9" t="n"/>
      <c r="E312" s="9" t="n"/>
      <c r="F312" s="9" t="n"/>
      <c r="G312" s="9" t="n"/>
      <c r="H312" s="9" t="n"/>
      <c r="I312" s="9" t="n"/>
      <c r="J312" s="9" t="n"/>
      <c r="K312" s="9" t="n"/>
      <c r="L312" s="9" t="n"/>
      <c r="M312" s="9" t="n"/>
      <c r="N312" s="10" t="inlineStr">
        <is>
          <t>https://nevrome.shinyapps.io/neiman1995</t>
        </is>
      </c>
      <c r="O312" s="9" t="n"/>
      <c r="P312" s="9" t="n"/>
      <c r="Q312" s="9" t="inlineStr">
        <is>
          <t>nevrome</t>
        </is>
      </c>
      <c r="R312" s="9" t="n"/>
      <c r="S312" s="9" t="n"/>
      <c r="T312" s="9" t="n"/>
      <c r="U312" s="9" t="n"/>
      <c r="V312" s="9" t="n"/>
      <c r="W312" s="9" t="inlineStr">
        <is>
          <t>Scripts</t>
        </is>
      </c>
      <c r="X312" s="9" t="inlineStr">
        <is>
          <t>R</t>
        </is>
      </c>
      <c r="Y312" s="9" t="inlineStr">
        <is>
          <t>Educational resources and practical guides</t>
        </is>
      </c>
      <c r="Z312" s="9" t="inlineStr">
        <is>
          <t>Cultural evolution</t>
        </is>
      </c>
      <c r="AA312" s="9" t="n"/>
      <c r="AB312" s="9" t="n"/>
      <c r="AC312" s="9" t="n"/>
      <c r="AD312" s="9" t="n"/>
      <c r="AE312" s="10" t="inlineStr">
        <is>
          <t>https://archive.org/details/github.com-nevrome-neiman1995_-_2018-09-15_12-51-43</t>
        </is>
      </c>
      <c r="AF312" s="9" t="n"/>
      <c r="AG312" s="9" t="n"/>
    </row>
    <row r="313">
      <c r="A313" s="9" t="inlineStr">
        <is>
          <t>neolithicR</t>
        </is>
      </c>
      <c r="B313" s="9" t="inlineStr">
        <is>
          <t>Shiny app to search and filter radiocarbon dates from various source databases, based on the R package c14bazAAR.</t>
        </is>
      </c>
      <c r="C313" s="10" t="inlineStr">
        <is>
          <t>https://github.com/nevrome/neolithicR</t>
        </is>
      </c>
      <c r="D313" s="9" t="n"/>
      <c r="E313" s="9" t="n"/>
      <c r="F313" s="9" t="n"/>
      <c r="G313" s="9" t="n"/>
      <c r="H313" s="9" t="n"/>
      <c r="I313" s="9" t="n"/>
      <c r="J313" s="9" t="n"/>
      <c r="K313" s="9" t="n"/>
      <c r="L313" s="9" t="n"/>
      <c r="M313" s="9" t="n"/>
      <c r="N313" s="10" t="inlineStr">
        <is>
          <t>https://www.neolithicrc.de</t>
        </is>
      </c>
      <c r="O313" s="9" t="n"/>
      <c r="P313" s="9" t="n"/>
      <c r="Q313" s="9" t="inlineStr">
        <is>
          <t>nevrome</t>
        </is>
      </c>
      <c r="R313" s="9" t="inlineStr">
        <is>
          <t>dirkseidensticker</t>
        </is>
      </c>
      <c r="S313" s="9" t="n"/>
      <c r="T313" s="9" t="n"/>
      <c r="U313" s="9" t="n"/>
      <c r="V313" s="9" t="n"/>
      <c r="W313" s="9" t="inlineStr">
        <is>
          <t>Scripts</t>
        </is>
      </c>
      <c r="X313" s="9" t="inlineStr">
        <is>
          <t>R</t>
        </is>
      </c>
      <c r="Y313" s="9" t="inlineStr">
        <is>
          <t>API interfaces and web scrapers</t>
        </is>
      </c>
      <c r="Z313" s="9" t="inlineStr">
        <is>
          <t>Radiocarbon dating, calibration and sequencing</t>
        </is>
      </c>
      <c r="AA313" s="9" t="n"/>
      <c r="AB313" s="9" t="n"/>
      <c r="AC313" s="9" t="n"/>
      <c r="AD313" s="9" t="n"/>
      <c r="AE313" s="10" t="inlineStr">
        <is>
          <t>https://archive.org/details/github.com-nevrome-neolithicR_-_2019-11-18_08-37-30</t>
        </is>
      </c>
      <c r="AF313" s="9" t="n"/>
      <c r="AG313" s="9" t="n"/>
    </row>
    <row r="314">
      <c r="A314" s="9" t="inlineStr">
        <is>
          <t>neonet</t>
        </is>
      </c>
      <c r="B314" s="9" t="inlineStr">
        <is>
          <t>NeoNet serves as a framework to study the transition from the Late Mesolithic to the Early Neolithic through spatio-temporal modeling of radiocarbon dates</t>
        </is>
      </c>
      <c r="C314" s="10" t="inlineStr">
        <is>
          <t>https://github.com/zoometh/neonet</t>
        </is>
      </c>
      <c r="D314" s="9" t="n"/>
      <c r="E314" s="9" t="n"/>
      <c r="F314" s="9" t="n"/>
      <c r="G314" s="9" t="n"/>
      <c r="H314" s="9" t="n"/>
      <c r="I314" s="9" t="n"/>
      <c r="J314" s="9" t="n"/>
      <c r="K314" s="9" t="n"/>
      <c r="L314" s="9" t="n"/>
      <c r="M314" s="9" t="n"/>
      <c r="N314" s="9" t="n"/>
      <c r="O314" s="9" t="n"/>
      <c r="P314" s="9" t="n"/>
      <c r="Q314" s="9" t="inlineStr">
        <is>
          <t>zoometh</t>
        </is>
      </c>
      <c r="R314" s="9" t="n"/>
      <c r="S314" s="9" t="n"/>
      <c r="T314" s="9" t="n"/>
      <c r="U314" s="9" t="n"/>
      <c r="V314" s="9" t="n"/>
      <c r="W314" s="9" t="inlineStr">
        <is>
          <t>Packages and libraries</t>
        </is>
      </c>
      <c r="X314" s="9" t="inlineStr">
        <is>
          <t>R</t>
        </is>
      </c>
      <c r="Y314" s="9" t="inlineStr">
        <is>
          <t>Radiocarbon dating, calibration and sequencing</t>
        </is>
      </c>
      <c r="Z314" s="9" t="n"/>
      <c r="AA314" s="9" t="n"/>
      <c r="AB314" s="9" t="n"/>
      <c r="AC314" s="9" t="n"/>
      <c r="AD314" s="9" t="n"/>
      <c r="AE314" s="9" t="n"/>
      <c r="AF314" s="9" t="n"/>
      <c r="AG314" s="9" t="n"/>
    </row>
    <row r="315">
      <c r="A315" s="9" t="inlineStr">
        <is>
          <t>neotoma</t>
        </is>
      </c>
      <c r="B315" s="9" t="inlineStr">
        <is>
          <t>Programmatic R interface to the Neotoma Paleoecological Database</t>
        </is>
      </c>
      <c r="C315" s="10" t="inlineStr">
        <is>
          <t>https://github.com/ropensci/neotoma</t>
        </is>
      </c>
      <c r="D315" s="9" t="n"/>
      <c r="E315" s="9" t="n"/>
      <c r="F315" s="9" t="n"/>
      <c r="G315" s="9" t="n"/>
      <c r="H315" s="9" t="n"/>
      <c r="I315" s="9" t="n"/>
      <c r="J315" s="9" t="n"/>
      <c r="K315" s="9" t="n"/>
      <c r="L315" s="9" t="n"/>
      <c r="M315" s="9" t="n"/>
      <c r="N315" s="9" t="n"/>
      <c r="O315" s="9" t="n"/>
      <c r="P315" s="9" t="n"/>
      <c r="Q315" s="9" t="inlineStr">
        <is>
          <t>ropensci</t>
        </is>
      </c>
      <c r="R315" s="9" t="n"/>
      <c r="S315" s="9" t="n"/>
      <c r="T315" s="9" t="n"/>
      <c r="U315" s="9" t="n"/>
      <c r="V315" s="9" t="n"/>
      <c r="W315" s="9" t="inlineStr">
        <is>
          <t>Packages and libraries</t>
        </is>
      </c>
      <c r="X315" s="9" t="inlineStr">
        <is>
          <t>R</t>
        </is>
      </c>
      <c r="Y315" s="9" t="inlineStr">
        <is>
          <t>API interfaces and web scrapers</t>
        </is>
      </c>
      <c r="Z315" s="9" t="inlineStr">
        <is>
          <t>Palaeoclimate modelling</t>
        </is>
      </c>
      <c r="AA315" s="9" t="n"/>
      <c r="AB315" s="9" t="n"/>
      <c r="AC315" s="9" t="n"/>
      <c r="AD315" s="9" t="n"/>
      <c r="AE315" s="10" t="inlineStr">
        <is>
          <t>https://archive.org/details/github.com-ropensci-neotoma_-_2020-09-20_18-21-19</t>
        </is>
      </c>
      <c r="AF315" s="9" t="n"/>
      <c r="AG315" s="9" t="n"/>
    </row>
    <row r="316">
      <c r="A316" s="9" t="inlineStr">
        <is>
          <t>NERD</t>
        </is>
      </c>
      <c r="B316" s="9" t="inlineStr">
        <is>
          <t>Dataset of 10,647 radiocarbon dates from the Near East from the Late Pleistocene until the Late Holocene (ca. 14 - 2 kya BP).</t>
        </is>
      </c>
      <c r="C316" s="10" t="inlineStr">
        <is>
          <t>https://github.com/apalmisano82/NERD</t>
        </is>
      </c>
      <c r="D316" s="9" t="n"/>
      <c r="E316" s="9" t="n"/>
      <c r="F316" s="9" t="n"/>
      <c r="G316" s="9" t="n"/>
      <c r="H316" s="9" t="n"/>
      <c r="I316" s="9" t="n"/>
      <c r="J316" s="9" t="n"/>
      <c r="K316" s="9" t="n"/>
      <c r="L316" s="9" t="n"/>
      <c r="M316" s="9" t="n"/>
      <c r="N316" s="9" t="n"/>
      <c r="O316" s="9" t="n"/>
      <c r="P316" s="9" t="n"/>
      <c r="Q316" s="9" t="inlineStr">
        <is>
          <t>apalmisano82</t>
        </is>
      </c>
      <c r="R316" s="9" t="n"/>
      <c r="S316" s="9" t="n"/>
      <c r="T316" s="9" t="n"/>
      <c r="U316" s="9" t="n"/>
      <c r="V316" s="9" t="n"/>
      <c r="W316" s="9" t="inlineStr">
        <is>
          <t>Lists and datasets</t>
        </is>
      </c>
      <c r="X316" s="9" t="n"/>
      <c r="Y316" s="9" t="inlineStr">
        <is>
          <t>Datasets</t>
        </is>
      </c>
      <c r="Z316" s="9" t="inlineStr">
        <is>
          <t>Radiocarbon dating, calibration and sequencing</t>
        </is>
      </c>
      <c r="AA316" s="9" t="n"/>
      <c r="AB316" s="9" t="n"/>
      <c r="AC316" s="9" t="n"/>
      <c r="AD316" s="9" t="n"/>
      <c r="AE316" s="10" t="inlineStr">
        <is>
          <t>https://archive.org/details/github.com-apalmisano82-NERD_-_2021-04-08_11-31-14</t>
        </is>
      </c>
      <c r="AF316" s="9" t="n"/>
      <c r="AG316" s="9" t="n"/>
    </row>
    <row r="317">
      <c r="A317" s="9" t="inlineStr">
        <is>
          <t>nervia</t>
        </is>
      </c>
      <c r="B317" s="9" t="inlineStr">
        <is>
          <t>Management system for physical storage of archaeological finds</t>
        </is>
      </c>
      <c r="C317" s="10" t="inlineStr">
        <is>
          <t>https://github.com/steko/nervia</t>
        </is>
      </c>
      <c r="D317" s="9" t="n"/>
      <c r="E317" s="9" t="n"/>
      <c r="F317" s="9" t="n"/>
      <c r="G317" s="9" t="n"/>
      <c r="H317" s="9" t="n"/>
      <c r="I317" s="9" t="n"/>
      <c r="J317" s="9" t="n"/>
      <c r="K317" s="9" t="n"/>
      <c r="L317" s="9" t="n"/>
      <c r="M317" s="10" t="inlineStr">
        <is>
          <t>https://codeberg.org/steko/nervia</t>
        </is>
      </c>
      <c r="N317" s="9" t="n"/>
      <c r="O317" s="9" t="n"/>
      <c r="P317" s="9" t="n"/>
      <c r="Q317" s="9" t="inlineStr">
        <is>
          <t>steko</t>
        </is>
      </c>
      <c r="R317" s="9" t="n"/>
      <c r="S317" s="9" t="n"/>
      <c r="T317" s="9" t="n"/>
      <c r="U317" s="9" t="n"/>
      <c r="V317" s="9" t="n"/>
      <c r="W317" s="9" t="inlineStr">
        <is>
          <t>Standalone software</t>
        </is>
      </c>
      <c r="X317" s="9" t="n"/>
      <c r="Y317" s="9" t="inlineStr">
        <is>
          <t>Data management</t>
        </is>
      </c>
      <c r="Z317" s="9" t="n"/>
      <c r="AA317" s="9" t="n"/>
      <c r="AB317" s="9" t="n"/>
      <c r="AC317" s="9" t="n"/>
      <c r="AD317" s="9" t="n"/>
      <c r="AE317" s="10" t="inlineStr">
        <is>
          <t>https://archive.org/details/codeberg.org-steko-nervia_-_2020-06-22_07-37-06</t>
        </is>
      </c>
      <c r="AF317" s="9" t="n"/>
      <c r="AG317" s="9" t="n"/>
    </row>
    <row r="318">
      <c r="A318" s="9" t="inlineStr">
        <is>
          <t>nexus</t>
        </is>
      </c>
      <c r="B318" s="9" t="inlineStr">
        <is>
          <t>Sourcing Archaeological Materials by Chemical Composition.</t>
        </is>
      </c>
      <c r="C318" s="10" t="inlineStr">
        <is>
          <t>https://github.com/tesselle/nexus</t>
        </is>
      </c>
      <c r="D318" s="9" t="n"/>
      <c r="E318" s="9" t="n"/>
      <c r="F318" s="9" t="n"/>
      <c r="G318" s="9" t="n"/>
      <c r="H318" s="9" t="n"/>
      <c r="I318" s="9" t="n"/>
      <c r="J318" s="9" t="n"/>
      <c r="K318" s="10" t="inlineStr">
        <is>
          <t>https://cran.r-project.org/package=nexus</t>
        </is>
      </c>
      <c r="L318" s="9" t="n"/>
      <c r="M318" s="9" t="n"/>
      <c r="N318" s="10" t="inlineStr">
        <is>
          <t>https://packages.tesselle.org/nexus/</t>
        </is>
      </c>
      <c r="O318" s="9" t="n"/>
      <c r="P318" s="9" t="inlineStr">
        <is>
          <t>10.5281/zenodo.10225630</t>
        </is>
      </c>
      <c r="Q318" s="9" t="inlineStr">
        <is>
          <t>tesselle</t>
        </is>
      </c>
      <c r="R318" s="9" t="n"/>
      <c r="S318" s="9" t="n"/>
      <c r="T318" s="9" t="n"/>
      <c r="U318" s="9" t="n"/>
      <c r="V318" s="9" t="n"/>
      <c r="W318" s="9" t="inlineStr">
        <is>
          <t>Packages and libraries</t>
        </is>
      </c>
      <c r="X318" s="9" t="inlineStr">
        <is>
          <t>R</t>
        </is>
      </c>
      <c r="Y318" s="9" t="inlineStr">
        <is>
          <t>X-Ray Fluorescence</t>
        </is>
      </c>
      <c r="Z318" s="9" t="inlineStr">
        <is>
          <t>Instrumental Neutron activation analysis</t>
        </is>
      </c>
      <c r="AA318" s="9" t="n"/>
      <c r="AB318" s="9" t="n"/>
      <c r="AC318" s="9" t="n"/>
      <c r="AD318" s="9" t="n"/>
      <c r="AE318" s="10" t="inlineStr">
        <is>
          <t>https://archive.org/details/github.com-tesselle-nexus_-_2021-05-24_16-02-18</t>
        </is>
      </c>
      <c r="AF318" s="9" t="n"/>
      <c r="AG318" s="9" t="n"/>
    </row>
    <row r="319">
      <c r="A319" s="9" t="inlineStr">
        <is>
          <t>nimbleCarbon</t>
        </is>
      </c>
      <c r="B319" s="9" t="inlineStr">
        <is>
          <t>The nimbleCarbon package provides utility functions and bespoke probability distributions for the Bayesian analyses of radiocarbon dates using the NIMBLE framework. The package is particularly dedicated to demographic inferences based on changing frequencies of radiocarbon dates.</t>
        </is>
      </c>
      <c r="C319" s="10" t="inlineStr">
        <is>
          <t>https://github.com/ercrema/nimbleCarbon</t>
        </is>
      </c>
      <c r="D319" s="9" t="n"/>
      <c r="E319" s="9" t="n"/>
      <c r="F319" s="9" t="n"/>
      <c r="G319" s="9" t="n"/>
      <c r="H319" s="9" t="n"/>
      <c r="I319" s="9" t="n"/>
      <c r="J319" s="9" t="n"/>
      <c r="K319" s="9" t="n"/>
      <c r="L319" s="9" t="n"/>
      <c r="M319" s="9" t="n"/>
      <c r="N319" s="9" t="n"/>
      <c r="O319" s="9" t="n"/>
      <c r="P319" s="9" t="n"/>
      <c r="Q319" s="9" t="inlineStr">
        <is>
          <t>ercrema</t>
        </is>
      </c>
      <c r="R319" s="9" t="n"/>
      <c r="S319" s="9" t="n"/>
      <c r="T319" s="9" t="n"/>
      <c r="U319" s="9" t="n"/>
      <c r="V319" s="9" t="n"/>
      <c r="W319" s="9" t="inlineStr">
        <is>
          <t>Packages and libraries</t>
        </is>
      </c>
      <c r="X319" s="9" t="inlineStr">
        <is>
          <t>R</t>
        </is>
      </c>
      <c r="Y319" s="9" t="inlineStr">
        <is>
          <t>Radiocarbon dating, calibration and sequencing</t>
        </is>
      </c>
      <c r="Z319" s="9" t="n"/>
      <c r="AA319" s="9" t="n"/>
      <c r="AB319" s="9" t="n"/>
      <c r="AC319" s="9" t="n"/>
      <c r="AD319" s="9" t="n"/>
      <c r="AE319" s="10" t="inlineStr">
        <is>
          <t>https://archive.org/details/github.com-ercrema-nimbleCarbon_-_2021-06-17_15-27-15</t>
        </is>
      </c>
      <c r="AF319" s="9" t="n"/>
      <c r="AG319" s="9" t="n"/>
    </row>
    <row r="320">
      <c r="A320" s="9" t="inlineStr">
        <is>
          <t>non-metric-trait-analysis</t>
        </is>
      </c>
      <c r="B320" s="9" t="inlineStr">
        <is>
          <t>A set of GNU Octave functions for biodistance analysis based on non-metric traits.</t>
        </is>
      </c>
      <c r="C320" s="10" t="inlineStr">
        <is>
          <t>https://github.com/pr0m1th3as/non-metric-trait-analysis</t>
        </is>
      </c>
      <c r="D320" s="9" t="n"/>
      <c r="E320" s="9" t="n"/>
      <c r="F320" s="9" t="n"/>
      <c r="G320" s="9" t="n"/>
      <c r="H320" s="9" t="n"/>
      <c r="I320" s="9" t="n"/>
      <c r="J320" s="9" t="n"/>
      <c r="K320" s="9" t="n"/>
      <c r="L320" s="9" t="n"/>
      <c r="M320" s="9" t="n"/>
      <c r="N320" s="9" t="n"/>
      <c r="O320" s="9" t="n"/>
      <c r="P320" s="9" t="n"/>
      <c r="Q320" s="9" t="inlineStr">
        <is>
          <t>pr0m1th3as</t>
        </is>
      </c>
      <c r="R320" s="9" t="n"/>
      <c r="S320" s="9" t="n"/>
      <c r="T320" s="9" t="n"/>
      <c r="U320" s="9" t="n"/>
      <c r="V320" s="9" t="n"/>
      <c r="W320" s="9" t="inlineStr">
        <is>
          <t>Scripts</t>
        </is>
      </c>
      <c r="X320" s="9" t="inlineStr">
        <is>
          <t>MATLAB</t>
        </is>
      </c>
      <c r="Y320" s="9" t="inlineStr">
        <is>
          <t>Biological anthropology</t>
        </is>
      </c>
      <c r="Z320" s="9" t="inlineStr">
        <is>
          <t>Zooarchaeology</t>
        </is>
      </c>
      <c r="AA320" s="9" t="n"/>
      <c r="AB320" s="9" t="n"/>
      <c r="AC320" s="9" t="n"/>
      <c r="AD320" s="9" t="n"/>
      <c r="AE320" s="10" t="inlineStr">
        <is>
          <t>https://archive.org/details/github.com-pr0m1th3as-non-metric-trait-analysis_-_2018-03-08_14-05-12</t>
        </is>
      </c>
      <c r="AF320" s="9" t="n"/>
      <c r="AG320" s="9" t="n"/>
    </row>
    <row r="321">
      <c r="A321" s="9" t="inlineStr">
        <is>
          <t>nonekXML</t>
        </is>
      </c>
      <c r="B321" s="9" t="inlineStr">
        <is>
          <t>Exchange data format (XML) for NoNeK (Nordmitteleuropäische Neolithische Keramik).</t>
        </is>
      </c>
      <c r="C321" s="10" t="inlineStr">
        <is>
          <t>https://github.com/ISAAKiel/nonekXML</t>
        </is>
      </c>
      <c r="D321" s="9" t="n"/>
      <c r="E321" s="9" t="n"/>
      <c r="F321" s="9" t="n"/>
      <c r="G321" s="9" t="n"/>
      <c r="H321" s="9" t="n"/>
      <c r="I321" s="9" t="n"/>
      <c r="J321" s="9" t="n"/>
      <c r="K321" s="9" t="n"/>
      <c r="L321" s="9" t="n"/>
      <c r="M321" s="9" t="n"/>
      <c r="N321" s="9" t="n"/>
      <c r="O321" s="9" t="n"/>
      <c r="P321" s="9" t="n"/>
      <c r="Q321" s="9" t="inlineStr">
        <is>
          <t>MoritzMennenga</t>
        </is>
      </c>
      <c r="R321" s="9" t="inlineStr">
        <is>
          <t>chrinne</t>
        </is>
      </c>
      <c r="S321" s="9" t="n"/>
      <c r="T321" s="9" t="n"/>
      <c r="U321" s="9" t="n"/>
      <c r="V321" s="9" t="n"/>
      <c r="W321" s="9" t="inlineStr">
        <is>
          <t>Specifications, protocols and schemas</t>
        </is>
      </c>
      <c r="X321" s="9" t="n"/>
      <c r="Y321" s="9" t="inlineStr">
        <is>
          <t>Schemas and ontologies</t>
        </is>
      </c>
      <c r="Z321" s="9" t="n"/>
      <c r="AA321" s="9" t="n"/>
      <c r="AB321" s="9" t="n"/>
      <c r="AC321" s="9" t="n"/>
      <c r="AD321" s="9" t="n"/>
      <c r="AE321" s="10" t="inlineStr">
        <is>
          <t>https://archive.org/details/github.com-ISAAKiel-nonekXML_-_2020-03-04_16-27-25</t>
        </is>
      </c>
      <c r="AF321" s="9" t="n"/>
      <c r="AG321" s="9" t="n"/>
    </row>
    <row r="322">
      <c r="A322" s="9" t="inlineStr">
        <is>
          <t>NRHP_Metadata_Scheme</t>
        </is>
      </c>
      <c r="B322" s="9" t="inlineStr">
        <is>
          <t>Metadata scheme for National Register of Historic Places, transcribed from the National Park Service NPS Bulletin 16</t>
        </is>
      </c>
      <c r="C322" s="10" t="inlineStr">
        <is>
          <t>https://github.com/aejolene/NRHP_Metadata_Scheme</t>
        </is>
      </c>
      <c r="D322" s="9" t="n"/>
      <c r="E322" s="9" t="n"/>
      <c r="F322" s="9" t="n"/>
      <c r="G322" s="9" t="n"/>
      <c r="H322" s="9" t="n"/>
      <c r="I322" s="9" t="n"/>
      <c r="J322" s="9" t="n"/>
      <c r="K322" s="9" t="n"/>
      <c r="L322" s="9" t="n"/>
      <c r="M322" s="9" t="n"/>
      <c r="N322" s="9" t="n"/>
      <c r="O322" s="9" t="n"/>
      <c r="P322" s="9" t="n"/>
      <c r="Q322" s="9" t="inlineStr">
        <is>
          <t>aejolene</t>
        </is>
      </c>
      <c r="R322" s="9" t="n"/>
      <c r="S322" s="9" t="n"/>
      <c r="T322" s="9" t="n"/>
      <c r="U322" s="9" t="n"/>
      <c r="V322" s="9" t="n"/>
      <c r="W322" s="9" t="inlineStr">
        <is>
          <t>Specifications, protocols and schemas</t>
        </is>
      </c>
      <c r="X322" s="9" t="n"/>
      <c r="Y322" s="9" t="inlineStr">
        <is>
          <t>Schemas and ontologies</t>
        </is>
      </c>
      <c r="Z322" s="9" t="n"/>
      <c r="AA322" s="9" t="n"/>
      <c r="AB322" s="9" t="n"/>
      <c r="AC322" s="9" t="n"/>
      <c r="AD322" s="9" t="n"/>
      <c r="AE322" s="10" t="inlineStr">
        <is>
          <t>https://archive.org/details/github.com-aejolene-NRHP_Metadata_Scheme_-_2019-03-21_20-40-51</t>
        </is>
      </c>
      <c r="AF322" s="9" t="n"/>
      <c r="AG322" s="9" t="n"/>
    </row>
    <row r="323">
      <c r="A323" s="9" t="inlineStr">
        <is>
          <t>ODATE</t>
        </is>
      </c>
      <c r="B323" s="9" t="inlineStr">
        <is>
          <t>An introduction to the issues, methods, and techniques of digital archaeology, integrated with working code and virtual computing environments or 'notebooks' written in Python or R.</t>
        </is>
      </c>
      <c r="C323" s="10" t="inlineStr">
        <is>
          <t>https://github.com/o-date/draft</t>
        </is>
      </c>
      <c r="D323" s="9" t="n"/>
      <c r="E323" s="9" t="n"/>
      <c r="F323" s="9" t="n"/>
      <c r="G323" s="9" t="n"/>
      <c r="H323" s="9" t="n"/>
      <c r="I323" s="9" t="n"/>
      <c r="J323" s="9" t="n"/>
      <c r="K323" s="9" t="n"/>
      <c r="L323" s="9" t="n"/>
      <c r="M323" s="9" t="n"/>
      <c r="N323" s="10" t="inlineStr">
        <is>
          <t>https://o-date.github.io/</t>
        </is>
      </c>
      <c r="O323" s="9" t="n"/>
      <c r="P323" s="9" t="n"/>
      <c r="Q323" s="9" t="inlineStr">
        <is>
          <t>o-date</t>
        </is>
      </c>
      <c r="R323" s="9" t="n"/>
      <c r="S323" s="9" t="n"/>
      <c r="T323" s="9" t="n"/>
      <c r="U323" s="9" t="n"/>
      <c r="V323" s="9" t="n"/>
      <c r="W323" s="9" t="inlineStr">
        <is>
          <t>Guides</t>
        </is>
      </c>
      <c r="X323" s="9" t="n"/>
      <c r="Y323" s="9" t="inlineStr">
        <is>
          <t>Educational resources and practical guides</t>
        </is>
      </c>
      <c r="Z323" s="9" t="n"/>
      <c r="AA323" s="9" t="n"/>
      <c r="AB323" s="9" t="n"/>
      <c r="AC323" s="9" t="n"/>
      <c r="AD323" s="9" t="n"/>
      <c r="AE323" s="10" t="inlineStr">
        <is>
          <t>https://archive.org/details/github.com-o-date-draft_-_2020-07-11_17-25-37</t>
        </is>
      </c>
      <c r="AF323" s="9" t="n"/>
      <c r="AG323" s="9" t="n"/>
    </row>
    <row r="324">
      <c r="A324" s="9" t="inlineStr">
        <is>
          <t>ODK-forms-archaeology</t>
        </is>
      </c>
      <c r="B324" s="9" t="inlineStr">
        <is>
          <t>Forms for the Open Data Kit mobile data collection app.</t>
        </is>
      </c>
      <c r="C324" s="10" t="inlineStr">
        <is>
          <t>https://github.com/isaacullah/ODK-forms-archaeology</t>
        </is>
      </c>
      <c r="D324" s="9" t="n"/>
      <c r="E324" s="9" t="n"/>
      <c r="F324" s="9" t="n"/>
      <c r="G324" s="9" t="n"/>
      <c r="H324" s="9" t="n"/>
      <c r="I324" s="9" t="n"/>
      <c r="J324" s="9" t="n"/>
      <c r="K324" s="9" t="n"/>
      <c r="L324" s="9" t="n"/>
      <c r="M324" s="9" t="n"/>
      <c r="N324" s="9" t="n"/>
      <c r="O324" s="9" t="n"/>
      <c r="P324" s="9" t="n"/>
      <c r="Q324" s="9" t="inlineStr">
        <is>
          <t>isaacullah</t>
        </is>
      </c>
      <c r="R324" s="9" t="n"/>
      <c r="S324" s="9" t="n"/>
      <c r="T324" s="9" t="n"/>
      <c r="U324" s="9" t="n"/>
      <c r="V324" s="9" t="n"/>
      <c r="W324" s="9" t="inlineStr">
        <is>
          <t>Packages and libraries</t>
        </is>
      </c>
      <c r="X324" s="9" t="inlineStr">
        <is>
          <t>Open Data Kit</t>
        </is>
      </c>
      <c r="Y324" s="9" t="inlineStr">
        <is>
          <t>Templates</t>
        </is>
      </c>
      <c r="Z324" s="9" t="inlineStr">
        <is>
          <t>Data collection</t>
        </is>
      </c>
      <c r="AA324" s="9" t="n"/>
      <c r="AB324" s="9" t="n"/>
      <c r="AC324" s="9" t="n"/>
      <c r="AD324" s="9" t="n"/>
      <c r="AE324" s="10" t="inlineStr">
        <is>
          <t>https://archive.org/details/github.com-isaacullah-ODK-forms-archaeology_-_2021-01-11_23-33-22</t>
        </is>
      </c>
      <c r="AF324" s="9" t="n"/>
      <c r="AG324" s="9" t="n"/>
    </row>
    <row r="325">
      <c r="A325" s="9" t="inlineStr">
        <is>
          <t>ODKArchForms</t>
        </is>
      </c>
      <c r="B325" s="9" t="inlineStr">
        <is>
          <t>Open Data Kit forms and conversion scripts used in archaeology. Including New Mexico LA Forms, photologs, etc</t>
        </is>
      </c>
      <c r="C325" s="10" t="inlineStr">
        <is>
          <t>https://github.com/UNMOCA/ODKArchForms</t>
        </is>
      </c>
      <c r="D325" s="9" t="n"/>
      <c r="E325" s="9" t="n"/>
      <c r="F325" s="9" t="n"/>
      <c r="G325" s="9" t="n"/>
      <c r="H325" s="9" t="n"/>
      <c r="I325" s="9" t="n"/>
      <c r="J325" s="9" t="n"/>
      <c r="K325" s="9" t="n"/>
      <c r="L325" s="9" t="n"/>
      <c r="M325" s="9" t="n"/>
      <c r="N325" s="9" t="n"/>
      <c r="O325" s="9" t="n"/>
      <c r="P325" s="9" t="n"/>
      <c r="Q325" s="9" t="inlineStr">
        <is>
          <t>UNMOCA</t>
        </is>
      </c>
      <c r="R325" s="9" t="n"/>
      <c r="S325" s="9" t="n"/>
      <c r="T325" s="9" t="n"/>
      <c r="U325" s="9" t="n"/>
      <c r="V325" s="9" t="n"/>
      <c r="W325" s="9" t="inlineStr">
        <is>
          <t>Packages and libraries</t>
        </is>
      </c>
      <c r="X325" s="9" t="inlineStr">
        <is>
          <t>Open Data Kit</t>
        </is>
      </c>
      <c r="Y325" s="9" t="inlineStr">
        <is>
          <t>Data management</t>
        </is>
      </c>
      <c r="Z325" s="9" t="n"/>
      <c r="AA325" s="9" t="n"/>
      <c r="AB325" s="9" t="n"/>
      <c r="AC325" s="9" t="n"/>
      <c r="AD325" s="9" t="n"/>
      <c r="AE325" s="10" t="inlineStr">
        <is>
          <t>https://archive.org/details/github.com-UNMOCA-ODKArchForms_-_2016-02-17_22-32-59</t>
        </is>
      </c>
      <c r="AF325" s="9" t="n"/>
      <c r="AG325" s="9" t="n"/>
    </row>
    <row r="326">
      <c r="A326" s="9" t="inlineStr">
        <is>
          <t>OHM Data Index</t>
        </is>
      </c>
      <c r="B326" s="9" t="inlineStr">
        <is>
          <t>The data index considers a collection of research areas that broadly stroke an idea of the level of completeness in the knowledge of a given period and timeframe.</t>
        </is>
      </c>
      <c r="C326" s="9" t="n"/>
      <c r="D326" s="9" t="n"/>
      <c r="E326" s="9" t="n"/>
      <c r="F326" s="9" t="n"/>
      <c r="G326" s="9" t="n"/>
      <c r="H326" s="9" t="n"/>
      <c r="I326" s="9" t="n"/>
      <c r="J326" s="9" t="n"/>
      <c r="K326" s="9" t="n"/>
      <c r="L326" s="9" t="n"/>
      <c r="M326" s="9" t="n"/>
      <c r="N326" s="10" t="inlineStr">
        <is>
          <t>https://index.openhistorymap.org/</t>
        </is>
      </c>
      <c r="O326" s="9" t="n"/>
      <c r="P326" s="9" t="n"/>
      <c r="Q326" s="9" t="inlineStr">
        <is>
          <t>openhistorymap</t>
        </is>
      </c>
      <c r="R326" s="9" t="n"/>
      <c r="S326" s="9" t="n"/>
      <c r="T326" s="9" t="n"/>
      <c r="U326" s="9" t="n"/>
      <c r="V326" s="9" t="n"/>
      <c r="W326" s="9" t="inlineStr">
        <is>
          <t>Lists and datasets</t>
        </is>
      </c>
      <c r="X326" s="9" t="n"/>
      <c r="Y326" s="9" t="inlineStr">
        <is>
          <t>Site mapping</t>
        </is>
      </c>
      <c r="Z326" s="9" t="inlineStr">
        <is>
          <t>Public archaeology</t>
        </is>
      </c>
      <c r="AA326" s="9" t="inlineStr">
        <is>
          <t>Data management</t>
        </is>
      </c>
      <c r="AB326" s="9" t="n"/>
      <c r="AC326" s="9" t="n"/>
      <c r="AD326" s="9" t="n"/>
      <c r="AE326" s="9" t="n"/>
      <c r="AF326" s="9" t="n"/>
      <c r="AG326" s="9" t="n"/>
    </row>
    <row r="327">
      <c r="A327" s="9" t="inlineStr">
        <is>
          <t>Open Access Archaeology</t>
        </is>
      </c>
      <c r="B327" s="9" t="inlineStr">
        <is>
          <t>OpenAccessArchaeology.org is dedicated to helping people discover and use Open Access resources in the field of Archaeology.</t>
        </is>
      </c>
      <c r="C327" s="9" t="n"/>
      <c r="D327" s="9" t="n"/>
      <c r="E327" s="9" t="n"/>
      <c r="F327" s="9" t="n"/>
      <c r="G327" s="9" t="n"/>
      <c r="H327" s="10" t="inlineStr">
        <is>
          <t>https://twitter.com/OpenAccessArch</t>
        </is>
      </c>
      <c r="I327" s="9" t="n"/>
      <c r="J327" s="9" t="n"/>
      <c r="K327" s="9" t="n"/>
      <c r="L327" s="9" t="n"/>
      <c r="M327" s="9" t="n"/>
      <c r="N327" s="10" t="inlineStr">
        <is>
          <t>http://www.openaccessarchaeology.org/</t>
        </is>
      </c>
      <c r="O327" s="9" t="n"/>
      <c r="P327" s="9" t="n"/>
      <c r="Q327" s="9" t="inlineStr">
        <is>
          <t>Doug Rocks-Macqueen</t>
        </is>
      </c>
      <c r="R327" s="9" t="inlineStr">
        <is>
          <t>Lorna Richardson</t>
        </is>
      </c>
      <c r="S327" s="9" t="inlineStr">
        <is>
          <t>Emma O'Riordan</t>
        </is>
      </c>
      <c r="T327" s="9" t="inlineStr">
        <is>
          <t>Katrina Urban</t>
        </is>
      </c>
      <c r="U327" s="9" t="n"/>
      <c r="V327" s="9" t="n"/>
      <c r="W327" s="9" t="inlineStr">
        <is>
          <t>Lists and datasets</t>
        </is>
      </c>
      <c r="X327" s="9" t="n"/>
      <c r="Y327" s="9" t="inlineStr">
        <is>
          <t>Lists</t>
        </is>
      </c>
      <c r="Z327" s="9" t="n"/>
      <c r="AA327" s="9" t="n"/>
      <c r="AB327" s="9" t="n"/>
      <c r="AC327" s="9" t="n"/>
      <c r="AD327" s="9" t="n"/>
      <c r="AE327" s="9" t="n"/>
      <c r="AF327" s="9" t="n"/>
      <c r="AG327" s="9" t="n"/>
    </row>
    <row r="328">
      <c r="A328" s="9" t="inlineStr">
        <is>
          <t>Open History Map</t>
        </is>
      </c>
      <c r="B328" s="9" t="inlineStr">
        <is>
          <t>A web-GIS platform containing spatial historical and archaeological data.</t>
        </is>
      </c>
      <c r="C328" s="10" t="inlineStr">
        <is>
          <t>https://github.com/openhistorymap</t>
        </is>
      </c>
      <c r="D328" s="9" t="n"/>
      <c r="E328" s="9" t="n"/>
      <c r="F328" s="9" t="n"/>
      <c r="G328" s="9" t="n"/>
      <c r="H328" s="9" t="n"/>
      <c r="I328" s="9" t="n"/>
      <c r="J328" s="9" t="n"/>
      <c r="K328" s="9" t="n"/>
      <c r="L328" s="9" t="n"/>
      <c r="M328" s="9" t="n"/>
      <c r="N328" s="10" t="inlineStr">
        <is>
          <t>http://www.openhistorymap.org/</t>
        </is>
      </c>
      <c r="O328" s="9" t="n"/>
      <c r="P328" s="9" t="n"/>
      <c r="Q328" s="9" t="inlineStr">
        <is>
          <t>openhistorymap</t>
        </is>
      </c>
      <c r="R328" s="9" t="n"/>
      <c r="S328" s="9" t="n"/>
      <c r="T328" s="9" t="n"/>
      <c r="U328" s="9" t="n"/>
      <c r="V328" s="9" t="n"/>
      <c r="W328" s="9" t="inlineStr">
        <is>
          <t>Standalone software</t>
        </is>
      </c>
      <c r="X328" s="9" t="n"/>
      <c r="Y328" s="9" t="inlineStr">
        <is>
          <t>Site mapping</t>
        </is>
      </c>
      <c r="Z328" s="9" t="inlineStr">
        <is>
          <t>Public archaeology</t>
        </is>
      </c>
      <c r="AA328" s="9" t="n"/>
      <c r="AB328" s="9" t="n"/>
      <c r="AC328" s="9" t="n"/>
      <c r="AD328" s="9" t="n"/>
      <c r="AE328" s="9" t="n"/>
      <c r="AF328" s="9" t="n"/>
      <c r="AG328" s="9" t="n"/>
    </row>
    <row r="329">
      <c r="A329" s="9" t="inlineStr">
        <is>
          <t>open-archaeo</t>
        </is>
      </c>
      <c r="B329" s="9" t="inlineStr">
        <is>
          <t>A list of open source archaeological software and resources.</t>
        </is>
      </c>
      <c r="C329" s="10" t="inlineStr">
        <is>
          <t>https://github.com/zackbatist/open-archaeo</t>
        </is>
      </c>
      <c r="D329" s="9" t="n"/>
      <c r="E329" s="9" t="n"/>
      <c r="F329" s="9" t="n"/>
      <c r="G329" s="9" t="n"/>
      <c r="H329" s="9" t="n"/>
      <c r="I329" s="9" t="n"/>
      <c r="J329" s="9" t="n"/>
      <c r="K329" s="9" t="n"/>
      <c r="L329" s="9" t="n"/>
      <c r="M329" s="9" t="n"/>
      <c r="N329" s="10" t="inlineStr">
        <is>
          <t>https://open-archaeo.info/</t>
        </is>
      </c>
      <c r="O329" s="10" t="inlineStr">
        <is>
          <t>https://doi.org/10.5334/joad.111</t>
        </is>
      </c>
      <c r="P329" s="9" t="inlineStr">
        <is>
          <t>10.5281/zenodo.8299651</t>
        </is>
      </c>
      <c r="Q329" s="9" t="inlineStr">
        <is>
          <t>zackbatist</t>
        </is>
      </c>
      <c r="R329" s="9" t="n"/>
      <c r="S329" s="9" t="n"/>
      <c r="T329" s="9" t="n"/>
      <c r="U329" s="9" t="n"/>
      <c r="V329" s="9" t="n"/>
      <c r="W329" s="9" t="inlineStr">
        <is>
          <t>Lists and datasets</t>
        </is>
      </c>
      <c r="X329" s="9" t="n"/>
      <c r="Y329" s="9" t="inlineStr">
        <is>
          <t>Lists</t>
        </is>
      </c>
      <c r="Z329" s="9" t="n"/>
      <c r="AA329" s="9" t="n"/>
      <c r="AB329" s="9" t="n"/>
      <c r="AC329" s="9" t="n"/>
      <c r="AD329" s="9" t="n"/>
      <c r="AE329" s="10" t="inlineStr">
        <is>
          <t>https://archive.org/details/github.com-zackbatist-open-archaeo_-_2021-01-29_16-09-17</t>
        </is>
      </c>
      <c r="AF329" s="9" t="n"/>
      <c r="AG329" s="9" t="n"/>
    </row>
    <row r="330">
      <c r="A330" s="9" t="inlineStr">
        <is>
          <t>open-context-py</t>
        </is>
      </c>
      <c r="B330" s="9" t="inlineStr">
        <is>
          <t>This project represents the current evolution of Open Context. It's intended to be an easier to maintain code-base, and to make the data published by Open Context easier to maintain.</t>
        </is>
      </c>
      <c r="C330" s="10" t="inlineStr">
        <is>
          <t>https://github.com/ekansa/open-context-py</t>
        </is>
      </c>
      <c r="D330" s="9" t="n"/>
      <c r="E330" s="9" t="n"/>
      <c r="F330" s="9" t="n"/>
      <c r="G330" s="9" t="n"/>
      <c r="H330" s="9" t="n"/>
      <c r="I330" s="9" t="n"/>
      <c r="J330" s="9" t="n"/>
      <c r="K330" s="9" t="n"/>
      <c r="L330" s="9" t="n"/>
      <c r="M330" s="9" t="n"/>
      <c r="N330" s="9" t="n"/>
      <c r="O330" s="9" t="n"/>
      <c r="P330" s="9" t="n"/>
      <c r="Q330" s="9" t="inlineStr">
        <is>
          <t>ekansa</t>
        </is>
      </c>
      <c r="R330" s="9" t="n"/>
      <c r="S330" s="9" t="n"/>
      <c r="T330" s="9" t="n"/>
      <c r="U330" s="9" t="n"/>
      <c r="V330" s="9" t="n"/>
      <c r="W330" s="9" t="inlineStr">
        <is>
          <t>Standalone software</t>
        </is>
      </c>
      <c r="X330" s="9" t="n"/>
      <c r="Y330" s="9" t="inlineStr">
        <is>
          <t>Platforms and publications</t>
        </is>
      </c>
      <c r="Z330" s="9" t="n"/>
      <c r="AA330" s="9" t="n"/>
      <c r="AB330" s="9" t="n"/>
      <c r="AC330" s="9" t="n"/>
      <c r="AD330" s="9" t="n"/>
      <c r="AE330" s="10" t="inlineStr">
        <is>
          <t>https://archive.org/details/github.com-ekansa-open-context-py_-_2021-02-01_02-54-37</t>
        </is>
      </c>
      <c r="AF330" s="9" t="n"/>
      <c r="AG330" s="9" t="n"/>
    </row>
    <row r="331">
      <c r="A331" s="9" t="inlineStr">
        <is>
          <t>Open-Science-in-Phytolith-Research</t>
        </is>
      </c>
      <c r="B331" s="9" t="inlineStr">
        <is>
          <t>Project to create community awareness of open science practices, provide training and establish a working group for open science.</t>
        </is>
      </c>
      <c r="C331" s="10" t="inlineStr">
        <is>
          <t>https://github.com/EKaroune/Open-Science-in-Phytolith-Research</t>
        </is>
      </c>
      <c r="D331" s="9" t="n"/>
      <c r="E331" s="9" t="n"/>
      <c r="F331" s="9" t="n"/>
      <c r="G331" s="9" t="n"/>
      <c r="H331" s="9" t="n"/>
      <c r="I331" s="9" t="n"/>
      <c r="J331" s="9" t="n"/>
      <c r="K331" s="9" t="n"/>
      <c r="L331" s="9" t="n"/>
      <c r="M331" s="9" t="n"/>
      <c r="N331" s="10" t="inlineStr">
        <is>
          <t>https://ekaroune.github.io/Open-Science-in-Phytolith-Research/</t>
        </is>
      </c>
      <c r="O331" s="9" t="n"/>
      <c r="P331" s="9" t="n"/>
      <c r="Q331" s="9" t="inlineStr">
        <is>
          <t>ekaroune</t>
        </is>
      </c>
      <c r="R331" s="9" t="n"/>
      <c r="S331" s="9" t="n"/>
      <c r="T331" s="9" t="n"/>
      <c r="U331" s="9" t="n"/>
      <c r="V331" s="9" t="n"/>
      <c r="W331" s="9" t="inlineStr">
        <is>
          <t>Guides</t>
        </is>
      </c>
      <c r="X331" s="9" t="n"/>
      <c r="Y331" s="9" t="inlineStr">
        <is>
          <t>Educational resources and practical guides</t>
        </is>
      </c>
      <c r="Z331" s="9" t="n"/>
      <c r="AA331" s="9" t="n"/>
      <c r="AB331" s="9" t="n"/>
      <c r="AC331" s="9" t="n"/>
      <c r="AD331" s="9" t="n"/>
      <c r="AE331" s="9" t="n"/>
      <c r="AF331" s="9" t="n"/>
      <c r="AG331" s="9" t="n"/>
    </row>
    <row r="332">
      <c r="A332" s="10" t="inlineStr">
        <is>
          <t>OpenArchaeology.net</t>
        </is>
      </c>
      <c r="B332" s="9" t="inlineStr">
        <is>
          <t>Open Archaeology hosts a number of sub-projects that while functional at a component level are intended to interoperate creating a complete AIS (Archaeological Information System), including the components necessary to manage the organisation carrying out the archaeology.</t>
        </is>
      </c>
      <c r="C332" s="9" t="n"/>
      <c r="D332" s="9" t="n"/>
      <c r="E332" s="9" t="n"/>
      <c r="F332" s="9" t="n"/>
      <c r="G332" s="10" t="inlineStr">
        <is>
          <t>https://launchpad.net/openarchaeology</t>
        </is>
      </c>
      <c r="H332" s="9" t="n"/>
      <c r="I332" s="9" t="n"/>
      <c r="J332" s="9" t="n"/>
      <c r="K332" s="9" t="n"/>
      <c r="L332" s="9" t="n"/>
      <c r="M332" s="9" t="n"/>
      <c r="N332" s="9" t="n"/>
      <c r="O332" s="9" t="n"/>
      <c r="P332" s="9" t="n"/>
      <c r="Q332" s="9" t="inlineStr">
        <is>
          <t>openarchaeology</t>
        </is>
      </c>
      <c r="R332" s="9" t="n"/>
      <c r="S332" s="9" t="n"/>
      <c r="T332" s="9" t="n"/>
      <c r="U332" s="9" t="n"/>
      <c r="V332" s="9" t="n"/>
      <c r="W332" s="9" t="inlineStr">
        <is>
          <t>Lists and datasets</t>
        </is>
      </c>
      <c r="X332" s="9" t="n"/>
      <c r="Y332" s="9" t="inlineStr">
        <is>
          <t>Lists</t>
        </is>
      </c>
      <c r="Z332" s="9" t="n"/>
      <c r="AA332" s="9" t="n"/>
      <c r="AB332" s="9" t="n"/>
      <c r="AC332" s="9" t="n"/>
      <c r="AD332" s="9" t="n"/>
      <c r="AE332" s="9" t="n"/>
      <c r="AF332" s="9" t="n"/>
      <c r="AG332" s="9" t="n"/>
    </row>
    <row r="333">
      <c r="A333" s="9" t="inlineStr">
        <is>
          <t>OpenAtlas</t>
        </is>
      </c>
      <c r="B333" s="9" t="inlineStr">
        <is>
          <t>An open source, web based database system for complex archaeological, historical and geospatial data.</t>
        </is>
      </c>
      <c r="C333" s="10" t="inlineStr">
        <is>
          <t>https://github.com/craws/OpenAtlas</t>
        </is>
      </c>
      <c r="D333" s="9" t="n"/>
      <c r="E333" s="9" t="n"/>
      <c r="F333" s="9" t="n"/>
      <c r="G333" s="9" t="n"/>
      <c r="H333" s="9" t="n"/>
      <c r="I333" s="9" t="n"/>
      <c r="J333" s="9" t="n"/>
      <c r="K333" s="9" t="n"/>
      <c r="L333" s="9" t="n"/>
      <c r="M333" s="9" t="n"/>
      <c r="N333" s="10" t="inlineStr">
        <is>
          <t>https://openatlas.eu/</t>
        </is>
      </c>
      <c r="O333" s="9" t="n"/>
      <c r="P333" s="9" t="n"/>
      <c r="Q333" s="9" t="inlineStr">
        <is>
          <t>CRAWS</t>
        </is>
      </c>
      <c r="R333" s="9" t="n"/>
      <c r="S333" s="9" t="n"/>
      <c r="T333" s="9" t="n"/>
      <c r="U333" s="9" t="n"/>
      <c r="V333" s="9" t="n"/>
      <c r="W333" s="9" t="inlineStr">
        <is>
          <t>Standalone software</t>
        </is>
      </c>
      <c r="X333" s="9" t="n"/>
      <c r="Y333" s="9" t="inlineStr">
        <is>
          <t>Data management</t>
        </is>
      </c>
      <c r="Z333" s="9" t="n"/>
      <c r="AA333" s="9" t="n"/>
      <c r="AB333" s="9" t="n"/>
      <c r="AC333" s="9" t="n"/>
      <c r="AD333" s="9" t="n"/>
      <c r="AE333" s="10" t="inlineStr">
        <is>
          <t>https://archive.org/details/github.com-craws-OpenAtlas_-_2021-06-25_15-15-38</t>
        </is>
      </c>
      <c r="AF333" s="9" t="n"/>
      <c r="AG333" s="9" t="n"/>
    </row>
    <row r="334">
      <c r="A334" s="9" t="inlineStr">
        <is>
          <t>opencontext</t>
        </is>
      </c>
      <c r="B334" s="9" t="inlineStr">
        <is>
          <t>An R API client for the Open Context archaeological data repository.</t>
        </is>
      </c>
      <c r="C334" s="10" t="inlineStr">
        <is>
          <t>https://github.com/ropensci/opencontext</t>
        </is>
      </c>
      <c r="D334" s="9" t="n"/>
      <c r="E334" s="9" t="n"/>
      <c r="F334" s="9" t="n"/>
      <c r="G334" s="9" t="n"/>
      <c r="H334" s="9" t="n"/>
      <c r="I334" s="9" t="n"/>
      <c r="J334" s="9" t="n"/>
      <c r="K334" s="9" t="n"/>
      <c r="L334" s="9" t="n"/>
      <c r="M334" s="9" t="n"/>
      <c r="N334" s="10" t="inlineStr">
        <is>
          <t>https://docs.ropensci.org/opencontext/</t>
        </is>
      </c>
      <c r="O334" s="9" t="n"/>
      <c r="P334" s="9" t="n"/>
      <c r="Q334" s="9" t="inlineStr">
        <is>
          <t>ropensci</t>
        </is>
      </c>
      <c r="R334" s="9" t="n"/>
      <c r="S334" s="9" t="n"/>
      <c r="T334" s="9" t="n"/>
      <c r="U334" s="9" t="n"/>
      <c r="V334" s="9" t="n"/>
      <c r="W334" s="9" t="inlineStr">
        <is>
          <t>Packages and libraries</t>
        </is>
      </c>
      <c r="X334" s="9" t="inlineStr">
        <is>
          <t>R</t>
        </is>
      </c>
      <c r="Y334" s="9" t="inlineStr">
        <is>
          <t>API interfaces and web scrapers</t>
        </is>
      </c>
      <c r="Z334" s="9" t="n"/>
      <c r="AA334" s="9" t="n"/>
      <c r="AB334" s="9" t="n"/>
      <c r="AC334" s="9" t="n"/>
      <c r="AD334" s="9" t="n"/>
      <c r="AE334" s="10" t="inlineStr">
        <is>
          <t>https://archive.org/details/github.com-ropensci-opencontext_-_2020-05-13_14-44-02</t>
        </is>
      </c>
      <c r="AF334" s="9" t="n"/>
      <c r="AG334" s="9" t="n"/>
    </row>
    <row r="335">
      <c r="A335" s="9" t="inlineStr">
        <is>
          <t>OpenLidarToolbox</t>
        </is>
      </c>
      <c r="B335" s="9" t="inlineStr">
        <is>
          <t>A QGIS plug-in that provides one-step-processing of airborne LiDAR data from point cloud to LiDAR visualisations.</t>
        </is>
      </c>
      <c r="C335" s="10" t="inlineStr">
        <is>
          <t>https://github.com/stefaneichert/OpenLidarToolbox</t>
        </is>
      </c>
      <c r="D335" s="9" t="n"/>
      <c r="E335" s="9" t="n"/>
      <c r="F335" s="9" t="n"/>
      <c r="G335" s="9" t="n"/>
      <c r="H335" s="9" t="n"/>
      <c r="I335" s="9" t="n"/>
      <c r="J335" s="9" t="n"/>
      <c r="K335" s="9" t="n"/>
      <c r="L335" s="9" t="n"/>
      <c r="M335" s="9" t="n"/>
      <c r="N335" s="9" t="n"/>
      <c r="O335" s="9" t="n"/>
      <c r="P335" s="9" t="n"/>
      <c r="Q335" s="9" t="inlineStr">
        <is>
          <t>stefaneichert</t>
        </is>
      </c>
      <c r="R335" s="9" t="n"/>
      <c r="S335" s="9" t="n"/>
      <c r="T335" s="9" t="n"/>
      <c r="U335" s="9" t="n"/>
      <c r="V335" s="9" t="n"/>
      <c r="W335" s="9" t="inlineStr">
        <is>
          <t>Packages and libraries</t>
        </is>
      </c>
      <c r="X335" s="9" t="inlineStr">
        <is>
          <t>QGIS</t>
        </is>
      </c>
      <c r="Y335" s="9" t="inlineStr">
        <is>
          <t>LiDAR</t>
        </is>
      </c>
      <c r="Z335" s="9" t="inlineStr">
        <is>
          <t>Aerial and satellite imagery</t>
        </is>
      </c>
      <c r="AA335" s="9" t="inlineStr">
        <is>
          <t>Drivers and IO</t>
        </is>
      </c>
      <c r="AB335" s="9" t="n"/>
      <c r="AC335" s="9" t="n"/>
      <c r="AD335" s="9" t="n"/>
      <c r="AE335" s="9" t="n"/>
      <c r="AF335" s="9" t="n"/>
      <c r="AG335" s="9" t="n"/>
    </row>
    <row r="336">
      <c r="A336" s="9" t="inlineStr">
        <is>
          <t>osl_calibration.r</t>
        </is>
      </c>
      <c r="B336" s="9" t="inlineStr">
        <is>
          <t>osl_calibration</t>
        </is>
      </c>
      <c r="C336" s="9" t="n"/>
      <c r="D336" s="10" t="inlineStr">
        <is>
          <t>https://gist.github.com/benmarwick/5f996a0f52ba1d92f76968119f941bd8</t>
        </is>
      </c>
      <c r="E336" s="9" t="n"/>
      <c r="F336" s="9" t="n"/>
      <c r="G336" s="9" t="n"/>
      <c r="H336" s="9" t="n"/>
      <c r="I336" s="9" t="n"/>
      <c r="J336" s="9" t="n"/>
      <c r="K336" s="9" t="n"/>
      <c r="L336" s="9" t="n"/>
      <c r="M336" s="9" t="n"/>
      <c r="N336" s="9" t="n"/>
      <c r="O336" s="9" t="n"/>
      <c r="P336" s="9" t="n"/>
      <c r="Q336" s="9" t="inlineStr">
        <is>
          <t>benmarwick</t>
        </is>
      </c>
      <c r="R336" s="9" t="n"/>
      <c r="S336" s="9" t="n"/>
      <c r="T336" s="9" t="n"/>
      <c r="U336" s="9" t="n"/>
      <c r="V336" s="9" t="n"/>
      <c r="W336" s="9" t="inlineStr">
        <is>
          <t>Scripts</t>
        </is>
      </c>
      <c r="X336" s="9" t="inlineStr">
        <is>
          <t>R</t>
        </is>
      </c>
      <c r="Y336" s="9" t="inlineStr">
        <is>
          <t>Luminescence dating</t>
        </is>
      </c>
      <c r="Z336" s="9" t="n"/>
      <c r="AA336" s="9" t="n"/>
      <c r="AB336" s="9" t="n"/>
      <c r="AC336" s="9" t="n"/>
      <c r="AD336" s="9" t="n"/>
      <c r="AE336" s="10" t="inlineStr">
        <is>
          <t>https://archive.org/details/gist.github.com-5f996a0f52ba1d92f76968119f941bd8_-_2016-05-10_07-53-04</t>
        </is>
      </c>
      <c r="AF336" s="9" t="n"/>
      <c r="AG336" s="9" t="n"/>
    </row>
    <row r="337">
      <c r="A337" s="9" t="inlineStr">
        <is>
          <t>osteoGIS</t>
        </is>
      </c>
      <c r="B337" s="9" t="inlineStr">
        <is>
          <t>Plot data on skeletal templates quickly</t>
        </is>
      </c>
      <c r="C337" s="10" t="inlineStr">
        <is>
          <t>https://github.com/davidcorton/osteoGIS</t>
        </is>
      </c>
      <c r="D337" s="9" t="n"/>
      <c r="E337" s="9" t="n"/>
      <c r="F337" s="9" t="n"/>
      <c r="G337" s="9" t="n"/>
      <c r="H337" s="9" t="n"/>
      <c r="I337" s="9" t="n"/>
      <c r="J337" s="9" t="n"/>
      <c r="K337" s="9" t="n"/>
      <c r="L337" s="9" t="n"/>
      <c r="M337" s="9" t="n"/>
      <c r="N337" s="9" t="n"/>
      <c r="O337" s="9" t="n"/>
      <c r="P337" s="9" t="n"/>
      <c r="Q337" s="9" t="inlineStr">
        <is>
          <t>davidcorton</t>
        </is>
      </c>
      <c r="R337" s="9" t="n"/>
      <c r="S337" s="9" t="n"/>
      <c r="T337" s="9" t="n"/>
      <c r="U337" s="9" t="n"/>
      <c r="V337" s="9" t="n"/>
      <c r="W337" s="9" t="inlineStr">
        <is>
          <t>Packages and libraries</t>
        </is>
      </c>
      <c r="X337" s="9" t="inlineStr">
        <is>
          <t>R</t>
        </is>
      </c>
      <c r="Y337" s="9" t="inlineStr">
        <is>
          <t>Diagrams and visualizations</t>
        </is>
      </c>
      <c r="Z337" s="9" t="n"/>
      <c r="AA337" s="9" t="n"/>
      <c r="AB337" s="9" t="n"/>
      <c r="AC337" s="9" t="n"/>
      <c r="AD337" s="9" t="n"/>
      <c r="AE337" s="10" t="inlineStr">
        <is>
          <t>https://archive.org/details/github.com-davidcorton-osteoGIS_-_2016-11-30_23-04-56</t>
        </is>
      </c>
      <c r="AF337" s="9" t="n"/>
      <c r="AG337" s="9" t="n"/>
    </row>
    <row r="338">
      <c r="A338" s="9" t="inlineStr">
        <is>
          <t>osteometric-sorting</t>
        </is>
      </c>
      <c r="B338" s="9" t="inlineStr">
        <is>
          <t>Tools for osteometric sorting of human remains.</t>
        </is>
      </c>
      <c r="C338" s="10" t="inlineStr">
        <is>
          <t>https://github.com/pr0m1th3as/osteometric-sorting</t>
        </is>
      </c>
      <c r="D338" s="9" t="n"/>
      <c r="E338" s="9" t="n"/>
      <c r="F338" s="9" t="n"/>
      <c r="G338" s="9" t="n"/>
      <c r="H338" s="9" t="n"/>
      <c r="I338" s="9" t="n"/>
      <c r="J338" s="9" t="n"/>
      <c r="K338" s="9" t="n"/>
      <c r="L338" s="9" t="n"/>
      <c r="M338" s="9" t="n"/>
      <c r="N338" s="9" t="n"/>
      <c r="O338" s="9" t="n"/>
      <c r="P338" s="9" t="n"/>
      <c r="Q338" s="9" t="inlineStr">
        <is>
          <t>pr0m1th3as</t>
        </is>
      </c>
      <c r="R338" s="9" t="n"/>
      <c r="S338" s="9" t="n"/>
      <c r="T338" s="9" t="n"/>
      <c r="U338" s="9" t="n"/>
      <c r="V338" s="9" t="n"/>
      <c r="W338" s="9" t="inlineStr">
        <is>
          <t>Scripts</t>
        </is>
      </c>
      <c r="X338" s="9" t="inlineStr">
        <is>
          <t>MATLAB</t>
        </is>
      </c>
      <c r="Y338" s="9" t="inlineStr">
        <is>
          <t>Biological anthropology</t>
        </is>
      </c>
      <c r="Z338" s="9" t="inlineStr">
        <is>
          <t>Zooarchaeology</t>
        </is>
      </c>
      <c r="AA338" s="9" t="n"/>
      <c r="AB338" s="9" t="n"/>
      <c r="AC338" s="9" t="n"/>
      <c r="AD338" s="9" t="n"/>
      <c r="AE338" s="10" t="inlineStr">
        <is>
          <t>https://archive.org/details/github.com-pr0m1th3as-osteometric-sorting_-_2020-05-09_00-52-46</t>
        </is>
      </c>
      <c r="AF338" s="9" t="n"/>
      <c r="AG338" s="9" t="n"/>
    </row>
    <row r="339">
      <c r="A339" s="9" t="inlineStr">
        <is>
          <t>outliner</t>
        </is>
      </c>
      <c r="B339" s="9" t="inlineStr">
        <is>
          <t>A simple app for tracing outlines of an irregular shape and exporting the coordinates of the outline.</t>
        </is>
      </c>
      <c r="C339" s="10" t="inlineStr">
        <is>
          <t>https://github.com/benmarwick/outliner</t>
        </is>
      </c>
      <c r="D339" s="9" t="n"/>
      <c r="E339" s="9" t="n"/>
      <c r="F339" s="9" t="n"/>
      <c r="G339" s="9" t="n"/>
      <c r="H339" s="9" t="n"/>
      <c r="I339" s="9" t="n"/>
      <c r="J339" s="9" t="n"/>
      <c r="K339" s="9" t="n"/>
      <c r="L339" s="9" t="n"/>
      <c r="M339" s="9" t="n"/>
      <c r="N339" s="9" t="n"/>
      <c r="O339" s="9" t="n"/>
      <c r="P339" s="9" t="n"/>
      <c r="Q339" s="9" t="inlineStr">
        <is>
          <t>benmarwick</t>
        </is>
      </c>
      <c r="R339" s="9" t="n"/>
      <c r="S339" s="9" t="n"/>
      <c r="T339" s="9" t="n"/>
      <c r="U339" s="9" t="n"/>
      <c r="V339" s="9" t="n"/>
      <c r="W339" s="9" t="inlineStr">
        <is>
          <t>Packages and libraries</t>
        </is>
      </c>
      <c r="X339" s="9" t="inlineStr">
        <is>
          <t>R</t>
        </is>
      </c>
      <c r="Y339" s="9" t="inlineStr">
        <is>
          <t>Artefact morphology</t>
        </is>
      </c>
      <c r="Z339" s="9" t="n"/>
      <c r="AA339" s="9" t="n"/>
      <c r="AB339" s="9" t="n"/>
      <c r="AC339" s="9" t="n"/>
      <c r="AD339" s="9" t="n"/>
      <c r="AE339" s="10" t="inlineStr">
        <is>
          <t>https://archive.org/details/github.com-benmarwick-outliner_-_2021-01-31_08-26-33</t>
        </is>
      </c>
      <c r="AF339" s="9" t="n"/>
      <c r="AG339" s="9" t="n"/>
    </row>
    <row r="340">
      <c r="A340" s="9" t="inlineStr">
        <is>
          <t>outlineR</t>
        </is>
      </c>
      <c r="B340" s="9" t="inlineStr">
        <is>
          <t>An R package to derive outline shapes from (multiple) artefacts on JPEG images.</t>
        </is>
      </c>
      <c r="C340" s="10" t="inlineStr">
        <is>
          <t>https://github.com/yesdavid/outlineR</t>
        </is>
      </c>
      <c r="D340" s="9" t="n"/>
      <c r="E340" s="9" t="n"/>
      <c r="F340" s="9" t="n"/>
      <c r="G340" s="9" t="n"/>
      <c r="H340" s="9" t="n"/>
      <c r="I340" s="9" t="n"/>
      <c r="J340" s="9" t="n"/>
      <c r="K340" s="9" t="n"/>
      <c r="L340" s="9" t="n"/>
      <c r="M340" s="9" t="n"/>
      <c r="N340" s="9" t="n"/>
      <c r="O340" s="9" t="n"/>
      <c r="P340" s="9" t="inlineStr">
        <is>
          <t>10.5281/zenodo.4527470</t>
        </is>
      </c>
      <c r="Q340" s="9" t="inlineStr">
        <is>
          <t>yesdavid</t>
        </is>
      </c>
      <c r="R340" s="9" t="n"/>
      <c r="S340" s="9" t="n"/>
      <c r="T340" s="9" t="n"/>
      <c r="U340" s="9" t="n"/>
      <c r="V340" s="9" t="n"/>
      <c r="W340" s="9" t="inlineStr">
        <is>
          <t>Packages and libraries</t>
        </is>
      </c>
      <c r="X340" s="9" t="inlineStr">
        <is>
          <t>R</t>
        </is>
      </c>
      <c r="Y340" s="9" t="inlineStr">
        <is>
          <t>Artefact morphology</t>
        </is>
      </c>
      <c r="Z340" s="9" t="n"/>
      <c r="AA340" s="9" t="n"/>
      <c r="AB340" s="9" t="n"/>
      <c r="AC340" s="9" t="n"/>
      <c r="AD340" s="9" t="n"/>
      <c r="AE340" s="10" t="inlineStr">
        <is>
          <t>https://archive.org/details/github.com-yesdavid-outlineR_-_2021-06-18_18-20-24</t>
        </is>
      </c>
      <c r="AF340" s="9" t="n"/>
      <c r="AG340" s="9" t="n"/>
    </row>
    <row r="341">
      <c r="A341" s="9" t="inlineStr">
        <is>
          <t>oxcAAR</t>
        </is>
      </c>
      <c r="B341" s="9" t="inlineStr">
        <is>
          <t>A collection of functions that can be used to execute OxCal from within R.</t>
        </is>
      </c>
      <c r="C341" s="10" t="inlineStr">
        <is>
          <t>https://github.com/ISAAKiel/oxcAAR</t>
        </is>
      </c>
      <c r="D341" s="9" t="n"/>
      <c r="E341" s="9" t="n"/>
      <c r="F341" s="9" t="n"/>
      <c r="G341" s="9" t="n"/>
      <c r="H341" s="9" t="n"/>
      <c r="I341" s="9" t="n"/>
      <c r="J341" s="9" t="n"/>
      <c r="K341" s="9" t="n"/>
      <c r="L341" s="9" t="n"/>
      <c r="M341" s="9" t="n"/>
      <c r="N341" s="9" t="n"/>
      <c r="O341" s="9" t="n"/>
      <c r="P341" s="9" t="n"/>
      <c r="Q341" s="9" t="inlineStr">
        <is>
          <t>MartinHinz</t>
        </is>
      </c>
      <c r="R341" s="9" t="inlineStr">
        <is>
          <t>nevrome</t>
        </is>
      </c>
      <c r="S341" s="9" t="inlineStr">
        <is>
          <t>dakni</t>
        </is>
      </c>
      <c r="T341" s="9" t="inlineStr">
        <is>
          <t>ctietze91</t>
        </is>
      </c>
      <c r="U341" s="9" t="n"/>
      <c r="V341" s="9" t="n"/>
      <c r="W341" s="9" t="inlineStr">
        <is>
          <t>Packages and libraries</t>
        </is>
      </c>
      <c r="X341" s="9" t="inlineStr">
        <is>
          <t>R</t>
        </is>
      </c>
      <c r="Y341" s="9" t="inlineStr">
        <is>
          <t>Radiocarbon dating, calibration and sequencing</t>
        </is>
      </c>
      <c r="Z341" s="9" t="inlineStr">
        <is>
          <t>Chronological modelling</t>
        </is>
      </c>
      <c r="AA341" s="9" t="n"/>
      <c r="AB341" s="9" t="n"/>
      <c r="AC341" s="9" t="n"/>
      <c r="AD341" s="9" t="n"/>
      <c r="AE341" s="10" t="inlineStr">
        <is>
          <t>https://archive.org/details/github.com-ISAAKiel-oxcAAR_-_2021-07-05_16-54-08</t>
        </is>
      </c>
      <c r="AF341" s="9" t="n"/>
      <c r="AG341" s="9" t="n"/>
    </row>
    <row r="342">
      <c r="A342" s="9" t="inlineStr">
        <is>
          <t>p2pPerm</t>
        </is>
      </c>
      <c r="B342" s="9" t="inlineStr">
        <is>
          <t>A function for retrieving metrics for resistance-resilience from rcarbon permTest objects.</t>
        </is>
      </c>
      <c r="C342" s="10" t="inlineStr">
        <is>
          <t>https://github.com/philriris/p2pPerm</t>
        </is>
      </c>
      <c r="D342" s="9" t="n"/>
      <c r="E342" s="9" t="n"/>
      <c r="F342" s="9" t="n"/>
      <c r="G342" s="9" t="n"/>
      <c r="H342" s="9" t="n"/>
      <c r="I342" s="9" t="n"/>
      <c r="J342" s="9" t="n"/>
      <c r="K342" s="9" t="n"/>
      <c r="L342" s="9" t="n"/>
      <c r="M342" s="9" t="n"/>
      <c r="N342" s="9" t="n"/>
      <c r="O342" s="9" t="n"/>
      <c r="P342" s="9" t="n"/>
      <c r="Q342" s="9" t="inlineStr">
        <is>
          <t>philriris</t>
        </is>
      </c>
      <c r="R342" s="9" t="n"/>
      <c r="S342" s="9" t="n"/>
      <c r="T342" s="9" t="n"/>
      <c r="U342" s="9" t="n"/>
      <c r="V342" s="9" t="n"/>
      <c r="W342" s="9" t="inlineStr">
        <is>
          <t>Scripts</t>
        </is>
      </c>
      <c r="X342" s="9" t="inlineStr">
        <is>
          <t>R</t>
        </is>
      </c>
      <c r="Y342" s="9" t="inlineStr">
        <is>
          <t>Radiocarbon dating, calibration and sequencing</t>
        </is>
      </c>
      <c r="Z342" s="9" t="inlineStr">
        <is>
          <t>Statistical analysis</t>
        </is>
      </c>
      <c r="AA342" s="9" t="n"/>
      <c r="AB342" s="9" t="n"/>
      <c r="AC342" s="9" t="n"/>
      <c r="AD342" s="9" t="n"/>
      <c r="AE342" s="10" t="inlineStr">
        <is>
          <t>https://archive.org/details/github.com-philriris-p2pPerm_-_2021-07-02_10-58-34</t>
        </is>
      </c>
      <c r="AF342" s="9" t="n"/>
      <c r="AG342" s="9" t="n"/>
    </row>
    <row r="343">
      <c r="A343" s="9" t="inlineStr">
        <is>
          <t>p3k14c</t>
        </is>
      </c>
      <c r="B343" s="9" t="inlineStr">
        <is>
          <t>Global archaeological radiocarbon dataset</t>
        </is>
      </c>
      <c r="C343" s="10" t="inlineStr">
        <is>
          <t>https://github.com/people3k/p3k14c</t>
        </is>
      </c>
      <c r="D343" s="9" t="n"/>
      <c r="E343" s="9" t="n"/>
      <c r="F343" s="9" t="n"/>
      <c r="G343" s="9" t="n"/>
      <c r="H343" s="9" t="n"/>
      <c r="I343" s="9" t="n"/>
      <c r="J343" s="9" t="n"/>
      <c r="K343" s="9" t="n"/>
      <c r="L343" s="9" t="n"/>
      <c r="M343" s="9" t="n"/>
      <c r="N343" s="9" t="n"/>
      <c r="O343" s="9" t="n"/>
      <c r="P343" s="9" t="inlineStr">
        <is>
          <t>10.1038/s41597-022-01118-7</t>
        </is>
      </c>
      <c r="Q343" s="9" t="inlineStr">
        <is>
          <t>people3k</t>
        </is>
      </c>
      <c r="R343" s="9" t="n"/>
      <c r="S343" s="9" t="n"/>
      <c r="T343" s="9" t="n"/>
      <c r="U343" s="9" t="n"/>
      <c r="V343" s="9" t="n"/>
      <c r="W343" s="9" t="inlineStr">
        <is>
          <t>Lists and datasets</t>
        </is>
      </c>
      <c r="X343" s="9" t="n"/>
      <c r="Y343" s="9" t="inlineStr">
        <is>
          <t>Radiocarbon dating, calibration and sequencing</t>
        </is>
      </c>
      <c r="Z343" s="9" t="inlineStr">
        <is>
          <t>Datasets</t>
        </is>
      </c>
      <c r="AA343" s="9" t="n"/>
      <c r="AB343" s="9" t="n"/>
      <c r="AC343" s="9" t="n"/>
      <c r="AD343" s="9" t="n"/>
      <c r="AE343" s="9" t="n"/>
      <c r="AF343" s="9" t="n"/>
      <c r="AG343" s="9" t="n"/>
    </row>
    <row r="344">
      <c r="A344" s="9" t="inlineStr">
        <is>
          <t>p3k14c-data-scrubbing</t>
        </is>
      </c>
      <c r="B344" s="9" t="inlineStr">
        <is>
          <t>Scrubbing program for the global archaeological radiocarbon dataset</t>
        </is>
      </c>
      <c r="C344" s="10" t="inlineStr">
        <is>
          <t>https://github.com/people3k/p3k14c-data-scrubbing</t>
        </is>
      </c>
      <c r="D344" s="9" t="n"/>
      <c r="E344" s="9" t="n"/>
      <c r="F344" s="9" t="n"/>
      <c r="G344" s="9" t="n"/>
      <c r="H344" s="9" t="n"/>
      <c r="I344" s="9" t="n"/>
      <c r="J344" s="9" t="n"/>
      <c r="K344" s="9" t="n"/>
      <c r="L344" s="9" t="n"/>
      <c r="M344" s="9" t="n"/>
      <c r="N344" s="9" t="n"/>
      <c r="O344" s="9" t="n"/>
      <c r="P344" s="9" t="n"/>
      <c r="Q344" s="9" t="inlineStr">
        <is>
          <t>people3k</t>
        </is>
      </c>
      <c r="R344" s="9" t="n"/>
      <c r="S344" s="9" t="n"/>
      <c r="T344" s="9" t="n"/>
      <c r="U344" s="9" t="n"/>
      <c r="V344" s="9" t="n"/>
      <c r="W344" s="9" t="inlineStr">
        <is>
          <t>Packages and libraries</t>
        </is>
      </c>
      <c r="X344" s="9" t="inlineStr">
        <is>
          <t>Python</t>
        </is>
      </c>
      <c r="Y344" s="9" t="inlineStr">
        <is>
          <t>Radiocarbon dating, calibration and sequencing</t>
        </is>
      </c>
      <c r="Z344" s="9" t="inlineStr">
        <is>
          <t>Data management</t>
        </is>
      </c>
      <c r="AA344" s="9" t="n"/>
      <c r="AB344" s="9" t="n"/>
      <c r="AC344" s="9" t="n"/>
      <c r="AD344" s="9" t="n"/>
      <c r="AE344" s="9" t="n"/>
      <c r="AF344" s="9" t="n"/>
      <c r="AG344" s="9" t="n"/>
    </row>
    <row r="345">
      <c r="A345" s="9" t="inlineStr">
        <is>
          <t>paleocar</t>
        </is>
      </c>
      <c r="B345" s="9" t="inlineStr">
        <is>
          <t>An R package implementing functions to perform spatio-temporal paleoclimate reconstruction from tree-rings using the CAR (Correlation Adjusted corRelation) approach of Zuber and Strimmer.</t>
        </is>
      </c>
      <c r="C345" s="10" t="inlineStr">
        <is>
          <t>https://github.com/bocinsky/paleocar</t>
        </is>
      </c>
      <c r="D345" s="9" t="n"/>
      <c r="E345" s="9" t="n"/>
      <c r="F345" s="9" t="n"/>
      <c r="G345" s="9" t="n"/>
      <c r="H345" s="9" t="n"/>
      <c r="I345" s="9" t="n"/>
      <c r="J345" s="9" t="n"/>
      <c r="K345" s="9" t="n"/>
      <c r="L345" s="9" t="n"/>
      <c r="M345" s="9" t="n"/>
      <c r="N345" s="9" t="n"/>
      <c r="O345" s="9" t="n"/>
      <c r="P345" s="9" t="n"/>
      <c r="Q345" s="9" t="inlineStr">
        <is>
          <t>bocinsky</t>
        </is>
      </c>
      <c r="R345" s="9" t="n"/>
      <c r="S345" s="9" t="n"/>
      <c r="T345" s="9" t="n"/>
      <c r="U345" s="9" t="n"/>
      <c r="V345" s="9" t="n"/>
      <c r="W345" s="9" t="inlineStr">
        <is>
          <t>Packages and libraries</t>
        </is>
      </c>
      <c r="X345" s="9" t="inlineStr">
        <is>
          <t>R</t>
        </is>
      </c>
      <c r="Y345" s="9" t="inlineStr">
        <is>
          <t>Palaeobotany</t>
        </is>
      </c>
      <c r="Z345" s="9" t="inlineStr">
        <is>
          <t>Statistical analysis</t>
        </is>
      </c>
      <c r="AA345" s="9" t="n"/>
      <c r="AB345" s="9" t="n"/>
      <c r="AC345" s="9" t="n"/>
      <c r="AD345" s="9" t="n"/>
      <c r="AE345" s="10" t="inlineStr">
        <is>
          <t>https://archive.org/details/github.com-bocinsky-paleocar_-_2021-02-04_20-42-19</t>
        </is>
      </c>
      <c r="AF345" s="9" t="n"/>
      <c r="AG345" s="9" t="n"/>
    </row>
    <row r="346">
      <c r="A346" s="9" t="inlineStr">
        <is>
          <t>paleocore</t>
        </is>
      </c>
      <c r="B346" s="9" t="inlineStr">
        <is>
          <t>Towards a data standard for paleoanthropology.</t>
        </is>
      </c>
      <c r="C346" s="10" t="inlineStr">
        <is>
          <t>https://github.com/paleocore/paleocore-retired</t>
        </is>
      </c>
      <c r="D346" s="9" t="n"/>
      <c r="E346" s="9" t="n"/>
      <c r="F346" s="9" t="n"/>
      <c r="G346" s="9" t="n"/>
      <c r="H346" s="9" t="n"/>
      <c r="I346" s="9" t="n"/>
      <c r="J346" s="9" t="n"/>
      <c r="K346" s="9" t="n"/>
      <c r="L346" s="9" t="n"/>
      <c r="M346" s="9" t="n"/>
      <c r="N346" s="10" t="inlineStr">
        <is>
          <t>https://paleocore.org/</t>
        </is>
      </c>
      <c r="O346" s="9" t="n"/>
      <c r="P346" s="9" t="n"/>
      <c r="Q346" s="9" t="inlineStr">
        <is>
          <t>paleocore</t>
        </is>
      </c>
      <c r="R346" s="9" t="n"/>
      <c r="S346" s="9" t="n"/>
      <c r="T346" s="9" t="n"/>
      <c r="U346" s="9" t="n"/>
      <c r="V346" s="9" t="n"/>
      <c r="W346" s="9" t="inlineStr">
        <is>
          <t>Standalone software</t>
        </is>
      </c>
      <c r="X346" s="9" t="n"/>
      <c r="Y346" s="9" t="inlineStr">
        <is>
          <t>Platforms and publications</t>
        </is>
      </c>
      <c r="Z346" s="9" t="n"/>
      <c r="AA346" s="9" t="n"/>
      <c r="AB346" s="9" t="n"/>
      <c r="AC346" s="9" t="n"/>
      <c r="AD346" s="9" t="n"/>
      <c r="AE346" s="10" t="inlineStr">
        <is>
          <t>https://archive.org/details/github.com-paleocore-paleocore-retired_-_2018-01-05_20-00-41</t>
        </is>
      </c>
      <c r="AF346" s="9" t="n"/>
      <c r="AG346" s="9" t="n"/>
    </row>
    <row r="347">
      <c r="A347" s="9" t="inlineStr">
        <is>
          <t>paleocoreR</t>
        </is>
      </c>
      <c r="B347" s="9" t="inlineStr">
        <is>
          <t>R package for interacting with the Paleocore API</t>
        </is>
      </c>
      <c r="C347" s="10" t="inlineStr">
        <is>
          <t>https://github.com/paleocore/paleocoreR</t>
        </is>
      </c>
      <c r="D347" s="9" t="n"/>
      <c r="E347" s="9" t="n"/>
      <c r="F347" s="9" t="n"/>
      <c r="G347" s="9" t="n"/>
      <c r="H347" s="9" t="n"/>
      <c r="I347" s="9" t="n"/>
      <c r="J347" s="9" t="n"/>
      <c r="K347" s="9" t="n"/>
      <c r="L347" s="9" t="n"/>
      <c r="M347" s="9" t="n"/>
      <c r="N347" s="10" t="inlineStr">
        <is>
          <t>http://paleocore.github.io/paleocoreR/</t>
        </is>
      </c>
      <c r="O347" s="9" t="n"/>
      <c r="P347" s="9" t="n"/>
      <c r="Q347" s="9" t="inlineStr">
        <is>
          <t>paleocore</t>
        </is>
      </c>
      <c r="R347" s="9" t="n"/>
      <c r="S347" s="9" t="n"/>
      <c r="T347" s="9" t="n"/>
      <c r="U347" s="9" t="n"/>
      <c r="V347" s="9" t="n"/>
      <c r="W347" s="9" t="inlineStr">
        <is>
          <t>Packages and libraries</t>
        </is>
      </c>
      <c r="X347" s="9" t="inlineStr">
        <is>
          <t>R</t>
        </is>
      </c>
      <c r="Y347" s="9" t="inlineStr">
        <is>
          <t>API interfaces and web scrapers</t>
        </is>
      </c>
      <c r="Z347" s="9" t="n"/>
      <c r="AA347" s="9" t="n"/>
      <c r="AB347" s="9" t="n"/>
      <c r="AC347" s="9" t="n"/>
      <c r="AD347" s="9" t="n"/>
      <c r="AE347" s="10" t="inlineStr">
        <is>
          <t>https://archive.org/details/github.com-paleocore-paleocoreR_-_2014-07-18_20-59-37</t>
        </is>
      </c>
      <c r="AF347" s="9" t="n"/>
      <c r="AG347" s="9" t="n"/>
    </row>
    <row r="348">
      <c r="A348" s="9" t="inlineStr">
        <is>
          <t>paleofire</t>
        </is>
      </c>
      <c r="B348" s="9" t="inlineStr">
        <is>
          <t>An R package to analyse sedimentary charcoal records from the Global Charcoal Database to reconstruct past biomass burning</t>
        </is>
      </c>
      <c r="C348" s="10" t="inlineStr">
        <is>
          <t>https://github.com/oblarquez/paleofire</t>
        </is>
      </c>
      <c r="D348" s="9" t="n"/>
      <c r="E348" s="9" t="n"/>
      <c r="F348" s="9" t="n"/>
      <c r="G348" s="9" t="n"/>
      <c r="H348" s="9" t="n"/>
      <c r="I348" s="9" t="n"/>
      <c r="J348" s="9" t="n"/>
      <c r="K348" s="9" t="n"/>
      <c r="L348" s="9" t="n"/>
      <c r="M348" s="9" t="n"/>
      <c r="N348" s="10" t="inlineStr">
        <is>
          <t>https://www.gpwg.paleofire.org/</t>
        </is>
      </c>
      <c r="O348" s="9" t="n"/>
      <c r="P348" s="9" t="n"/>
      <c r="Q348" s="9" t="inlineStr">
        <is>
          <t>oblarquez</t>
        </is>
      </c>
      <c r="R348" s="9" t="n"/>
      <c r="S348" s="9" t="n"/>
      <c r="T348" s="9" t="n"/>
      <c r="U348" s="9" t="n"/>
      <c r="V348" s="9" t="n"/>
      <c r="W348" s="9" t="inlineStr">
        <is>
          <t>Packages and libraries</t>
        </is>
      </c>
      <c r="X348" s="9" t="inlineStr">
        <is>
          <t>R</t>
        </is>
      </c>
      <c r="Y348" s="9" t="inlineStr">
        <is>
          <t>API interfaces and web scrapers</t>
        </is>
      </c>
      <c r="Z348" s="9" t="inlineStr">
        <is>
          <t>Palaeoclimate modelling</t>
        </is>
      </c>
      <c r="AA348" s="9" t="n"/>
      <c r="AB348" s="9" t="n"/>
      <c r="AC348" s="9" t="n"/>
      <c r="AD348" s="9" t="n"/>
      <c r="AE348" s="10" t="inlineStr">
        <is>
          <t>https://archive.org/details/github.com-oblarquez-paleofire_-_2020-02-14_20-29-05</t>
        </is>
      </c>
      <c r="AF348" s="9" t="n"/>
      <c r="AG348" s="9" t="n"/>
    </row>
    <row r="349">
      <c r="A349" s="9" t="inlineStr">
        <is>
          <t>paleoxrf</t>
        </is>
      </c>
      <c r="B349" s="9" t="inlineStr">
        <is>
          <t>The goal of paleoxrf is to simplify reading data from Acadia's paleoenvironmental X-Ray Fluorescence laboratory</t>
        </is>
      </c>
      <c r="C349" s="10" t="inlineStr">
        <is>
          <t>https://github.com/paleolimbot/paleoxrf</t>
        </is>
      </c>
      <c r="D349" s="9" t="n"/>
      <c r="E349" s="9" t="n"/>
      <c r="F349" s="9" t="n"/>
      <c r="G349" s="9" t="n"/>
      <c r="H349" s="9" t="n"/>
      <c r="I349" s="9" t="n"/>
      <c r="J349" s="9" t="n"/>
      <c r="K349" s="9" t="n"/>
      <c r="L349" s="9" t="n"/>
      <c r="M349" s="9" t="n"/>
      <c r="N349" s="9" t="n"/>
      <c r="O349" s="9" t="n"/>
      <c r="P349" s="9" t="n"/>
      <c r="Q349" s="9" t="inlineStr">
        <is>
          <t>paleolimbot</t>
        </is>
      </c>
      <c r="R349" s="9" t="n"/>
      <c r="S349" s="9" t="n"/>
      <c r="T349" s="9" t="n"/>
      <c r="U349" s="9" t="n"/>
      <c r="V349" s="9" t="n"/>
      <c r="W349" s="9" t="inlineStr">
        <is>
          <t>Packages and libraries</t>
        </is>
      </c>
      <c r="X349" s="9" t="inlineStr">
        <is>
          <t>R</t>
        </is>
      </c>
      <c r="Y349" s="9" t="inlineStr">
        <is>
          <t>X-Ray Fluorescence</t>
        </is>
      </c>
      <c r="Z349" s="9" t="n"/>
      <c r="AA349" s="9" t="n"/>
      <c r="AB349" s="9" t="n"/>
      <c r="AC349" s="9" t="n"/>
      <c r="AD349" s="9" t="n"/>
      <c r="AE349" s="10" t="inlineStr">
        <is>
          <t>https://archive.org/details/github.com-paleolimbot-paleoxrf_-_2019-04-01_17-07-08</t>
        </is>
      </c>
      <c r="AF349" s="9" t="n"/>
      <c r="AG349" s="9" t="n"/>
    </row>
    <row r="350">
      <c r="A350" s="9" t="inlineStr">
        <is>
          <t>pastclim</t>
        </is>
      </c>
      <c r="B350" s="9" t="inlineStr">
        <is>
          <t>Methods to easily extract and manipulate palaeoclimate reconstructions for ecological and anthropological analyses.</t>
        </is>
      </c>
      <c r="C350" s="10" t="inlineStr">
        <is>
          <t>https://github.com/EvolEcolGroup/pastclim/</t>
        </is>
      </c>
      <c r="D350" s="9" t="n"/>
      <c r="E350" s="9" t="n"/>
      <c r="F350" s="9" t="n"/>
      <c r="G350" s="9" t="n"/>
      <c r="H350" s="9" t="n"/>
      <c r="I350" s="9" t="n"/>
      <c r="J350" s="9" t="n"/>
      <c r="K350" s="10" t="inlineStr">
        <is>
          <t>https://cran.r-project.org/package=pastclim</t>
        </is>
      </c>
      <c r="L350" s="9" t="n"/>
      <c r="M350" s="9" t="n"/>
      <c r="N350" s="10" t="inlineStr">
        <is>
          <t>https://evolecolgroup.github.io/pastclim/</t>
        </is>
      </c>
      <c r="O350" s="9" t="n"/>
      <c r="P350" s="9" t="n"/>
      <c r="Q350" s="9" t="inlineStr">
        <is>
          <t>EvolEcolGroup</t>
        </is>
      </c>
      <c r="R350" s="9" t="inlineStr">
        <is>
          <t>Michela Leonardi</t>
        </is>
      </c>
      <c r="S350" s="9" t="inlineStr">
        <is>
          <t>Emily Y. Hallet</t>
        </is>
      </c>
      <c r="T350" s="9" t="inlineStr">
        <is>
          <t>Robert Beyer</t>
        </is>
      </c>
      <c r="U350" s="9" t="inlineStr">
        <is>
          <t>Mario Krapp</t>
        </is>
      </c>
      <c r="V350" s="9" t="inlineStr">
        <is>
          <t>Andrea Manica</t>
        </is>
      </c>
      <c r="W350" s="9" t="inlineStr">
        <is>
          <t>Packages and libraries</t>
        </is>
      </c>
      <c r="X350" s="9" t="inlineStr">
        <is>
          <t>R</t>
        </is>
      </c>
      <c r="Y350" s="9" t="inlineStr">
        <is>
          <t>Simulation</t>
        </is>
      </c>
      <c r="Z350" s="9" t="inlineStr">
        <is>
          <t>Palaeoclimate modelling</t>
        </is>
      </c>
      <c r="AA350" s="9" t="n"/>
      <c r="AB350" s="9" t="n"/>
      <c r="AC350" s="9" t="n"/>
      <c r="AD350" s="9" t="n"/>
      <c r="AE350" s="9" t="n"/>
      <c r="AF350" s="9" t="n"/>
      <c r="AG350" s="9" t="n"/>
    </row>
    <row r="351">
      <c r="A351" s="9" t="inlineStr">
        <is>
          <t>pathAAR</t>
        </is>
      </c>
      <c r="B351" s="9" t="inlineStr">
        <is>
          <t>R Package to reconstruct paths using archaeological monuments, model parameters of infrastructure and evaluate those parameters, model parameters of infrastructure and evaluate those parameters.</t>
        </is>
      </c>
      <c r="C351" s="10" t="inlineStr">
        <is>
          <t>https://github.com/ISAAKiel/pathAAR</t>
        </is>
      </c>
      <c r="D351" s="9" t="n"/>
      <c r="E351" s="9" t="n"/>
      <c r="F351" s="9" t="n"/>
      <c r="G351" s="9" t="n"/>
      <c r="H351" s="9" t="n"/>
      <c r="I351" s="9" t="n"/>
      <c r="J351" s="9" t="n"/>
      <c r="K351" s="9" t="n"/>
      <c r="L351" s="9" t="n"/>
      <c r="M351" s="9" t="n"/>
      <c r="N351" s="9" t="n"/>
      <c r="O351" s="9" t="n"/>
      <c r="P351" s="9" t="n"/>
      <c r="Q351" s="9" t="inlineStr">
        <is>
          <t>ISAAKiel</t>
        </is>
      </c>
      <c r="R351" s="9" t="n"/>
      <c r="S351" s="9" t="n"/>
      <c r="T351" s="9" t="n"/>
      <c r="U351" s="9" t="n"/>
      <c r="V351" s="9" t="n"/>
      <c r="W351" s="9" t="inlineStr">
        <is>
          <t>Packages and libraries</t>
        </is>
      </c>
      <c r="X351" s="9" t="inlineStr">
        <is>
          <t>R</t>
        </is>
      </c>
      <c r="Y351" s="9" t="inlineStr">
        <is>
          <t>Spatial analysis</t>
        </is>
      </c>
      <c r="Z351" s="9" t="n"/>
      <c r="AA351" s="9" t="n"/>
      <c r="AB351" s="9" t="n"/>
      <c r="AC351" s="9" t="n"/>
      <c r="AD351" s="9" t="n"/>
      <c r="AE351" s="10" t="inlineStr">
        <is>
          <t>https://archive.org/details/github.com-ISAAKiel-pathAAR_-_2020-11-02_14-32-45</t>
        </is>
      </c>
      <c r="AF351" s="9" t="n"/>
      <c r="AG351" s="9" t="n"/>
    </row>
    <row r="352">
      <c r="A352" s="9" t="inlineStr">
        <is>
          <t>PAThs Simple Vectorization Protocol</t>
        </is>
      </c>
      <c r="B352" s="9" t="inlineStr">
        <is>
          <t>Protocol to vecotorize archaeological or architectonic legacy data.</t>
        </is>
      </c>
      <c r="C352" s="9" t="n"/>
      <c r="D352" s="9" t="n"/>
      <c r="E352" s="9" t="n"/>
      <c r="F352" s="9" t="n"/>
      <c r="G352" s="9" t="n"/>
      <c r="H352" s="9" t="n"/>
      <c r="I352" s="9" t="n"/>
      <c r="J352" s="9" t="n"/>
      <c r="K352" s="9" t="n"/>
      <c r="L352" s="9" t="n"/>
      <c r="M352" s="9" t="n"/>
      <c r="N352" s="10" t="inlineStr">
        <is>
          <t>https://docs.paths-erc.eu/data/svp</t>
        </is>
      </c>
      <c r="O352" s="9" t="n"/>
      <c r="P352" s="9" t="n"/>
      <c r="Q352" s="9" t="inlineStr">
        <is>
          <t>PAThs</t>
        </is>
      </c>
      <c r="R352" s="9" t="n"/>
      <c r="S352" s="9" t="n"/>
      <c r="T352" s="9" t="n"/>
      <c r="U352" s="9" t="n"/>
      <c r="V352" s="9" t="n"/>
      <c r="W352" s="9" t="inlineStr">
        <is>
          <t>Guides</t>
        </is>
      </c>
      <c r="X352" s="9" t="n"/>
      <c r="Y352" s="9" t="inlineStr">
        <is>
          <t>Site mapping</t>
        </is>
      </c>
      <c r="Z352" s="9" t="inlineStr">
        <is>
          <t>3D modelling</t>
        </is>
      </c>
      <c r="AA352" s="9" t="n"/>
      <c r="AB352" s="9" t="n"/>
      <c r="AC352" s="9" t="n"/>
      <c r="AD352" s="9" t="n"/>
      <c r="AE352" s="9" t="n"/>
      <c r="AF352" s="9" t="n"/>
      <c r="AG352" s="9" t="n"/>
    </row>
    <row r="353">
      <c r="A353" s="9" t="inlineStr">
        <is>
          <t>pdf-to-nested-xml</t>
        </is>
      </c>
      <c r="B353" s="9" t="inlineStr">
        <is>
          <t>Script to convert a folder of Dutch archaeological reports (PDFs) to XML files nested by section, chapter, heading.</t>
        </is>
      </c>
      <c r="C353" s="10" t="inlineStr">
        <is>
          <t>https://github.com/alexbrandsen/pdf-to-nested-xml</t>
        </is>
      </c>
      <c r="D353" s="9" t="n"/>
      <c r="E353" s="9" t="n"/>
      <c r="F353" s="9" t="n"/>
      <c r="G353" s="9" t="n"/>
      <c r="H353" s="9" t="n"/>
      <c r="I353" s="9" t="n"/>
      <c r="J353" s="9" t="n"/>
      <c r="K353" s="9" t="n"/>
      <c r="L353" s="9" t="n"/>
      <c r="M353" s="9" t="n"/>
      <c r="N353" s="9" t="n"/>
      <c r="O353" s="9" t="n"/>
      <c r="P353" s="9" t="n"/>
      <c r="Q353" s="9" t="inlineStr">
        <is>
          <t>alexbrandsen</t>
        </is>
      </c>
      <c r="R353" s="9" t="n"/>
      <c r="S353" s="9" t="n"/>
      <c r="T353" s="9" t="n"/>
      <c r="U353" s="9" t="n"/>
      <c r="V353" s="9" t="n"/>
      <c r="W353" s="9" t="inlineStr">
        <is>
          <t>Scripts</t>
        </is>
      </c>
      <c r="X353" s="9" t="inlineStr">
        <is>
          <t>Python</t>
        </is>
      </c>
      <c r="Y353" s="9" t="inlineStr">
        <is>
          <t>Bits and bobs</t>
        </is>
      </c>
      <c r="Z353" s="9" t="inlineStr">
        <is>
          <t>Writing</t>
        </is>
      </c>
      <c r="AA353" s="9" t="n"/>
      <c r="AB353" s="9" t="n"/>
      <c r="AC353" s="9" t="n"/>
      <c r="AD353" s="9" t="n"/>
      <c r="AE353" s="9" t="n"/>
      <c r="AF353" s="9" t="n"/>
      <c r="AG353" s="9" t="n"/>
    </row>
    <row r="354">
      <c r="A354" s="9" t="inlineStr">
        <is>
          <t>pe-dictionary</t>
        </is>
      </c>
      <c r="B354" s="9" t="inlineStr">
        <is>
          <t>Proto-Elamite sign list.</t>
        </is>
      </c>
      <c r="C354" s="10" t="inlineStr">
        <is>
          <t>https://github.com/willismonroe/pe-dictionary</t>
        </is>
      </c>
      <c r="D354" s="9" t="n"/>
      <c r="E354" s="9" t="n"/>
      <c r="F354" s="9" t="n"/>
      <c r="G354" s="9" t="n"/>
      <c r="H354" s="9" t="n"/>
      <c r="I354" s="9" t="n"/>
      <c r="J354" s="9" t="n"/>
      <c r="K354" s="9" t="n"/>
      <c r="L354" s="9" t="n"/>
      <c r="M354" s="9" t="n"/>
      <c r="N354" s="9" t="n"/>
      <c r="O354" s="9" t="n"/>
      <c r="P354" s="9" t="n"/>
      <c r="Q354" s="9" t="inlineStr">
        <is>
          <t>willismonroe</t>
        </is>
      </c>
      <c r="R354" s="9" t="n"/>
      <c r="S354" s="9" t="n"/>
      <c r="T354" s="9" t="n"/>
      <c r="U354" s="9" t="n"/>
      <c r="V354" s="9" t="n"/>
      <c r="W354" s="9" t="inlineStr">
        <is>
          <t>Lists and datasets</t>
        </is>
      </c>
      <c r="X354" s="9" t="n"/>
      <c r="Y354" s="9" t="inlineStr">
        <is>
          <t>Datasets</t>
        </is>
      </c>
      <c r="Z354" s="9" t="inlineStr">
        <is>
          <t>Literary analysis and epigraphy</t>
        </is>
      </c>
      <c r="AA354" s="9" t="n"/>
      <c r="AB354" s="9" t="n"/>
      <c r="AC354" s="9" t="n"/>
      <c r="AD354" s="9" t="n"/>
      <c r="AE354" s="10" t="inlineStr">
        <is>
          <t>https://archive.org/details/github.com-willismonroe-pe-dictionary_-_2021-06-17_05-04-27</t>
        </is>
      </c>
      <c r="AF354" s="9" t="n"/>
      <c r="AG354" s="9" t="n"/>
    </row>
    <row r="355">
      <c r="A355" s="9" t="inlineStr">
        <is>
          <t>photogrammetry_datasets</t>
        </is>
      </c>
      <c r="B355" s="9" t="inlineStr">
        <is>
          <t>This is a collection of datasets for photogrammetry.</t>
        </is>
      </c>
      <c r="C355" s="10" t="inlineStr">
        <is>
          <t>https://github.com/natowi/photogrammetry_datasets</t>
        </is>
      </c>
      <c r="D355" s="9" t="n"/>
      <c r="E355" s="9" t="n"/>
      <c r="F355" s="9" t="n"/>
      <c r="G355" s="9" t="n"/>
      <c r="H355" s="9" t="n"/>
      <c r="I355" s="9" t="n"/>
      <c r="J355" s="9" t="n"/>
      <c r="K355" s="9" t="n"/>
      <c r="L355" s="9" t="n"/>
      <c r="M355" s="9" t="n"/>
      <c r="N355" s="9" t="n"/>
      <c r="O355" s="9" t="n"/>
      <c r="P355" s="9" t="n"/>
      <c r="Q355" s="9" t="inlineStr">
        <is>
          <t>culturalheritageimaging</t>
        </is>
      </c>
      <c r="R355" s="9" t="n"/>
      <c r="S355" s="9" t="n"/>
      <c r="T355" s="9" t="n"/>
      <c r="U355" s="9" t="n"/>
      <c r="V355" s="9" t="n"/>
      <c r="W355" s="9" t="inlineStr">
        <is>
          <t>Lists and datasets</t>
        </is>
      </c>
      <c r="X355" s="9" t="n"/>
      <c r="Y355" s="9" t="inlineStr">
        <is>
          <t>Photogrammetry</t>
        </is>
      </c>
      <c r="Z355" s="9" t="n"/>
      <c r="AA355" s="9" t="n"/>
      <c r="AB355" s="9" t="n"/>
      <c r="AC355" s="9" t="n"/>
      <c r="AD355" s="9" t="n"/>
      <c r="AE355" s="10" t="inlineStr">
        <is>
          <t>https://archive.org/details/github.com-natowi-photogrammetry_datasets_-_2020-11-19_10-57-37</t>
        </is>
      </c>
      <c r="AF355" s="9" t="n"/>
      <c r="AG355" s="9" t="n"/>
    </row>
    <row r="356">
      <c r="A356" s="9" t="inlineStr">
        <is>
          <t>photogrammetry-object-scannner</t>
        </is>
      </c>
      <c r="B356" s="9" t="inlineStr">
        <is>
          <t>Created for the very-specific purpose of communicating via android with a raspberry pi running a scanner.</t>
        </is>
      </c>
      <c r="C356" s="10" t="inlineStr">
        <is>
          <t>https://github.com/anatolian/photogrammetry-object-scannner</t>
        </is>
      </c>
      <c r="D356" s="9" t="n"/>
      <c r="E356" s="9" t="n"/>
      <c r="F356" s="9" t="n"/>
      <c r="G356" s="9" t="n"/>
      <c r="H356" s="9" t="n"/>
      <c r="I356" s="9" t="n"/>
      <c r="J356" s="9" t="n"/>
      <c r="K356" s="9" t="n"/>
      <c r="L356" s="9" t="n"/>
      <c r="M356" s="9" t="n"/>
      <c r="N356" s="9" t="n"/>
      <c r="O356" s="9" t="n"/>
      <c r="P356" s="9" t="n"/>
      <c r="Q356" s="9" t="inlineStr">
        <is>
          <t>anatolian</t>
        </is>
      </c>
      <c r="R356" s="9" t="n"/>
      <c r="S356" s="9" t="n"/>
      <c r="T356" s="9" t="n"/>
      <c r="U356" s="9" t="n"/>
      <c r="V356" s="9" t="n"/>
      <c r="W356" s="9" t="inlineStr">
        <is>
          <t>Standalone software</t>
        </is>
      </c>
      <c r="X356" s="9" t="n"/>
      <c r="Y356" s="9" t="inlineStr">
        <is>
          <t>Photogrammetry</t>
        </is>
      </c>
      <c r="Z356" s="9" t="n"/>
      <c r="AA356" s="9" t="n"/>
      <c r="AB356" s="9" t="n"/>
      <c r="AC356" s="9" t="n"/>
      <c r="AD356" s="9" t="n"/>
      <c r="AE356" s="10" t="inlineStr">
        <is>
          <t>https://archive.org/details/github.com-anatolian-photogrammetry-object-scannner_-_2019-06-22_03-21-09</t>
        </is>
      </c>
      <c r="AF356" s="9" t="n"/>
      <c r="AG356" s="9" t="n"/>
    </row>
    <row r="357">
      <c r="A357" s="9" t="inlineStr">
        <is>
          <t>piwigo-3dhop</t>
        </is>
      </c>
      <c r="B357" s="9" t="inlineStr">
        <is>
          <t>Piwigo plugin for viewing 3D models using 3DHOP.</t>
        </is>
      </c>
      <c r="C357" s="10" t="inlineStr">
        <is>
          <t>https://github.com/joeroe/piwigo-3dhop</t>
        </is>
      </c>
      <c r="D357" s="9" t="n"/>
      <c r="E357" s="9" t="n"/>
      <c r="F357" s="9" t="n"/>
      <c r="G357" s="9" t="n"/>
      <c r="H357" s="9" t="n"/>
      <c r="I357" s="9" t="n"/>
      <c r="J357" s="9" t="n"/>
      <c r="K357" s="9" t="n"/>
      <c r="L357" s="9" t="n"/>
      <c r="M357" s="9" t="n"/>
      <c r="N357" s="9" t="n"/>
      <c r="O357" s="9" t="n"/>
      <c r="P357" s="9" t="n"/>
      <c r="Q357" s="9" t="inlineStr">
        <is>
          <t>joeroe</t>
        </is>
      </c>
      <c r="R357" s="9" t="n"/>
      <c r="S357" s="9" t="n"/>
      <c r="T357" s="9" t="n"/>
      <c r="U357" s="9" t="n"/>
      <c r="V357" s="9" t="n"/>
      <c r="W357" s="9" t="inlineStr">
        <is>
          <t>Packages and libraries</t>
        </is>
      </c>
      <c r="X357" s="9" t="inlineStr">
        <is>
          <t>Piwigo</t>
        </is>
      </c>
      <c r="Y357" s="9" t="inlineStr">
        <is>
          <t>3D modelling</t>
        </is>
      </c>
      <c r="Z357" s="9" t="n"/>
      <c r="AA357" s="9" t="n"/>
      <c r="AB357" s="9" t="n"/>
      <c r="AC357" s="9" t="n"/>
      <c r="AD357" s="9" t="n"/>
      <c r="AE357" s="10" t="inlineStr">
        <is>
          <t>https://archive.org/details/github.com-joeroe-piwigo-3dhop_-_2020-08-12_12-09-51</t>
        </is>
      </c>
      <c r="AF357" s="9" t="n"/>
      <c r="AG357" s="9" t="n"/>
    </row>
    <row r="358">
      <c r="A358" s="9" t="inlineStr">
        <is>
          <t>PLC</t>
        </is>
      </c>
      <c r="B358" s="9" t="inlineStr">
        <is>
          <t>Pure Locational Clustering.</t>
        </is>
      </c>
      <c r="C358" s="9" t="n"/>
      <c r="D358" s="9" t="n"/>
      <c r="E358" s="9" t="n"/>
      <c r="F358" s="9" t="n"/>
      <c r="G358" s="9" t="n"/>
      <c r="H358" s="9" t="n"/>
      <c r="I358" s="9" t="n"/>
      <c r="J358" s="9" t="n"/>
      <c r="K358" s="9" t="n"/>
      <c r="L358" s="9" t="n"/>
      <c r="M358" s="9" t="n"/>
      <c r="N358" s="10" t="inlineStr">
        <is>
          <t>http://www.mattpeeples.net/modules/PLC.html</t>
        </is>
      </c>
      <c r="O358" s="9" t="n"/>
      <c r="P358" s="9" t="n"/>
      <c r="Q358" s="9" t="inlineStr">
        <is>
          <t>mpeeples2008</t>
        </is>
      </c>
      <c r="R358" s="9" t="n"/>
      <c r="S358" s="9" t="n"/>
      <c r="T358" s="9" t="n"/>
      <c r="U358" s="9" t="n"/>
      <c r="V358" s="9" t="n"/>
      <c r="W358" s="9" t="inlineStr">
        <is>
          <t>Scripts</t>
        </is>
      </c>
      <c r="X358" s="9" t="inlineStr">
        <is>
          <t>R</t>
        </is>
      </c>
      <c r="Y358" s="9" t="inlineStr">
        <is>
          <t>Statistical analysis</t>
        </is>
      </c>
      <c r="Z358" s="9" t="n"/>
      <c r="AA358" s="9" t="n"/>
      <c r="AB358" s="9" t="n"/>
      <c r="AC358" s="9" t="n"/>
      <c r="AD358" s="9" t="n"/>
      <c r="AE358" s="9" t="n"/>
      <c r="AF358" s="9" t="n"/>
      <c r="AG358" s="9" t="n"/>
    </row>
    <row r="359">
      <c r="A359" s="9" t="inlineStr">
        <is>
          <t>pleiades.datasets</t>
        </is>
      </c>
      <c r="B359" s="9" t="inlineStr">
        <is>
          <t>Platform-independent versions of Pleiades gazetteer data.</t>
        </is>
      </c>
      <c r="C359" s="10" t="inlineStr">
        <is>
          <t>https://github.com/isawnyu/pleiades.datasets</t>
        </is>
      </c>
      <c r="D359" s="9" t="n"/>
      <c r="E359" s="9" t="n"/>
      <c r="F359" s="9" t="n"/>
      <c r="G359" s="9" t="n"/>
      <c r="H359" s="9" t="n"/>
      <c r="I359" s="9" t="n"/>
      <c r="J359" s="9" t="n"/>
      <c r="K359" s="9" t="n"/>
      <c r="L359" s="9" t="n"/>
      <c r="M359" s="9" t="n"/>
      <c r="N359" s="10" t="inlineStr">
        <is>
          <t>https://pleiades.stoa.org/</t>
        </is>
      </c>
      <c r="O359" s="9" t="n"/>
      <c r="P359" s="9" t="inlineStr">
        <is>
          <t>10.5281/zenodo.8206033</t>
        </is>
      </c>
      <c r="Q359" s="9" t="inlineStr">
        <is>
          <t>isawnyu</t>
        </is>
      </c>
      <c r="R359" s="9" t="n"/>
      <c r="S359" s="9" t="n"/>
      <c r="T359" s="9" t="n"/>
      <c r="U359" s="9" t="n"/>
      <c r="V359" s="9" t="n"/>
      <c r="W359" s="9" t="inlineStr">
        <is>
          <t>Lists and datasets</t>
        </is>
      </c>
      <c r="X359" s="9" t="n"/>
      <c r="Y359" s="9" t="inlineStr">
        <is>
          <t>Datasets</t>
        </is>
      </c>
      <c r="Z359" s="9" t="n"/>
      <c r="AA359" s="9" t="n"/>
      <c r="AB359" s="9" t="n"/>
      <c r="AC359" s="9" t="n"/>
      <c r="AD359" s="9" t="n"/>
      <c r="AE359" s="9" t="n"/>
      <c r="AF359" s="9" t="n"/>
      <c r="AG359" s="9" t="n"/>
    </row>
    <row r="360">
      <c r="A360" s="9" t="inlineStr">
        <is>
          <t>PleistoDist</t>
        </is>
      </c>
      <c r="B360" s="9" t="inlineStr">
        <is>
          <t>Distance matrices between islands normalised over Pleistocene time.</t>
        </is>
      </c>
      <c r="C360" s="10" t="inlineStr">
        <is>
          <t>https://github.com/g33k5p34k/PleistoDist</t>
        </is>
      </c>
      <c r="D360" s="9" t="n"/>
      <c r="E360" s="9" t="n"/>
      <c r="F360" s="9" t="n"/>
      <c r="G360" s="9" t="n"/>
      <c r="H360" s="9" t="n"/>
      <c r="I360" s="9" t="n"/>
      <c r="J360" s="9" t="n"/>
      <c r="K360" s="9" t="n"/>
      <c r="L360" s="9" t="n"/>
      <c r="M360" s="9" t="n"/>
      <c r="N360" s="9" t="n"/>
      <c r="O360" s="9" t="n"/>
      <c r="P360" s="9" t="n"/>
      <c r="Q360" s="9" t="inlineStr">
        <is>
          <t>g33k5p34k</t>
        </is>
      </c>
      <c r="R360" s="9" t="n"/>
      <c r="S360" s="9" t="n"/>
      <c r="T360" s="9" t="n"/>
      <c r="U360" s="9" t="n"/>
      <c r="V360" s="9" t="n"/>
      <c r="W360" s="9" t="inlineStr">
        <is>
          <t>Packages and libraries</t>
        </is>
      </c>
      <c r="X360" s="9" t="inlineStr">
        <is>
          <t>ArcGIS</t>
        </is>
      </c>
      <c r="Y360" s="9" t="inlineStr">
        <is>
          <t>Spatial analysis</t>
        </is>
      </c>
      <c r="Z360" s="9" t="n"/>
      <c r="AA360" s="9" t="n"/>
      <c r="AB360" s="9" t="n"/>
      <c r="AC360" s="9" t="n"/>
      <c r="AD360" s="9" t="n"/>
      <c r="AE360" s="9" t="n"/>
      <c r="AF360" s="9" t="n"/>
      <c r="AG360" s="9" t="n"/>
    </row>
    <row r="361">
      <c r="A361" s="9" t="inlineStr">
        <is>
          <t>PleistoDistR</t>
        </is>
      </c>
      <c r="B361" s="9" t="inlineStr">
        <is>
          <t>Distance matrices between islands normalised over Pleistocene time. A complete ground-up rebuild of PleistoDist for use with R.</t>
        </is>
      </c>
      <c r="C361" s="10" t="inlineStr">
        <is>
          <t>https://github.com/g33k5p34k/PleistoDistR</t>
        </is>
      </c>
      <c r="D361" s="9" t="n"/>
      <c r="E361" s="9" t="n"/>
      <c r="F361" s="9" t="n"/>
      <c r="G361" s="9" t="n"/>
      <c r="H361" s="9" t="n"/>
      <c r="I361" s="9" t="n"/>
      <c r="J361" s="9" t="n"/>
      <c r="K361" s="9" t="n"/>
      <c r="L361" s="9" t="n"/>
      <c r="M361" s="9" t="n"/>
      <c r="N361" s="9" t="n"/>
      <c r="O361" s="9" t="n"/>
      <c r="P361" s="9" t="n"/>
      <c r="Q361" s="9" t="inlineStr">
        <is>
          <t>g33k5p34k</t>
        </is>
      </c>
      <c r="R361" s="9" t="n"/>
      <c r="S361" s="9" t="n"/>
      <c r="T361" s="9" t="n"/>
      <c r="U361" s="9" t="n"/>
      <c r="V361" s="9" t="n"/>
      <c r="W361" s="9" t="inlineStr">
        <is>
          <t>Packages and libraries</t>
        </is>
      </c>
      <c r="X361" s="9" t="inlineStr">
        <is>
          <t>R</t>
        </is>
      </c>
      <c r="Y361" s="9" t="inlineStr">
        <is>
          <t>Spatial analysis</t>
        </is>
      </c>
      <c r="Z361" s="9" t="n"/>
      <c r="AA361" s="9" t="n"/>
      <c r="AB361" s="9" t="n"/>
      <c r="AC361" s="9" t="n"/>
      <c r="AD361" s="9" t="n"/>
      <c r="AE361" s="9" t="n"/>
      <c r="AF361" s="9" t="n"/>
      <c r="AG361" s="9" t="n"/>
    </row>
    <row r="362">
      <c r="A362" s="9" t="inlineStr">
        <is>
          <t>Plotting Dental Inventory with ggplot2</t>
        </is>
      </c>
      <c r="B362" s="9" t="inlineStr">
        <is>
          <t>tutorial on an intuitive way to visualise a dental inventory in a sample</t>
        </is>
      </c>
      <c r="C362" s="9" t="n"/>
      <c r="D362" s="9" t="n"/>
      <c r="E362" s="9" t="n"/>
      <c r="F362" s="9" t="n"/>
      <c r="G362" s="9" t="n"/>
      <c r="H362" s="9" t="n"/>
      <c r="I362" s="9" t="n"/>
      <c r="J362" s="9" t="n"/>
      <c r="K362" s="9" t="n"/>
      <c r="L362" s="9" t="n"/>
      <c r="M362" s="9" t="n"/>
      <c r="N362" s="10" t="inlineStr">
        <is>
          <t>https://bbartholdy.github.io/dental-inv-plot/dental-plot.html</t>
        </is>
      </c>
      <c r="O362" s="9" t="n"/>
      <c r="P362" s="9" t="n"/>
      <c r="Q362" s="9" t="inlineStr">
        <is>
          <t>bbartholdy</t>
        </is>
      </c>
      <c r="R362" s="9" t="n"/>
      <c r="S362" s="9" t="n"/>
      <c r="T362" s="9" t="n"/>
      <c r="U362" s="9" t="n"/>
      <c r="V362" s="9" t="n"/>
      <c r="W362" s="9" t="inlineStr">
        <is>
          <t>Guides</t>
        </is>
      </c>
      <c r="X362" s="9" t="n"/>
      <c r="Y362" s="9" t="inlineStr">
        <is>
          <t>Educational resources and practical guides</t>
        </is>
      </c>
      <c r="Z362" s="9" t="inlineStr">
        <is>
          <t>Stable isotope analysis</t>
        </is>
      </c>
      <c r="AA362" s="9" t="inlineStr">
        <is>
          <t>Diagrams and visualizations</t>
        </is>
      </c>
      <c r="AB362" s="9" t="n"/>
      <c r="AC362" s="9" t="n"/>
      <c r="AD362" s="9" t="n"/>
      <c r="AE362" s="9" t="n"/>
      <c r="AF362" s="9" t="n"/>
      <c r="AG362" s="9" t="n"/>
    </row>
    <row r="363">
      <c r="A363" s="9" t="inlineStr">
        <is>
          <t>Pofatu</t>
        </is>
      </c>
      <c r="B363" s="9" t="inlineStr">
        <is>
          <t>An open-access database for geochemical sourcing of archaeological materials.</t>
        </is>
      </c>
      <c r="C363" s="10" t="inlineStr">
        <is>
          <t>https://github.com/pofatu/pofatu-data</t>
        </is>
      </c>
      <c r="D363" s="9" t="n"/>
      <c r="E363" s="9" t="n"/>
      <c r="F363" s="9" t="n"/>
      <c r="G363" s="9" t="n"/>
      <c r="H363" s="9" t="n"/>
      <c r="I363" s="9" t="n"/>
      <c r="J363" s="9" t="n"/>
      <c r="K363" s="9" t="n"/>
      <c r="L363" s="9" t="n"/>
      <c r="M363" s="9" t="n"/>
      <c r="N363" s="10" t="inlineStr">
        <is>
          <t>https://pofatu.clld.org/</t>
        </is>
      </c>
      <c r="O363" s="10" t="inlineStr">
        <is>
          <t>https://doi.org/10.5281/zenodo.4726799</t>
        </is>
      </c>
      <c r="P363" s="9" t="n"/>
      <c r="Q363" s="9" t="inlineStr">
        <is>
          <t>pofatu</t>
        </is>
      </c>
      <c r="R363" s="9" t="n"/>
      <c r="S363" s="9" t="n"/>
      <c r="T363" s="9" t="n"/>
      <c r="U363" s="9" t="n"/>
      <c r="V363" s="9" t="n"/>
      <c r="W363" s="9" t="inlineStr">
        <is>
          <t>Lists and datasets</t>
        </is>
      </c>
      <c r="X363" s="9" t="n"/>
      <c r="Y363" s="9" t="inlineStr">
        <is>
          <t>Datasets</t>
        </is>
      </c>
      <c r="Z363" s="9" t="inlineStr">
        <is>
          <t>Geoarchaeology</t>
        </is>
      </c>
      <c r="AA363" s="9" t="n"/>
      <c r="AB363" s="9" t="n"/>
      <c r="AC363" s="9" t="n"/>
      <c r="AD363" s="9" t="n"/>
      <c r="AE363" s="9" t="n"/>
      <c r="AF363" s="9" t="n"/>
      <c r="AG363" s="9" t="n"/>
    </row>
    <row r="364">
      <c r="A364" s="9" t="inlineStr">
        <is>
          <t>PointPattern</t>
        </is>
      </c>
      <c r="B364" s="9" t="inlineStr">
        <is>
          <t>Point Pattern Analysis.</t>
        </is>
      </c>
      <c r="C364" s="9" t="n"/>
      <c r="D364" s="9" t="n"/>
      <c r="E364" s="9" t="n"/>
      <c r="F364" s="9" t="n"/>
      <c r="G364" s="9" t="n"/>
      <c r="H364" s="9" t="n"/>
      <c r="I364" s="9" t="n"/>
      <c r="J364" s="9" t="n"/>
      <c r="K364" s="9" t="n"/>
      <c r="L364" s="9" t="n"/>
      <c r="M364" s="9" t="n"/>
      <c r="N364" s="10" t="inlineStr">
        <is>
          <t>http://www.mattpeeples.net/modules/PointPattern.html</t>
        </is>
      </c>
      <c r="O364" s="9" t="n"/>
      <c r="P364" s="9" t="n"/>
      <c r="Q364" s="9" t="inlineStr">
        <is>
          <t>mpeeples2008</t>
        </is>
      </c>
      <c r="R364" s="9" t="n"/>
      <c r="S364" s="9" t="n"/>
      <c r="T364" s="9" t="n"/>
      <c r="U364" s="9" t="n"/>
      <c r="V364" s="9" t="n"/>
      <c r="W364" s="9" t="inlineStr">
        <is>
          <t>Scripts</t>
        </is>
      </c>
      <c r="X364" s="9" t="inlineStr">
        <is>
          <t>R</t>
        </is>
      </c>
      <c r="Y364" s="9" t="inlineStr">
        <is>
          <t>Statistical analysis</t>
        </is>
      </c>
      <c r="Z364" s="9" t="n"/>
      <c r="AA364" s="9" t="n"/>
      <c r="AB364" s="9" t="n"/>
      <c r="AC364" s="9" t="n"/>
      <c r="AD364" s="9" t="n"/>
      <c r="AE364" s="9" t="n"/>
      <c r="AF364" s="9" t="n"/>
      <c r="AG364" s="9" t="n"/>
    </row>
    <row r="365">
      <c r="A365" s="9" t="inlineStr">
        <is>
          <t>pollen_data_processing</t>
        </is>
      </c>
      <c r="B365" s="9" t="inlineStr">
        <is>
          <t>some tools in respect to pollen data processing.</t>
        </is>
      </c>
      <c r="C365" s="10" t="inlineStr">
        <is>
          <t>https://github.com/MartinHinz/pollen_data_processing</t>
        </is>
      </c>
      <c r="D365" s="9" t="n"/>
      <c r="E365" s="9" t="n"/>
      <c r="F365" s="9" t="n"/>
      <c r="G365" s="9" t="n"/>
      <c r="H365" s="9" t="n"/>
      <c r="I365" s="9" t="n"/>
      <c r="J365" s="9" t="n"/>
      <c r="K365" s="9" t="n"/>
      <c r="L365" s="9" t="n"/>
      <c r="M365" s="9" t="n"/>
      <c r="N365" s="9" t="n"/>
      <c r="O365" s="9" t="n"/>
      <c r="P365" s="9" t="n"/>
      <c r="Q365" s="9" t="inlineStr">
        <is>
          <t>MartinHinz</t>
        </is>
      </c>
      <c r="R365" s="9" t="n"/>
      <c r="S365" s="9" t="n"/>
      <c r="T365" s="9" t="n"/>
      <c r="U365" s="9" t="n"/>
      <c r="V365" s="9" t="n"/>
      <c r="W365" s="9" t="inlineStr">
        <is>
          <t>Scripts</t>
        </is>
      </c>
      <c r="X365" s="9" t="inlineStr">
        <is>
          <t>R</t>
        </is>
      </c>
      <c r="Y365" s="9" t="inlineStr">
        <is>
          <t>Palaeobotany</t>
        </is>
      </c>
      <c r="Z365" s="9" t="n"/>
      <c r="AA365" s="9" t="n"/>
      <c r="AB365" s="9" t="n"/>
      <c r="AC365" s="9" t="n"/>
      <c r="AD365" s="9" t="n"/>
      <c r="AE365" s="10" t="inlineStr">
        <is>
          <t>https://archive.org/details/github.com-MartinHinz-pollen_data_processing_-_2018-05-23_12-54-10</t>
        </is>
      </c>
      <c r="AF365" s="9" t="n"/>
      <c r="AG365" s="9" t="n"/>
    </row>
    <row r="366">
      <c r="A366" s="9" t="inlineStr">
        <is>
          <t>pollencount</t>
        </is>
      </c>
      <c r="B366" s="9" t="inlineStr">
        <is>
          <t>This simulation tool aims to help students and researchers to start to see what pollen looks like under the microscope, and start to identify common pollen grains.</t>
        </is>
      </c>
      <c r="C366" s="10" t="inlineStr">
        <is>
          <t>https://github.com/Maarten14C/pollencount</t>
        </is>
      </c>
      <c r="D366" s="9" t="n"/>
      <c r="E366" s="9" t="n"/>
      <c r="F366" s="9" t="n"/>
      <c r="G366" s="9" t="n"/>
      <c r="H366" s="9" t="n"/>
      <c r="I366" s="9" t="n"/>
      <c r="J366" s="9" t="n"/>
      <c r="K366" s="9" t="n"/>
      <c r="L366" s="9" t="n"/>
      <c r="M366" s="9" t="n"/>
      <c r="N366" s="9" t="n"/>
      <c r="O366" s="9" t="n"/>
      <c r="P366" s="9" t="n"/>
      <c r="Q366" s="9" t="inlineStr">
        <is>
          <t>Maarten14C</t>
        </is>
      </c>
      <c r="R366" s="9" t="n"/>
      <c r="S366" s="9" t="n"/>
      <c r="T366" s="9" t="n"/>
      <c r="U366" s="9" t="n"/>
      <c r="V366" s="9" t="n"/>
      <c r="W366" s="9" t="inlineStr">
        <is>
          <t>Packages and libraries</t>
        </is>
      </c>
      <c r="X366" s="9" t="inlineStr">
        <is>
          <t>R</t>
        </is>
      </c>
      <c r="Y366" s="9" t="inlineStr">
        <is>
          <t>Palaeobotany</t>
        </is>
      </c>
      <c r="Z366" s="9" t="inlineStr">
        <is>
          <t>Educational resources and practical guides</t>
        </is>
      </c>
      <c r="AA366" s="9" t="n"/>
      <c r="AB366" s="9" t="n"/>
      <c r="AC366" s="9" t="n"/>
      <c r="AD366" s="9" t="n"/>
      <c r="AE366" s="9" t="n"/>
      <c r="AF366" s="9" t="n"/>
      <c r="AG366" s="9" t="n"/>
    </row>
    <row r="367">
      <c r="A367" s="9" t="inlineStr">
        <is>
          <t>poseidon-framework</t>
        </is>
      </c>
      <c r="B367" s="9" t="inlineStr">
        <is>
          <t>Poseidon is a framework that seeks to provide standardized ways to store and share archaeogenetic, and perhaps more broadly, molecular archaeological datasets.</t>
        </is>
      </c>
      <c r="C367" s="10" t="inlineStr">
        <is>
          <t>https://github.com/poseidon-framework/poseidon-hs</t>
        </is>
      </c>
      <c r="D367" s="9" t="n"/>
      <c r="E367" s="9" t="n"/>
      <c r="F367" s="9" t="n"/>
      <c r="G367" s="9" t="n"/>
      <c r="H367" s="9" t="n"/>
      <c r="I367" s="9" t="n"/>
      <c r="J367" s="9" t="n"/>
      <c r="K367" s="9" t="n"/>
      <c r="L367" s="9" t="n"/>
      <c r="M367" s="9" t="n"/>
      <c r="N367" s="10" t="inlineStr">
        <is>
          <t>https://www.poseidon-adna.org</t>
        </is>
      </c>
      <c r="O367" s="9" t="n"/>
      <c r="P367" s="9" t="n"/>
      <c r="Q367" s="9" t="inlineStr">
        <is>
          <t>poseidon-framework</t>
        </is>
      </c>
      <c r="R367" s="9" t="n"/>
      <c r="S367" s="9" t="n"/>
      <c r="T367" s="9" t="n"/>
      <c r="U367" s="9" t="n"/>
      <c r="V367" s="9" t="n"/>
      <c r="W367" s="9" t="inlineStr">
        <is>
          <t>Standalone software</t>
        </is>
      </c>
      <c r="X367" s="9" t="n"/>
      <c r="Y367" s="9" t="inlineStr">
        <is>
          <t>Schemas and ontologies</t>
        </is>
      </c>
      <c r="Z367" s="9" t="inlineStr">
        <is>
          <t>Archaeogenetics</t>
        </is>
      </c>
      <c r="AA367" s="9" t="n"/>
      <c r="AB367" s="9" t="n"/>
      <c r="AC367" s="9" t="n"/>
      <c r="AD367" s="9" t="n"/>
      <c r="AE367" s="10" t="inlineStr">
        <is>
          <t>https://archive.org/details/github.com-poseidon-framework-poseidon-hs_-_2021-02-09_09-16-28</t>
        </is>
      </c>
      <c r="AF367" s="9" t="n"/>
      <c r="AG367" s="9" t="n"/>
    </row>
    <row r="368">
      <c r="A368" s="9" t="inlineStr">
        <is>
          <t>postAAR</t>
        </is>
      </c>
      <c r="B368" s="9" t="inlineStr">
        <is>
          <t>An automated process to detect buildings within large sets of postholes in multi-occupational sites, similar to the obsolete Windows-software "posthole" by Irwin Scollar.</t>
        </is>
      </c>
      <c r="C368" s="10" t="inlineStr">
        <is>
          <t>https://github.com/ISAAKiel/postAAR</t>
        </is>
      </c>
      <c r="D368" s="9" t="n"/>
      <c r="E368" s="9" t="n"/>
      <c r="F368" s="9" t="n"/>
      <c r="G368" s="9" t="n"/>
      <c r="H368" s="9" t="n"/>
      <c r="I368" s="9" t="n"/>
      <c r="J368" s="9" t="n"/>
      <c r="K368" s="9" t="n"/>
      <c r="L368" s="9" t="n"/>
      <c r="M368" s="9" t="n"/>
      <c r="N368" s="9" t="n"/>
      <c r="O368" s="9" t="n"/>
      <c r="P368" s="9" t="n"/>
      <c r="Q368" s="9" t="inlineStr">
        <is>
          <t>nmueller18</t>
        </is>
      </c>
      <c r="R368" s="9" t="inlineStr">
        <is>
          <t>chrinne</t>
        </is>
      </c>
      <c r="S368" s="9" t="n"/>
      <c r="T368" s="9" t="n"/>
      <c r="U368" s="9" t="n"/>
      <c r="V368" s="9" t="n"/>
      <c r="W368" s="9" t="inlineStr">
        <is>
          <t>Packages and libraries</t>
        </is>
      </c>
      <c r="X368" s="9" t="inlineStr">
        <is>
          <t>R</t>
        </is>
      </c>
      <c r="Y368" s="9" t="inlineStr">
        <is>
          <t>Shape recognition</t>
        </is>
      </c>
      <c r="Z368" s="9" t="n"/>
      <c r="AA368" s="9" t="n"/>
      <c r="AB368" s="9" t="n"/>
      <c r="AC368" s="9" t="n"/>
      <c r="AD368" s="9" t="n"/>
      <c r="AE368" s="10" t="inlineStr">
        <is>
          <t>https://archive.org/details/github.com-ISAAKiel-postAAR_-_2019-05-06_12-38-44</t>
        </is>
      </c>
      <c r="AF368" s="9" t="n"/>
      <c r="AG368" s="9" t="n"/>
    </row>
    <row r="369">
      <c r="A369" s="9" t="inlineStr">
        <is>
          <t>postAAR-python</t>
        </is>
      </c>
      <c r="B369" s="9" t="inlineStr">
        <is>
          <t>Python implementation of postAAR.</t>
        </is>
      </c>
      <c r="C369" s="10" t="inlineStr">
        <is>
          <t>https://github.com/ISAAKiel/postAAR-python</t>
        </is>
      </c>
      <c r="D369" s="9" t="n"/>
      <c r="E369" s="9" t="n"/>
      <c r="F369" s="9" t="n"/>
      <c r="G369" s="9" t="n"/>
      <c r="H369" s="9" t="n"/>
      <c r="I369" s="9" t="n"/>
      <c r="J369" s="9" t="n"/>
      <c r="K369" s="9" t="n"/>
      <c r="L369" s="9" t="n"/>
      <c r="M369" s="9" t="n"/>
      <c r="N369" s="9" t="n"/>
      <c r="O369" s="9" t="n"/>
      <c r="P369" s="9" t="n"/>
      <c r="Q369" s="9" t="inlineStr">
        <is>
          <t>chrinne</t>
        </is>
      </c>
      <c r="R369" s="9" t="inlineStr">
        <is>
          <t>WerthersEchte</t>
        </is>
      </c>
      <c r="S369" s="9" t="n"/>
      <c r="T369" s="9" t="n"/>
      <c r="U369" s="9" t="n"/>
      <c r="V369" s="9" t="n"/>
      <c r="W369" s="9" t="inlineStr">
        <is>
          <t>Packages and libraries</t>
        </is>
      </c>
      <c r="X369" s="9" t="inlineStr">
        <is>
          <t>Python</t>
        </is>
      </c>
      <c r="Y369" s="9" t="inlineStr">
        <is>
          <t>Shape recognition</t>
        </is>
      </c>
      <c r="Z369" s="9" t="n"/>
      <c r="AA369" s="9" t="n"/>
      <c r="AB369" s="9" t="n"/>
      <c r="AC369" s="9" t="n"/>
      <c r="AD369" s="9" t="n"/>
      <c r="AE369" s="10" t="inlineStr">
        <is>
          <t>https://archive.org/details/github.com-ISAAKiel-postAAR-python_-_2020-12-16_15-22-01</t>
        </is>
      </c>
      <c r="AF369" s="9" t="n"/>
      <c r="AG369" s="9" t="n"/>
    </row>
    <row r="370">
      <c r="A370" s="9" t="inlineStr">
        <is>
          <t>Potential datasets for PhD projects</t>
        </is>
      </c>
      <c r="B370" s="9" t="inlineStr">
        <is>
          <t>A Google Doc with different archaeological and anthropological datasets and resources for students who need to make changes to their project due to COVID-19</t>
        </is>
      </c>
      <c r="C370" s="9" t="n"/>
      <c r="D370" s="9" t="n"/>
      <c r="E370" s="9" t="n"/>
      <c r="F370" s="9" t="n"/>
      <c r="G370" s="9" t="n"/>
      <c r="H370" s="9" t="n"/>
      <c r="I370" s="9" t="n"/>
      <c r="J370" s="9" t="n"/>
      <c r="K370" s="9" t="n"/>
      <c r="L370" s="9" t="n"/>
      <c r="M370" s="9" t="n"/>
      <c r="N370" s="10" t="inlineStr">
        <is>
          <t>https://docs.google.com/document/d/1BuIJ0ZXzzh838qvMOu59dLCCEz9xE3JnC76oHN-kMTU/edit</t>
        </is>
      </c>
      <c r="O370" s="9" t="n"/>
      <c r="P370" s="9" t="n"/>
      <c r="Q370" s="9" t="inlineStr">
        <is>
          <t>Taryn Bell</t>
        </is>
      </c>
      <c r="R370" s="9" t="n"/>
      <c r="S370" s="9" t="n"/>
      <c r="T370" s="9" t="n"/>
      <c r="U370" s="9" t="n"/>
      <c r="V370" s="9" t="n"/>
      <c r="W370" s="9" t="inlineStr">
        <is>
          <t>Lists and datasets</t>
        </is>
      </c>
      <c r="X370" s="9" t="n"/>
      <c r="Y370" s="9" t="inlineStr">
        <is>
          <t>Lists</t>
        </is>
      </c>
      <c r="Z370" s="9" t="n"/>
      <c r="AA370" s="9" t="n"/>
      <c r="AB370" s="9" t="n"/>
      <c r="AC370" s="9" t="n"/>
      <c r="AD370" s="9" t="n"/>
      <c r="AE370" s="9" t="n"/>
      <c r="AF370" s="9" t="n"/>
      <c r="AG370" s="9" t="n"/>
    </row>
    <row r="371">
      <c r="A371" s="9" t="inlineStr">
        <is>
          <t>pred_map_tut</t>
        </is>
      </c>
      <c r="B371" s="9" t="inlineStr">
        <is>
          <t>A tutorial for (archaeological) predictive mapping using r</t>
        </is>
      </c>
      <c r="C371" s="10" t="inlineStr">
        <is>
          <t>https://github.com/archca/pred_map_tut</t>
        </is>
      </c>
      <c r="D371" s="9" t="n"/>
      <c r="E371" s="9" t="n"/>
      <c r="F371" s="9" t="n"/>
      <c r="G371" s="9" t="n"/>
      <c r="H371" s="9" t="n"/>
      <c r="I371" s="9" t="n"/>
      <c r="J371" s="9" t="n"/>
      <c r="K371" s="9" t="n"/>
      <c r="L371" s="9" t="n"/>
      <c r="M371" s="9" t="n"/>
      <c r="N371" s="10" t="inlineStr">
        <is>
          <t>https://archca.github.io/pred_map_tut/index.html</t>
        </is>
      </c>
      <c r="O371" s="9" t="n"/>
      <c r="P371" s="9" t="n"/>
      <c r="Q371" s="9" t="inlineStr">
        <is>
          <t>archca</t>
        </is>
      </c>
      <c r="R371" s="9" t="n"/>
      <c r="S371" s="9" t="n"/>
      <c r="T371" s="9" t="n"/>
      <c r="U371" s="9" t="n"/>
      <c r="V371" s="9" t="n"/>
      <c r="W371" s="9" t="inlineStr">
        <is>
          <t>Guides</t>
        </is>
      </c>
      <c r="X371" s="9" t="n"/>
      <c r="Y371" s="9" t="inlineStr">
        <is>
          <t>Educational resources and practical guides</t>
        </is>
      </c>
      <c r="Z371" s="9" t="n"/>
      <c r="AA371" s="9" t="n"/>
      <c r="AB371" s="9" t="n"/>
      <c r="AC371" s="9" t="n"/>
      <c r="AD371" s="9" t="n"/>
      <c r="AE371" s="10" t="inlineStr">
        <is>
          <t>https://archive.org/details/github.com-archca-pred_map_tut_-_2019-02-08_12-56-28</t>
        </is>
      </c>
      <c r="AF371" s="9" t="n"/>
      <c r="AG371" s="9" t="n"/>
    </row>
    <row r="372">
      <c r="A372" s="9" t="inlineStr">
        <is>
          <t>predictSource</t>
        </is>
      </c>
      <c r="B372" s="9" t="inlineStr">
        <is>
          <t>A package to analyze data used to determine whether samples from multiple sources can be separated, to predict the sources of samples from unknown sources, and to evaluation the validity of those predictions. Sample data can include both quantitative and qualitative data. The package includes functions for creating an analysis file from multiple files and exploratory data analysis, as well as multivariate statistical methods to determine source separation, predict sources of unknown samples, and evaluate the validity of the predictions (principal components, classification trees, and random forests).</t>
        </is>
      </c>
      <c r="C372" s="10" t="inlineStr">
        <is>
          <t>https://github.com/benmarwick/predictSource</t>
        </is>
      </c>
      <c r="D372" s="9" t="n"/>
      <c r="E372" s="9" t="n"/>
      <c r="F372" s="9" t="n"/>
      <c r="G372" s="9" t="n"/>
      <c r="H372" s="9" t="n"/>
      <c r="I372" s="9" t="n"/>
      <c r="J372" s="9" t="n"/>
      <c r="K372" s="9" t="n"/>
      <c r="L372" s="9" t="n"/>
      <c r="M372" s="9" t="n"/>
      <c r="N372" s="9" t="n"/>
      <c r="O372" s="9" t="n"/>
      <c r="P372" s="9" t="n"/>
      <c r="Q372" s="9" t="inlineStr">
        <is>
          <t>benmarwick</t>
        </is>
      </c>
      <c r="R372" s="9" t="n"/>
      <c r="S372" s="9" t="n"/>
      <c r="T372" s="9" t="n"/>
      <c r="U372" s="9" t="n"/>
      <c r="V372" s="9" t="n"/>
      <c r="W372" s="9" t="inlineStr">
        <is>
          <t>Packages and libraries</t>
        </is>
      </c>
      <c r="X372" s="9" t="inlineStr">
        <is>
          <t>R</t>
        </is>
      </c>
      <c r="Y372" s="9" t="inlineStr">
        <is>
          <t>Statistical analysis</t>
        </is>
      </c>
      <c r="Z372" s="9" t="n"/>
      <c r="AA372" s="9" t="n"/>
      <c r="AB372" s="9" t="n"/>
      <c r="AC372" s="9" t="n"/>
      <c r="AD372" s="9" t="n"/>
      <c r="AE372" s="10" t="inlineStr">
        <is>
          <t>https://archive.org/details/github.com-benmarwick-predictSource_-_2020-06-23_20-14-59</t>
        </is>
      </c>
      <c r="AF372" s="9" t="n"/>
      <c r="AG372" s="9" t="n"/>
    </row>
    <row r="373">
      <c r="A373" s="9" t="inlineStr">
        <is>
          <t>profileAAR</t>
        </is>
      </c>
      <c r="B373" s="9" t="inlineStr">
        <is>
          <t>python qgis plugin of recexcavAAR's archprofile</t>
        </is>
      </c>
      <c r="C373" s="10" t="inlineStr">
        <is>
          <t>https://github.com/ISAAKiel/profileAAR</t>
        </is>
      </c>
      <c r="D373" s="9" t="n"/>
      <c r="E373" s="9" t="n"/>
      <c r="F373" s="9" t="n"/>
      <c r="G373" s="9" t="n"/>
      <c r="H373" s="9" t="n"/>
      <c r="I373" s="9" t="n"/>
      <c r="J373" s="9" t="n"/>
      <c r="K373" s="9" t="n"/>
      <c r="L373" s="9" t="n"/>
      <c r="M373" s="9" t="n"/>
      <c r="N373" s="9" t="n"/>
      <c r="O373" s="9" t="n"/>
      <c r="P373" s="9" t="n"/>
      <c r="Q373" s="9" t="inlineStr">
        <is>
          <t>ISAAKiel</t>
        </is>
      </c>
      <c r="R373" s="9" t="n"/>
      <c r="S373" s="9" t="n"/>
      <c r="T373" s="9" t="n"/>
      <c r="U373" s="9" t="n"/>
      <c r="V373" s="9" t="n"/>
      <c r="W373" s="9" t="inlineStr">
        <is>
          <t>Packages and libraries</t>
        </is>
      </c>
      <c r="X373" s="9" t="inlineStr">
        <is>
          <t>QGIS</t>
        </is>
      </c>
      <c r="Y373" s="9" t="inlineStr">
        <is>
          <t>Data management</t>
        </is>
      </c>
      <c r="Z373" s="9" t="n"/>
      <c r="AA373" s="9" t="n"/>
      <c r="AB373" s="9" t="n"/>
      <c r="AC373" s="9" t="n"/>
      <c r="AD373" s="9" t="n"/>
      <c r="AE373" s="10" t="inlineStr">
        <is>
          <t>https://archive.org/details/github.com-ISAAKiel-profileAAR_-_2019-07-04_11-47-50</t>
        </is>
      </c>
      <c r="AF373" s="9" t="n"/>
      <c r="AG373" s="9" t="n"/>
    </row>
    <row r="374">
      <c r="A374" s="9" t="inlineStr">
        <is>
          <t>pta_data</t>
        </is>
      </c>
      <c r="B374" s="9" t="inlineStr">
        <is>
          <t>An open access digital archive of antique Christian texts.</t>
        </is>
      </c>
      <c r="C374" s="10" t="inlineStr">
        <is>
          <t>https://github.com/PatristicTextArchive/pta_data</t>
        </is>
      </c>
      <c r="D374" s="9" t="n"/>
      <c r="E374" s="9" t="n"/>
      <c r="F374" s="9" t="n"/>
      <c r="G374" s="9" t="n"/>
      <c r="H374" s="9" t="n"/>
      <c r="I374" s="9" t="n"/>
      <c r="J374" s="9" t="n"/>
      <c r="K374" s="9" t="n"/>
      <c r="L374" s="9" t="n"/>
      <c r="M374" s="9" t="n"/>
      <c r="N374" s="10" t="inlineStr">
        <is>
          <t>https://pta.bbaw.de/pta/</t>
        </is>
      </c>
      <c r="O374" s="9" t="n"/>
      <c r="P374" s="9" t="n"/>
      <c r="Q374" s="9" t="inlineStr">
        <is>
          <t>PatristicTextArchive</t>
        </is>
      </c>
      <c r="R374" s="9" t="n"/>
      <c r="S374" s="9" t="n"/>
      <c r="T374" s="9" t="n"/>
      <c r="U374" s="9" t="n"/>
      <c r="V374" s="9" t="n"/>
      <c r="W374" s="9" t="inlineStr">
        <is>
          <t>Lists and datasets</t>
        </is>
      </c>
      <c r="X374" s="9" t="n"/>
      <c r="Y374" s="9" t="inlineStr">
        <is>
          <t>Literary analysis and epigraphy</t>
        </is>
      </c>
      <c r="Z374" s="9" t="inlineStr">
        <is>
          <t>Datasets</t>
        </is>
      </c>
      <c r="AA374" s="9" t="n"/>
      <c r="AB374" s="9" t="n"/>
      <c r="AC374" s="9" t="n"/>
      <c r="AD374" s="9" t="n"/>
      <c r="AE374" s="10" t="inlineStr">
        <is>
          <t>https://archive.org/details/github.com-PatristicTextArchive-pta_data_-_2021-05-06_16-45-24</t>
        </is>
      </c>
      <c r="AF374" s="9" t="n"/>
      <c r="AG374" s="9" t="n"/>
    </row>
    <row r="375">
      <c r="A375" s="9" t="inlineStr">
        <is>
          <t>pXRF</t>
        </is>
      </c>
      <c r="B375" s="9" t="inlineStr">
        <is>
          <t>R package for processing pXRF data.</t>
        </is>
      </c>
      <c r="C375" s="10" t="inlineStr">
        <is>
          <t>https://github.com/MartinHinz/pXRF</t>
        </is>
      </c>
      <c r="D375" s="9" t="n"/>
      <c r="E375" s="9" t="n"/>
      <c r="F375" s="9" t="n"/>
      <c r="G375" s="9" t="n"/>
      <c r="H375" s="9" t="n"/>
      <c r="I375" s="9" t="n"/>
      <c r="J375" s="9" t="n"/>
      <c r="K375" s="9" t="n"/>
      <c r="L375" s="9" t="n"/>
      <c r="M375" s="9" t="n"/>
      <c r="N375" s="9" t="n"/>
      <c r="O375" s="9" t="n"/>
      <c r="P375" s="9" t="n"/>
      <c r="Q375" s="9" t="inlineStr">
        <is>
          <t>MartinHinz</t>
        </is>
      </c>
      <c r="R375" s="9" t="n"/>
      <c r="S375" s="9" t="n"/>
      <c r="T375" s="9" t="n"/>
      <c r="U375" s="9" t="n"/>
      <c r="V375" s="9" t="n"/>
      <c r="W375" s="9" t="inlineStr">
        <is>
          <t>Packages and libraries</t>
        </is>
      </c>
      <c r="X375" s="9" t="inlineStr">
        <is>
          <t>R</t>
        </is>
      </c>
      <c r="Y375" s="9" t="inlineStr">
        <is>
          <t>X-Ray Fluorescence</t>
        </is>
      </c>
      <c r="Z375" s="9" t="n"/>
      <c r="AA375" s="9" t="n"/>
      <c r="AB375" s="9" t="n"/>
      <c r="AC375" s="9" t="n"/>
      <c r="AD375" s="9" t="n"/>
      <c r="AE375" s="9" t="n"/>
      <c r="AF375" s="9" t="n"/>
      <c r="AG375" s="9" t="n"/>
    </row>
    <row r="376">
      <c r="A376" s="9" t="inlineStr">
        <is>
          <t>pyArchInit</t>
        </is>
      </c>
      <c r="B376" s="9" t="inlineStr">
        <is>
          <t>A python plugin for QGIS aimed at managing data from archaeological contexts on the GIS platform</t>
        </is>
      </c>
      <c r="C376" s="9" t="n"/>
      <c r="D376" s="9" t="n"/>
      <c r="E376" s="9" t="n"/>
      <c r="F376" s="9" t="n"/>
      <c r="G376" s="9" t="n"/>
      <c r="H376" s="9" t="n"/>
      <c r="I376" s="9" t="n"/>
      <c r="J376" s="9" t="n"/>
      <c r="K376" s="9" t="n"/>
      <c r="L376" s="9" t="n"/>
      <c r="M376" s="9" t="n"/>
      <c r="N376" s="10" t="inlineStr">
        <is>
          <t>https://sites.google.com/site/pyarchinit/</t>
        </is>
      </c>
      <c r="O376" s="9" t="n"/>
      <c r="P376" s="9" t="n"/>
      <c r="Q376" s="9" t="inlineStr">
        <is>
          <t>pyarchinit</t>
        </is>
      </c>
      <c r="R376" s="9" t="n"/>
      <c r="S376" s="9" t="n"/>
      <c r="T376" s="9" t="n"/>
      <c r="U376" s="9" t="n"/>
      <c r="V376" s="9" t="n"/>
      <c r="W376" s="9" t="inlineStr">
        <is>
          <t>Packages and libraries</t>
        </is>
      </c>
      <c r="X376" s="9" t="inlineStr">
        <is>
          <t>QGIS</t>
        </is>
      </c>
      <c r="Y376" s="9" t="inlineStr">
        <is>
          <t>Data management</t>
        </is>
      </c>
      <c r="Z376" s="9" t="n"/>
      <c r="AA376" s="9" t="n"/>
      <c r="AB376" s="9" t="n"/>
      <c r="AC376" s="9" t="n"/>
      <c r="AD376" s="9" t="n"/>
      <c r="AE376" s="9" t="n"/>
      <c r="AF376" s="9" t="n"/>
      <c r="AG376" s="9" t="n"/>
    </row>
    <row r="377">
      <c r="A377" s="9" t="inlineStr">
        <is>
          <t>pygeoroc</t>
        </is>
      </c>
      <c r="B377" s="9" t="inlineStr">
        <is>
          <t>Python library to access data in the GEOROC database.</t>
        </is>
      </c>
      <c r="C377" s="10" t="inlineStr">
        <is>
          <t>https://github.com/pofatu/pygeoroc</t>
        </is>
      </c>
      <c r="D377" s="9" t="n"/>
      <c r="E377" s="9" t="n"/>
      <c r="F377" s="9" t="n"/>
      <c r="G377" s="9" t="n"/>
      <c r="H377" s="9" t="n"/>
      <c r="I377" s="9" t="n"/>
      <c r="J377" s="9" t="n"/>
      <c r="K377" s="9" t="n"/>
      <c r="L377" s="9" t="n"/>
      <c r="M377" s="9" t="n"/>
      <c r="N377" s="9" t="n"/>
      <c r="O377" s="9" t="n"/>
      <c r="P377" s="9" t="n"/>
      <c r="Q377" s="9" t="inlineStr">
        <is>
          <t>potafu</t>
        </is>
      </c>
      <c r="R377" s="9" t="n"/>
      <c r="S377" s="9" t="n"/>
      <c r="T377" s="9" t="n"/>
      <c r="U377" s="9" t="n"/>
      <c r="V377" s="9" t="n"/>
      <c r="W377" s="9" t="inlineStr">
        <is>
          <t>Packages and libraries</t>
        </is>
      </c>
      <c r="X377" s="9" t="inlineStr">
        <is>
          <t>Python</t>
        </is>
      </c>
      <c r="Y377" s="9" t="inlineStr">
        <is>
          <t>Drivers and IO</t>
        </is>
      </c>
      <c r="Z377" s="9" t="inlineStr">
        <is>
          <t>Geoarchaeology</t>
        </is>
      </c>
      <c r="AA377" s="9" t="inlineStr">
        <is>
          <t>Datasets</t>
        </is>
      </c>
      <c r="AB377" s="9" t="n"/>
      <c r="AC377" s="9" t="n"/>
      <c r="AD377" s="9" t="n"/>
      <c r="AE377" s="9" t="n"/>
      <c r="AF377" s="9" t="n"/>
      <c r="AG377" s="9" t="n"/>
    </row>
    <row r="378">
      <c r="A378" s="9" t="inlineStr">
        <is>
          <t>pypofatu</t>
        </is>
      </c>
      <c r="B378" s="9" t="inlineStr">
        <is>
          <t>A python package to curate Pofatu data.</t>
        </is>
      </c>
      <c r="C378" s="10" t="inlineStr">
        <is>
          <t>https://github.com/pofatu/pypofatu</t>
        </is>
      </c>
      <c r="D378" s="9" t="n"/>
      <c r="E378" s="9" t="n"/>
      <c r="F378" s="9" t="n"/>
      <c r="G378" s="9" t="n"/>
      <c r="H378" s="9" t="n"/>
      <c r="I378" s="9" t="n"/>
      <c r="J378" s="9" t="n"/>
      <c r="K378" s="9" t="n"/>
      <c r="L378" s="9" t="n"/>
      <c r="M378" s="9" t="n"/>
      <c r="N378" s="9" t="n"/>
      <c r="O378" s="9" t="n"/>
      <c r="P378" s="9" t="n"/>
      <c r="Q378" s="9" t="inlineStr">
        <is>
          <t>pofatu</t>
        </is>
      </c>
      <c r="R378" s="9" t="n"/>
      <c r="S378" s="9" t="n"/>
      <c r="T378" s="9" t="n"/>
      <c r="U378" s="9" t="n"/>
      <c r="V378" s="9" t="n"/>
      <c r="W378" s="9" t="inlineStr">
        <is>
          <t>Packages and libraries</t>
        </is>
      </c>
      <c r="X378" s="9" t="inlineStr">
        <is>
          <t>Python</t>
        </is>
      </c>
      <c r="Y378" s="9" t="inlineStr">
        <is>
          <t>Drivers and IO</t>
        </is>
      </c>
      <c r="Z378" s="9" t="inlineStr">
        <is>
          <t>Geoarchaeology</t>
        </is>
      </c>
      <c r="AA378" s="9" t="inlineStr">
        <is>
          <t>Datasets</t>
        </is>
      </c>
      <c r="AB378" s="9" t="n"/>
      <c r="AC378" s="9" t="n"/>
      <c r="AD378" s="9" t="n"/>
      <c r="AE378" s="9" t="n"/>
      <c r="AF378" s="9" t="n"/>
      <c r="AG378" s="9" t="n"/>
    </row>
    <row r="379">
      <c r="A379" s="9" t="inlineStr">
        <is>
          <t>QGIS-scripts</t>
        </is>
      </c>
      <c r="B379" s="9" t="inlineStr">
        <is>
          <t>Some scripts that could be useful for QGIS users.</t>
        </is>
      </c>
      <c r="C379" s="10" t="inlineStr">
        <is>
          <t>https://github.com/zoran-cuckovic/QGIS-scripts</t>
        </is>
      </c>
      <c r="D379" s="9" t="n"/>
      <c r="E379" s="9" t="n"/>
      <c r="F379" s="9" t="n"/>
      <c r="G379" s="9" t="n"/>
      <c r="H379" s="9" t="n"/>
      <c r="I379" s="9" t="n"/>
      <c r="J379" s="9" t="n"/>
      <c r="K379" s="9" t="n"/>
      <c r="L379" s="9" t="n"/>
      <c r="M379" s="9" t="n"/>
      <c r="N379" s="9" t="n"/>
      <c r="O379" s="9" t="n"/>
      <c r="P379" s="9" t="n"/>
      <c r="Q379" s="9" t="inlineStr">
        <is>
          <t>zoran-cuckovic</t>
        </is>
      </c>
      <c r="R379" s="9" t="n"/>
      <c r="S379" s="9" t="n"/>
      <c r="T379" s="9" t="n"/>
      <c r="U379" s="9" t="n"/>
      <c r="V379" s="9" t="n"/>
      <c r="W379" s="9" t="inlineStr">
        <is>
          <t>Packages and libraries</t>
        </is>
      </c>
      <c r="X379" s="9" t="inlineStr">
        <is>
          <t>QGIS</t>
        </is>
      </c>
      <c r="Y379" s="9" t="inlineStr">
        <is>
          <t>Bits and bobs</t>
        </is>
      </c>
      <c r="Z379" s="9" t="n"/>
      <c r="AA379" s="9" t="n"/>
      <c r="AB379" s="9" t="n"/>
      <c r="AC379" s="9" t="n"/>
      <c r="AD379" s="9" t="n"/>
      <c r="AE379" s="10" t="inlineStr">
        <is>
          <t>https://archive.org/details/github.com-zoran-cuckovic-QGIS-scripts_-_2018-07-21_22-11-13</t>
        </is>
      </c>
      <c r="AF379" s="9" t="n"/>
      <c r="AG379" s="9" t="n"/>
    </row>
    <row r="380">
      <c r="A380" s="9" t="inlineStr">
        <is>
          <t>QGIS-topographic-networks</t>
        </is>
      </c>
      <c r="B380" s="9" t="inlineStr">
        <is>
          <t>Models relationships between elements in a terrain model, connecting pixels according to their height difference.</t>
        </is>
      </c>
      <c r="C380" s="10" t="inlineStr">
        <is>
          <t>https://github.com/zoran-cuckovic/QGIS-topographic-networks</t>
        </is>
      </c>
      <c r="D380" s="9" t="n"/>
      <c r="E380" s="9" t="n"/>
      <c r="F380" s="9" t="n"/>
      <c r="G380" s="9" t="n"/>
      <c r="H380" s="9" t="n"/>
      <c r="I380" s="9" t="n"/>
      <c r="J380" s="9" t="n"/>
      <c r="K380" s="9" t="n"/>
      <c r="L380" s="9" t="n"/>
      <c r="M380" s="9" t="n"/>
      <c r="N380" s="9" t="n"/>
      <c r="O380" s="9" t="n"/>
      <c r="P380" s="9" t="n"/>
      <c r="Q380" s="9" t="inlineStr">
        <is>
          <t>zoran-cuckovic</t>
        </is>
      </c>
      <c r="R380" s="9" t="n"/>
      <c r="S380" s="9" t="n"/>
      <c r="T380" s="9" t="n"/>
      <c r="U380" s="9" t="n"/>
      <c r="V380" s="9" t="n"/>
      <c r="W380" s="9" t="inlineStr">
        <is>
          <t>Packages and libraries</t>
        </is>
      </c>
      <c r="X380" s="9" t="inlineStr">
        <is>
          <t>QGIS</t>
        </is>
      </c>
      <c r="Y380" s="9" t="inlineStr">
        <is>
          <t>Spatial analysis</t>
        </is>
      </c>
      <c r="Z380" s="9" t="n"/>
      <c r="AA380" s="9" t="n"/>
      <c r="AB380" s="9" t="n"/>
      <c r="AC380" s="9" t="n"/>
      <c r="AD380" s="9" t="n"/>
      <c r="AE380" s="10" t="inlineStr">
        <is>
          <t>https://archive.org/details/github.com-zoran-cuckovic-QGIS-topographic-networks_-_2016-06-29_12-43-38</t>
        </is>
      </c>
      <c r="AF380" s="9" t="n"/>
      <c r="AG380" s="9" t="n"/>
    </row>
    <row r="381">
      <c r="A381" s="9" t="inlineStr">
        <is>
          <t>QGIS-visibility-analysis</t>
        </is>
      </c>
      <c r="B381" s="9" t="inlineStr">
        <is>
          <t>Calculates visible surface from a given observer point over a digital elevation model. The plugin is intended for more complex modelling, such as the depth below the visible horizon or generation of intervisibilty networks between groups of points. It is particularly performant for multiple viewshed calculations form a set of fixed points.</t>
        </is>
      </c>
      <c r="C381" s="10" t="inlineStr">
        <is>
          <t>https://github.com/zoran-cuckovic/QGIS-visibility-analysis</t>
        </is>
      </c>
      <c r="D381" s="9" t="n"/>
      <c r="E381" s="9" t="n"/>
      <c r="F381" s="9" t="n"/>
      <c r="G381" s="9" t="n"/>
      <c r="H381" s="9" t="n"/>
      <c r="I381" s="9" t="n"/>
      <c r="J381" s="9" t="n"/>
      <c r="K381" s="9" t="n"/>
      <c r="L381" s="9" t="n"/>
      <c r="M381" s="9" t="n"/>
      <c r="N381" s="10" t="inlineStr">
        <is>
          <t>http://www.zoran-cuckovic.from.hr/QGIS-visibility-analysis/</t>
        </is>
      </c>
      <c r="O381" s="9" t="n"/>
      <c r="P381" s="9" t="n"/>
      <c r="Q381" s="9" t="inlineStr">
        <is>
          <t>zoran-cuckovic</t>
        </is>
      </c>
      <c r="R381" s="9" t="n"/>
      <c r="S381" s="9" t="n"/>
      <c r="T381" s="9" t="n"/>
      <c r="U381" s="9" t="n"/>
      <c r="V381" s="9" t="n"/>
      <c r="W381" s="9" t="inlineStr">
        <is>
          <t>Packages and libraries</t>
        </is>
      </c>
      <c r="X381" s="9" t="inlineStr">
        <is>
          <t>QGIS</t>
        </is>
      </c>
      <c r="Y381" s="9" t="inlineStr">
        <is>
          <t>Spatial analysis</t>
        </is>
      </c>
      <c r="Z381" s="9" t="inlineStr">
        <is>
          <t>Viewshed analysis</t>
        </is>
      </c>
      <c r="AA381" s="9" t="n"/>
      <c r="AB381" s="9" t="n"/>
      <c r="AC381" s="9" t="n"/>
      <c r="AD381" s="9" t="n"/>
      <c r="AE381" s="10" t="inlineStr">
        <is>
          <t>https://archive.org/details/github.com-zoran-cuckovic-QGIS-visibility-analysis_-_2021-01-14_19-11-48</t>
        </is>
      </c>
      <c r="AF381" s="9" t="n"/>
      <c r="AG381" s="9" t="n"/>
    </row>
    <row r="382">
      <c r="A382" s="9" t="inlineStr">
        <is>
          <t>qrcode-storage</t>
        </is>
      </c>
      <c r="B382" s="9" t="inlineStr">
        <is>
          <t>Scripts to create QR-Code images for storage boxes. Each box has an associated web page describing its content, and the QR-Code serves as a short-link from the physical object to the web page.</t>
        </is>
      </c>
      <c r="C382" s="9" t="n"/>
      <c r="D382" s="9" t="n"/>
      <c r="E382" s="9" t="n"/>
      <c r="F382" s="9" t="n"/>
      <c r="G382" s="9" t="n"/>
      <c r="H382" s="9" t="n"/>
      <c r="I382" s="9" t="n"/>
      <c r="J382" s="9" t="n"/>
      <c r="K382" s="9" t="n"/>
      <c r="L382" s="9" t="n"/>
      <c r="M382" s="10" t="inlineStr">
        <is>
          <t>https://codeberg.org/steko/qrcode-storage</t>
        </is>
      </c>
      <c r="N382" s="9" t="n"/>
      <c r="O382" s="9" t="n"/>
      <c r="P382" s="9" t="n"/>
      <c r="Q382" s="9" t="inlineStr">
        <is>
          <t>steko</t>
        </is>
      </c>
      <c r="R382" s="9" t="n"/>
      <c r="S382" s="9" t="n"/>
      <c r="T382" s="9" t="n"/>
      <c r="U382" s="9" t="n"/>
      <c r="V382" s="9" t="n"/>
      <c r="W382" s="9" t="inlineStr">
        <is>
          <t>Scripts</t>
        </is>
      </c>
      <c r="X382" s="9" t="inlineStr">
        <is>
          <t>Python</t>
        </is>
      </c>
      <c r="Y382" s="9" t="inlineStr">
        <is>
          <t>Bits and bobs</t>
        </is>
      </c>
      <c r="Z382" s="9" t="n"/>
      <c r="AA382" s="9" t="n"/>
      <c r="AB382" s="9" t="n"/>
      <c r="AC382" s="9" t="n"/>
      <c r="AD382" s="9" t="n"/>
      <c r="AE382" s="10" t="inlineStr">
        <is>
          <t>https://archive.org/details/codeberg.org-steko-qrcode-storage_-_2020-06-22_14-11-12</t>
        </is>
      </c>
      <c r="AF382" s="9" t="n"/>
      <c r="AG382" s="9" t="n"/>
    </row>
    <row r="383">
      <c r="A383" s="9" t="inlineStr">
        <is>
          <t>quantAAR</t>
        </is>
      </c>
      <c r="B383" s="9" t="inlineStr">
        <is>
          <t>R Library for Quantitative Analysis in Archaeology.</t>
        </is>
      </c>
      <c r="C383" s="10" t="inlineStr">
        <is>
          <t>https://github.com/ISAAKiel/quantAAR</t>
        </is>
      </c>
      <c r="D383" s="9" t="n"/>
      <c r="E383" s="9" t="n"/>
      <c r="F383" s="9" t="n"/>
      <c r="G383" s="9" t="n"/>
      <c r="H383" s="9" t="n"/>
      <c r="I383" s="9" t="n"/>
      <c r="J383" s="9" t="n"/>
      <c r="K383" s="9" t="n"/>
      <c r="L383" s="9" t="n"/>
      <c r="M383" s="9" t="n"/>
      <c r="N383" s="9" t="n"/>
      <c r="O383" s="9" t="n"/>
      <c r="P383" s="9" t="n"/>
      <c r="Q383" s="9" t="inlineStr">
        <is>
          <t>ISAAKiel</t>
        </is>
      </c>
      <c r="R383" s="9" t="n"/>
      <c r="S383" s="9" t="n"/>
      <c r="T383" s="9" t="n"/>
      <c r="U383" s="9" t="n"/>
      <c r="V383" s="9" t="n"/>
      <c r="W383" s="9" t="inlineStr">
        <is>
          <t>Packages and libraries</t>
        </is>
      </c>
      <c r="X383" s="9" t="inlineStr">
        <is>
          <t>R</t>
        </is>
      </c>
      <c r="Y383" s="9" t="inlineStr">
        <is>
          <t>Statistical analysis</t>
        </is>
      </c>
      <c r="Z383" s="9" t="n"/>
      <c r="AA383" s="9" t="n"/>
      <c r="AB383" s="9" t="n"/>
      <c r="AC383" s="9" t="n"/>
      <c r="AD383" s="9" t="n"/>
      <c r="AE383" s="10" t="inlineStr">
        <is>
          <t>https://archive.org/details/github.com-ISAAKiel-quantAAR_-_2020-07-09_13-14-14</t>
        </is>
      </c>
      <c r="AF383" s="9" t="n"/>
      <c r="AG383" s="9" t="n"/>
    </row>
    <row r="384">
      <c r="A384" s="9" t="inlineStr">
        <is>
          <t>quantatools</t>
        </is>
      </c>
      <c r="B384" s="9" t="inlineStr">
        <is>
          <t>Finding quantum in archaeological data using cosine quantogram and related statistical methods.</t>
        </is>
      </c>
      <c r="C384" s="10" t="inlineStr">
        <is>
          <t>https://github.com/maciejkasinski/quantatools</t>
        </is>
      </c>
      <c r="D384" s="9" t="n"/>
      <c r="E384" s="9" t="n"/>
      <c r="F384" s="9" t="n"/>
      <c r="G384" s="9" t="n"/>
      <c r="H384" s="9" t="n"/>
      <c r="I384" s="9" t="n"/>
      <c r="J384" s="9" t="n"/>
      <c r="K384" s="9" t="n"/>
      <c r="L384" s="9" t="n"/>
      <c r="M384" s="9" t="n"/>
      <c r="N384" s="9" t="n"/>
      <c r="O384" s="9" t="n"/>
      <c r="P384" s="9" t="inlineStr">
        <is>
          <t>10.5281/zenodo.2566606.svg</t>
        </is>
      </c>
      <c r="Q384" s="9" t="inlineStr">
        <is>
          <t>maciejkasinski</t>
        </is>
      </c>
      <c r="R384" s="9" t="n"/>
      <c r="S384" s="9" t="n"/>
      <c r="T384" s="9" t="n"/>
      <c r="U384" s="9" t="n"/>
      <c r="V384" s="9" t="n"/>
      <c r="W384" s="9" t="inlineStr">
        <is>
          <t>Packages and libraries</t>
        </is>
      </c>
      <c r="X384" s="9" t="inlineStr">
        <is>
          <t>R</t>
        </is>
      </c>
      <c r="Y384" s="9" t="inlineStr">
        <is>
          <t>Statistical analysis</t>
        </is>
      </c>
      <c r="Z384" s="9" t="n"/>
      <c r="AA384" s="9" t="n"/>
      <c r="AB384" s="9" t="n"/>
      <c r="AC384" s="9" t="n"/>
      <c r="AD384" s="9" t="n"/>
      <c r="AE384" s="9" t="n"/>
      <c r="AF384" s="9" t="n"/>
      <c r="AG384" s="9" t="n"/>
    </row>
    <row r="385">
      <c r="A385" s="9" t="inlineStr">
        <is>
          <t>quantum-archeo</t>
        </is>
      </c>
      <c r="B385" s="9" t="inlineStr">
        <is>
          <t>Set of quantitative tools for finding a common measurement unit (quantum) in archeological research.</t>
        </is>
      </c>
      <c r="C385" s="10" t="inlineStr">
        <is>
          <t>https://github.com/maciejkasinski/quantum-archeo</t>
        </is>
      </c>
      <c r="D385" s="9" t="n"/>
      <c r="E385" s="9" t="n"/>
      <c r="F385" s="9" t="n"/>
      <c r="G385" s="9" t="n"/>
      <c r="H385" s="9" t="n"/>
      <c r="I385" s="9" t="n"/>
      <c r="J385" s="9" t="n"/>
      <c r="K385" s="9" t="n"/>
      <c r="L385" s="9" t="n"/>
      <c r="M385" s="9" t="n"/>
      <c r="N385" s="9" t="n"/>
      <c r="O385" s="9" t="n"/>
      <c r="P385" s="9" t="n"/>
      <c r="Q385" s="9" t="inlineStr">
        <is>
          <t>maciejkasinski</t>
        </is>
      </c>
      <c r="R385" s="9" t="n"/>
      <c r="S385" s="9" t="n"/>
      <c r="T385" s="9" t="n"/>
      <c r="U385" s="9" t="n"/>
      <c r="V385" s="9" t="n"/>
      <c r="W385" s="9" t="inlineStr">
        <is>
          <t>Scripts</t>
        </is>
      </c>
      <c r="X385" s="9" t="inlineStr">
        <is>
          <t>R</t>
        </is>
      </c>
      <c r="Y385" s="9" t="inlineStr">
        <is>
          <t>Statistical analysis</t>
        </is>
      </c>
      <c r="Z385" s="9" t="n"/>
      <c r="AA385" s="9" t="n"/>
      <c r="AB385" s="9" t="n"/>
      <c r="AC385" s="9" t="n"/>
      <c r="AD385" s="9" t="n"/>
      <c r="AE385" s="9" t="n"/>
      <c r="AF385" s="9" t="n"/>
      <c r="AG385" s="9" t="n"/>
    </row>
    <row r="386">
      <c r="A386" s="9" t="inlineStr">
        <is>
          <t>QuARI</t>
        </is>
      </c>
      <c r="B386" s="9" t="inlineStr">
        <is>
          <t>A database interface designed to facilitate the irregular, iterative, and non-linear workflows that are commonly employed in lithic analysis.</t>
        </is>
      </c>
      <c r="C386" s="10" t="inlineStr">
        <is>
          <t>https://github.com/zackbatist/QuARI</t>
        </is>
      </c>
      <c r="D386" s="9" t="n"/>
      <c r="E386" s="9" t="n"/>
      <c r="F386" s="9" t="n"/>
      <c r="G386" s="9" t="n"/>
      <c r="H386" s="9" t="n"/>
      <c r="I386" s="9" t="n"/>
      <c r="J386" s="9" t="n"/>
      <c r="K386" s="9" t="n"/>
      <c r="L386" s="9" t="n"/>
      <c r="M386" s="9" t="n"/>
      <c r="N386" s="9" t="n"/>
      <c r="O386" s="9" t="n"/>
      <c r="P386" s="9" t="inlineStr">
        <is>
          <t>10.1017/aap.2021.11</t>
        </is>
      </c>
      <c r="Q386" s="9" t="inlineStr">
        <is>
          <t>zackbatist</t>
        </is>
      </c>
      <c r="R386" s="9" t="inlineStr">
        <is>
          <t>dcontre</t>
        </is>
      </c>
      <c r="S386" s="9" t="inlineStr">
        <is>
          <t>Ciara Zogheib</t>
        </is>
      </c>
      <c r="T386" s="9" t="n"/>
      <c r="U386" s="9" t="n"/>
      <c r="V386" s="9" t="n"/>
      <c r="W386" s="9" t="inlineStr">
        <is>
          <t>Scripts</t>
        </is>
      </c>
      <c r="X386" s="9" t="inlineStr">
        <is>
          <t>R</t>
        </is>
      </c>
      <c r="Y386" s="9" t="inlineStr">
        <is>
          <t>Data collection</t>
        </is>
      </c>
      <c r="Z386" s="9" t="inlineStr">
        <is>
          <t>Lithic analysis</t>
        </is>
      </c>
      <c r="AA386" s="9" t="n"/>
      <c r="AB386" s="9" t="n"/>
      <c r="AC386" s="9" t="n"/>
      <c r="AD386" s="9" t="n"/>
      <c r="AE386" s="10" t="inlineStr">
        <is>
          <t>https://archive.org/details/github.com-zackbatist-QuARI_-_2021-01-29_14-34-38</t>
        </is>
      </c>
      <c r="AF386" s="9" t="n"/>
      <c r="AG386" s="9" t="n"/>
    </row>
    <row r="387">
      <c r="A387" s="9" t="inlineStr">
        <is>
          <t>R for data analysis and visualization of Archaological Data</t>
        </is>
      </c>
      <c r="B387" s="9" t="inlineStr">
        <is>
          <t>Data Analysis and Visualization in R for Archaologists, modified from the Data Carpentry R Workshop for Ecologists.</t>
        </is>
      </c>
      <c r="C387" s="10" t="inlineStr">
        <is>
          <t>https://github.com/carpentries-incubator/R-archaeology-lesson</t>
        </is>
      </c>
      <c r="D387" s="9" t="n"/>
      <c r="E387" s="9" t="n"/>
      <c r="F387" s="9" t="n"/>
      <c r="G387" s="9" t="n"/>
      <c r="H387" s="9" t="n"/>
      <c r="I387" s="9" t="n"/>
      <c r="J387" s="9" t="n"/>
      <c r="K387" s="9" t="n"/>
      <c r="L387" s="9" t="n"/>
      <c r="M387" s="9" t="n"/>
      <c r="N387" s="10" t="inlineStr">
        <is>
          <t>https://carpentries-incubator.github.io/R-archaeology-lesson/</t>
        </is>
      </c>
      <c r="O387" s="9" t="n"/>
      <c r="P387" s="9" t="n"/>
      <c r="Q387" s="9" t="inlineStr">
        <is>
          <t>carpentries-incubator</t>
        </is>
      </c>
      <c r="R387" s="9" t="inlineStr">
        <is>
          <t>Alison Clarke</t>
        </is>
      </c>
      <c r="S387" s="9" t="inlineStr">
        <is>
          <t>François Michonneau</t>
        </is>
      </c>
      <c r="T387" s="9" t="inlineStr">
        <is>
          <t>Auriel Fournier</t>
        </is>
      </c>
      <c r="U387" s="9" t="n"/>
      <c r="V387" s="9" t="n"/>
      <c r="W387" s="9" t="inlineStr">
        <is>
          <t>Guides</t>
        </is>
      </c>
      <c r="X387" s="9" t="inlineStr">
        <is>
          <t>R</t>
        </is>
      </c>
      <c r="Y387" s="9" t="inlineStr">
        <is>
          <t>Educational resources and practical guides</t>
        </is>
      </c>
      <c r="Z387" s="9" t="n"/>
      <c r="AA387" s="9" t="n"/>
      <c r="AB387" s="9" t="n"/>
      <c r="AC387" s="9" t="n"/>
      <c r="AD387" s="9" t="n"/>
      <c r="AE387" s="9" t="n"/>
      <c r="AF387" s="9" t="n"/>
      <c r="AG387" s="9" t="n"/>
    </row>
    <row r="388">
      <c r="A388" s="9" t="inlineStr">
        <is>
          <t>R-Scripts</t>
        </is>
      </c>
      <c r="B388" s="9" t="inlineStr">
        <is>
          <t>This contains a set of data about human mobility, subsistance, population, and environmental productivity derived from the Standard Cross Cultural Sample</t>
        </is>
      </c>
      <c r="C388" s="10" t="inlineStr">
        <is>
          <t>https://github.com/isaacullah/R-Scripts</t>
        </is>
      </c>
      <c r="D388" s="9" t="n"/>
      <c r="E388" s="9" t="n"/>
      <c r="F388" s="9" t="n"/>
      <c r="G388" s="9" t="n"/>
      <c r="H388" s="9" t="n"/>
      <c r="I388" s="9" t="n"/>
      <c r="J388" s="9" t="n"/>
      <c r="K388" s="9" t="n"/>
      <c r="L388" s="9" t="n"/>
      <c r="M388" s="9" t="n"/>
      <c r="N388" s="9" t="n"/>
      <c r="O388" s="9" t="n"/>
      <c r="P388" s="9" t="n"/>
      <c r="Q388" s="9" t="inlineStr">
        <is>
          <t>isaacullah</t>
        </is>
      </c>
      <c r="R388" s="9" t="n"/>
      <c r="S388" s="9" t="n"/>
      <c r="T388" s="9" t="n"/>
      <c r="U388" s="9" t="n"/>
      <c r="V388" s="9" t="n"/>
      <c r="W388" s="9" t="inlineStr">
        <is>
          <t>Lists and datasets</t>
        </is>
      </c>
      <c r="X388" s="9" t="n"/>
      <c r="Y388" s="9" t="inlineStr">
        <is>
          <t>Datasets</t>
        </is>
      </c>
      <c r="Z388" s="9" t="n"/>
      <c r="AA388" s="9" t="n"/>
      <c r="AB388" s="9" t="n"/>
      <c r="AC388" s="9" t="n"/>
      <c r="AD388" s="9" t="n"/>
      <c r="AE388" s="10" t="inlineStr">
        <is>
          <t>https://archive.org/details/github.com-isaacullah-R-Scripts_-_2018-04-23_23-56-35</t>
        </is>
      </c>
      <c r="AF388" s="9" t="n"/>
      <c r="AG388" s="9" t="n"/>
    </row>
    <row r="389">
      <c r="A389" s="9" t="inlineStr">
        <is>
          <t>racisminarchy</t>
        </is>
      </c>
      <c r="B389" s="9" t="inlineStr">
        <is>
          <t>Contains data and R code for our article on computational text analysis of racism in archaeology.</t>
        </is>
      </c>
      <c r="C389" s="10" t="inlineStr">
        <is>
          <t>https://github.com/parkgayoung/racisminarchy</t>
        </is>
      </c>
      <c r="D389" s="9" t="n"/>
      <c r="E389" s="9" t="n"/>
      <c r="F389" s="9" t="n"/>
      <c r="G389" s="9" t="n"/>
      <c r="H389" s="9" t="n"/>
      <c r="I389" s="9" t="n"/>
      <c r="J389" s="9" t="n"/>
      <c r="K389" s="9" t="n"/>
      <c r="L389" s="9" t="n"/>
      <c r="M389" s="9" t="n"/>
      <c r="N389" s="9" t="n"/>
      <c r="O389" s="9" t="n"/>
      <c r="P389" s="9" t="n"/>
      <c r="Q389" s="9" t="inlineStr">
        <is>
          <t>parkgayoung</t>
        </is>
      </c>
      <c r="R389" s="9" t="n"/>
      <c r="S389" s="9" t="n"/>
      <c r="T389" s="9" t="n"/>
      <c r="U389" s="9" t="n"/>
      <c r="V389" s="9" t="n"/>
      <c r="W389" s="9" t="inlineStr">
        <is>
          <t>Products</t>
        </is>
      </c>
      <c r="X389" s="9" t="n"/>
      <c r="Y389" s="9" t="inlineStr">
        <is>
          <t>Datasets</t>
        </is>
      </c>
      <c r="Z389" s="9" t="inlineStr">
        <is>
          <t>Ethics and professional development</t>
        </is>
      </c>
      <c r="AA389" s="9" t="n"/>
      <c r="AB389" s="9" t="n"/>
      <c r="AC389" s="9" t="n"/>
      <c r="AD389" s="9" t="n"/>
      <c r="AE389" s="10" t="inlineStr">
        <is>
          <t>https://archive.org/details/github.com-parkgayoung-racisminarchy_-_2021-07-02_22-43-55</t>
        </is>
      </c>
      <c r="AF389" s="9" t="n"/>
      <c r="AG389" s="9" t="n"/>
    </row>
    <row r="390">
      <c r="A390" s="9" t="inlineStr">
        <is>
          <t>RACORD</t>
        </is>
      </c>
      <c r="B390" s="9" t="inlineStr">
        <is>
          <t>Computer-Assisted Shape Classification of Archaeological Pottery Fragments.</t>
        </is>
      </c>
      <c r="C390" s="10" t="inlineStr">
        <is>
          <t>https://github.com/jwilczek-dotcom/RACORD</t>
        </is>
      </c>
      <c r="D390" s="9" t="n"/>
      <c r="E390" s="9" t="n"/>
      <c r="F390" s="9" t="n"/>
      <c r="G390" s="9" t="n"/>
      <c r="H390" s="9" t="n"/>
      <c r="I390" s="9" t="n"/>
      <c r="J390" s="9" t="n"/>
      <c r="K390" s="9" t="n"/>
      <c r="L390" s="9" t="n"/>
      <c r="M390" s="9" t="n"/>
      <c r="N390" s="9" t="n"/>
      <c r="O390" s="9" t="n"/>
      <c r="P390" s="9" t="n"/>
      <c r="Q390" s="9" t="inlineStr">
        <is>
          <t>jwilczek-dotcom</t>
        </is>
      </c>
      <c r="R390" s="9" t="n"/>
      <c r="S390" s="9" t="n"/>
      <c r="T390" s="9" t="n"/>
      <c r="U390" s="9" t="n"/>
      <c r="V390" s="9" t="n"/>
      <c r="W390" s="9" t="inlineStr">
        <is>
          <t>Scripts</t>
        </is>
      </c>
      <c r="X390" s="9" t="inlineStr">
        <is>
          <t>R</t>
        </is>
      </c>
      <c r="Y390" s="9" t="inlineStr">
        <is>
          <t>Shape recognition</t>
        </is>
      </c>
      <c r="Z390" s="9" t="inlineStr">
        <is>
          <t>Artefact morphology</t>
        </is>
      </c>
      <c r="AA390" s="9" t="inlineStr">
        <is>
          <t>Ceramic analysis</t>
        </is>
      </c>
      <c r="AB390" s="9" t="n"/>
      <c r="AC390" s="9" t="n"/>
      <c r="AD390" s="9" t="n"/>
      <c r="AE390" s="9" t="n"/>
      <c r="AF390" s="9" t="n"/>
      <c r="AG390" s="9" t="n"/>
    </row>
    <row r="391">
      <c r="A391" s="9" t="inlineStr">
        <is>
          <t>radiocarbon-scrapers</t>
        </is>
      </c>
      <c r="B391" s="9" t="inlineStr">
        <is>
          <t>Scrapers for public radiocarbon databases</t>
        </is>
      </c>
      <c r="C391" s="9" t="n"/>
      <c r="D391" s="9" t="n"/>
      <c r="E391" s="9" t="n"/>
      <c r="F391" s="9" t="n"/>
      <c r="G391" s="9" t="n"/>
      <c r="H391" s="9" t="n"/>
      <c r="I391" s="9" t="n"/>
      <c r="J391" s="9" t="n"/>
      <c r="K391" s="9" t="n"/>
      <c r="L391" s="9" t="n"/>
      <c r="M391" s="10" t="inlineStr">
        <is>
          <t>https://codeberg.org/steko/radiocarbon-scrapers</t>
        </is>
      </c>
      <c r="N391" s="9" t="n"/>
      <c r="O391" s="9" t="n"/>
      <c r="P391" s="9" t="n"/>
      <c r="Q391" s="9" t="inlineStr">
        <is>
          <t>steko</t>
        </is>
      </c>
      <c r="R391" s="9" t="n"/>
      <c r="S391" s="9" t="n"/>
      <c r="T391" s="9" t="n"/>
      <c r="U391" s="9" t="n"/>
      <c r="V391" s="9" t="n"/>
      <c r="W391" s="9" t="inlineStr">
        <is>
          <t>Scripts</t>
        </is>
      </c>
      <c r="X391" s="9" t="inlineStr">
        <is>
          <t>JavaScript</t>
        </is>
      </c>
      <c r="Y391" s="9" t="inlineStr">
        <is>
          <t>API interfaces and web scrapers</t>
        </is>
      </c>
      <c r="Z391" s="9" t="n"/>
      <c r="AA391" s="9" t="n"/>
      <c r="AB391" s="9" t="n"/>
      <c r="AC391" s="9" t="n"/>
      <c r="AD391" s="9" t="n"/>
      <c r="AE391" s="10" t="inlineStr">
        <is>
          <t>https://archive.org/details/codeberg.org-steko-radiocarbon-scrapers_-_2020-03-27_10-55-09</t>
        </is>
      </c>
      <c r="AF391" s="9" t="n"/>
      <c r="AG391" s="9" t="n"/>
    </row>
    <row r="392">
      <c r="A392" s="9" t="inlineStr">
        <is>
          <t>radon</t>
        </is>
      </c>
      <c r="B392" s="9" t="inlineStr">
        <is>
          <t>Backend for one of the largest 14C-Database online.</t>
        </is>
      </c>
      <c r="C392" s="10" t="inlineStr">
        <is>
          <t>https://github.com/ISAAKiel/radon</t>
        </is>
      </c>
      <c r="D392" s="9" t="n"/>
      <c r="E392" s="9" t="n"/>
      <c r="F392" s="9" t="n"/>
      <c r="G392" s="9" t="n"/>
      <c r="H392" s="9" t="n"/>
      <c r="I392" s="9" t="n"/>
      <c r="J392" s="9" t="n"/>
      <c r="K392" s="9" t="n"/>
      <c r="L392" s="9" t="n"/>
      <c r="M392" s="9" t="n"/>
      <c r="N392" s="10" t="inlineStr">
        <is>
          <t>https://radon.ufg.uni-kiel.de/</t>
        </is>
      </c>
      <c r="O392" s="9" t="n"/>
      <c r="P392" s="9" t="n"/>
      <c r="Q392" s="9" t="inlineStr">
        <is>
          <t>ISAAKiel</t>
        </is>
      </c>
      <c r="R392" s="9" t="n"/>
      <c r="S392" s="9" t="n"/>
      <c r="T392" s="9" t="n"/>
      <c r="U392" s="9" t="n"/>
      <c r="V392" s="9" t="n"/>
      <c r="W392" s="9" t="inlineStr">
        <is>
          <t>Products</t>
        </is>
      </c>
      <c r="X392" s="9" t="n"/>
      <c r="Y392" s="9" t="inlineStr">
        <is>
          <t>Radiocarbon dating, calibration and sequencing</t>
        </is>
      </c>
      <c r="Z392" s="9" t="n"/>
      <c r="AA392" s="9" t="n"/>
      <c r="AB392" s="9" t="n"/>
      <c r="AC392" s="9" t="n"/>
      <c r="AD392" s="9" t="n"/>
      <c r="AE392" s="10" t="inlineStr">
        <is>
          <t>https://archive.org/details/github.com-ISAAKiel-radon_-_2020-07-08_15-18-49</t>
        </is>
      </c>
      <c r="AF392" s="9" t="n"/>
      <c r="AG392" s="9" t="n"/>
    </row>
    <row r="393">
      <c r="A393" s="9" t="inlineStr">
        <is>
          <t>ramphs</t>
        </is>
      </c>
      <c r="B393" s="9" t="inlineStr">
        <is>
          <t>Roman amphitheater data as R package</t>
        </is>
      </c>
      <c r="C393" s="10" t="inlineStr">
        <is>
          <t>https://github.com/sfsheath/ramphs</t>
        </is>
      </c>
      <c r="D393" s="9" t="n"/>
      <c r="E393" s="9" t="n"/>
      <c r="F393" s="9" t="n"/>
      <c r="G393" s="9" t="n"/>
      <c r="H393" s="9" t="n"/>
      <c r="I393" s="9" t="n"/>
      <c r="J393" s="9" t="n"/>
      <c r="K393" s="9" t="n"/>
      <c r="L393" s="9" t="n"/>
      <c r="M393" s="9" t="n"/>
      <c r="N393" s="9" t="n"/>
      <c r="O393" s="9" t="n"/>
      <c r="P393" s="9" t="n"/>
      <c r="Q393" s="9" t="inlineStr">
        <is>
          <t>sfsheath</t>
        </is>
      </c>
      <c r="R393" s="9" t="n"/>
      <c r="S393" s="9" t="n"/>
      <c r="T393" s="9" t="n"/>
      <c r="U393" s="9" t="n"/>
      <c r="V393" s="9" t="n"/>
      <c r="W393" s="9" t="inlineStr">
        <is>
          <t>Lists and datasets</t>
        </is>
      </c>
      <c r="X393" s="9" t="n"/>
      <c r="Y393" s="9" t="inlineStr">
        <is>
          <t>Datasets</t>
        </is>
      </c>
      <c r="Z393" s="9" t="n"/>
      <c r="AA393" s="9" t="n"/>
      <c r="AB393" s="9" t="n"/>
      <c r="AC393" s="9" t="n"/>
      <c r="AD393" s="9" t="n"/>
      <c r="AE393" s="10" t="inlineStr">
        <is>
          <t>https://archive.org/details/github.com-sfsheath-ramphs_-_2014-12-19_20-59-57</t>
        </is>
      </c>
      <c r="AF393" s="9" t="n"/>
      <c r="AG393" s="9" t="n"/>
    </row>
    <row r="394">
      <c r="A394" s="9" t="inlineStr">
        <is>
          <t>rapanui-radiocarbon</t>
        </is>
      </c>
      <c r="B394" s="9" t="inlineStr">
        <is>
          <t>A repository of radiocarbon data for Rapa Nui.</t>
        </is>
      </c>
      <c r="C394" s="10" t="inlineStr">
        <is>
          <t>https://github.com/clipo/rapanui-radiocarbon</t>
        </is>
      </c>
      <c r="D394" s="9" t="n"/>
      <c r="E394" s="9" t="n"/>
      <c r="F394" s="9" t="n"/>
      <c r="G394" s="9" t="n"/>
      <c r="H394" s="9" t="n"/>
      <c r="I394" s="9" t="n"/>
      <c r="J394" s="9" t="n"/>
      <c r="K394" s="9" t="n"/>
      <c r="L394" s="9" t="n"/>
      <c r="M394" s="9" t="n"/>
      <c r="N394" s="9" t="n"/>
      <c r="O394" s="9" t="n"/>
      <c r="P394" s="9" t="n"/>
      <c r="Q394" s="9" t="inlineStr">
        <is>
          <t>clipo</t>
        </is>
      </c>
      <c r="R394" s="9" t="inlineStr">
        <is>
          <t>rdinapoli</t>
        </is>
      </c>
      <c r="S394" s="9" t="n"/>
      <c r="T394" s="9" t="n"/>
      <c r="U394" s="9" t="n"/>
      <c r="V394" s="9" t="n"/>
      <c r="W394" s="9" t="inlineStr">
        <is>
          <t>Lists and datasets</t>
        </is>
      </c>
      <c r="X394" s="9" t="n"/>
      <c r="Y394" s="9" t="inlineStr">
        <is>
          <t>Datasets</t>
        </is>
      </c>
      <c r="Z394" s="9" t="inlineStr">
        <is>
          <t>Radiocarbon dating, calibration and sequencing</t>
        </is>
      </c>
      <c r="AA394" s="9" t="n"/>
      <c r="AB394" s="9" t="n"/>
      <c r="AC394" s="9" t="n"/>
      <c r="AD394" s="9" t="n"/>
      <c r="AE394" s="10" t="inlineStr">
        <is>
          <t>https://archive.org/details/github.com-clipo-rapanui-radiocarbon_-_2021-03-31_17-01-02</t>
        </is>
      </c>
      <c r="AF394" s="9" t="n"/>
      <c r="AG394" s="9" t="n"/>
    </row>
    <row r="395">
      <c r="A395" s="9" t="inlineStr">
        <is>
          <t>rarcheo</t>
        </is>
      </c>
      <c r="B395" s="9" t="inlineStr">
        <is>
          <t>Online textbook about how tackle a wide range of problems using R.</t>
        </is>
      </c>
      <c r="C395" s="10" t="inlineStr">
        <is>
          <t>https://github.com/nfrerebeau/rarcheo</t>
        </is>
      </c>
      <c r="D395" s="9" t="n"/>
      <c r="E395" s="9" t="n"/>
      <c r="F395" s="9" t="n"/>
      <c r="G395" s="9" t="n"/>
      <c r="H395" s="9" t="n"/>
      <c r="I395" s="9" t="n"/>
      <c r="J395" s="9" t="n"/>
      <c r="K395" s="9" t="n"/>
      <c r="L395" s="9" t="n"/>
      <c r="M395" s="9" t="n"/>
      <c r="N395" s="10" t="inlineStr">
        <is>
          <t>https://r-archeo.huma-num.fr/</t>
        </is>
      </c>
      <c r="O395" s="9" t="n"/>
      <c r="P395" s="9" t="n"/>
      <c r="Q395" s="9" t="inlineStr">
        <is>
          <t>nfrerebeau</t>
        </is>
      </c>
      <c r="R395" s="9" t="n"/>
      <c r="S395" s="9" t="n"/>
      <c r="T395" s="9" t="n"/>
      <c r="U395" s="9" t="n"/>
      <c r="V395" s="9" t="n"/>
      <c r="W395" s="9" t="inlineStr">
        <is>
          <t>Guides</t>
        </is>
      </c>
      <c r="X395" s="9" t="n"/>
      <c r="Y395" s="9" t="inlineStr">
        <is>
          <t>Educational resources and practical guides</t>
        </is>
      </c>
      <c r="Z395" s="9" t="n"/>
      <c r="AA395" s="9" t="n"/>
      <c r="AB395" s="9" t="n"/>
      <c r="AC395" s="9" t="n"/>
      <c r="AD395" s="9" t="n"/>
      <c r="AE395" s="9" t="n"/>
      <c r="AF395" s="9" t="n"/>
      <c r="AG395" s="9" t="n"/>
    </row>
    <row r="396">
      <c r="A396" s="9" t="inlineStr">
        <is>
          <t>rbacon</t>
        </is>
      </c>
      <c r="B396" s="9" t="inlineStr">
        <is>
          <t>A package for Bayesian age-depth modelling of sediment cores, constrained by prior information on sedimentation rates and their variability.</t>
        </is>
      </c>
      <c r="C396" s="10" t="inlineStr">
        <is>
          <t>https://github.com/Maarten14C/rbacon</t>
        </is>
      </c>
      <c r="D396" s="9" t="n"/>
      <c r="E396" s="9" t="n"/>
      <c r="F396" s="9" t="n"/>
      <c r="G396" s="9" t="n"/>
      <c r="H396" s="9" t="n"/>
      <c r="I396" s="9" t="n"/>
      <c r="J396" s="9" t="n"/>
      <c r="K396" s="10" t="inlineStr">
        <is>
          <t>https://cran.r-project.org/package=rbacon</t>
        </is>
      </c>
      <c r="L396" s="9" t="n"/>
      <c r="M396" s="9" t="n"/>
      <c r="N396" s="9" t="n"/>
      <c r="O396" s="9" t="n"/>
      <c r="P396" s="9" t="n"/>
      <c r="Q396" s="9" t="inlineStr">
        <is>
          <t>Maarten14C</t>
        </is>
      </c>
      <c r="R396" s="9" t="n"/>
      <c r="S396" s="9" t="n"/>
      <c r="T396" s="9" t="n"/>
      <c r="U396" s="9" t="n"/>
      <c r="V396" s="9" t="n"/>
      <c r="W396" s="9" t="inlineStr">
        <is>
          <t>Packages and libraries</t>
        </is>
      </c>
      <c r="X396" s="9" t="inlineStr">
        <is>
          <t>R</t>
        </is>
      </c>
      <c r="Y396" s="9" t="inlineStr">
        <is>
          <t>Chronological modelling</t>
        </is>
      </c>
      <c r="Z396" s="9" t="inlineStr">
        <is>
          <t>Radiocarbon dating, calibration and sequencing</t>
        </is>
      </c>
      <c r="AA396" s="9" t="n"/>
      <c r="AB396" s="9" t="n"/>
      <c r="AC396" s="9" t="n"/>
      <c r="AD396" s="9" t="n"/>
      <c r="AE396" s="9" t="n"/>
      <c r="AF396" s="9" t="n"/>
      <c r="AG396" s="9" t="n"/>
    </row>
    <row r="397">
      <c r="A397" s="9" t="inlineStr">
        <is>
          <t>Rcarb</t>
        </is>
      </c>
      <c r="B397" s="9" t="inlineStr">
        <is>
          <t>The R package 'RCarb' provides a collection of various R functions to model dose rates in carbonate-rich samples. The package is a translation of the 'MATLAB' program Carb by Roger P. Nathan</t>
        </is>
      </c>
      <c r="C397" s="10" t="inlineStr">
        <is>
          <t>https://github.com/R-Lum/RCarb</t>
        </is>
      </c>
      <c r="D397" s="9" t="n"/>
      <c r="E397" s="9" t="n"/>
      <c r="F397" s="9" t="n"/>
      <c r="G397" s="9" t="n"/>
      <c r="H397" s="9" t="n"/>
      <c r="I397" s="9" t="n"/>
      <c r="J397" s="9" t="n"/>
      <c r="K397" s="9" t="n"/>
      <c r="L397" s="9" t="n"/>
      <c r="M397" s="9" t="n"/>
      <c r="N397" s="9" t="n"/>
      <c r="O397" s="9" t="n"/>
      <c r="P397" s="9" t="n"/>
      <c r="Q397" s="9" t="inlineStr">
        <is>
          <t>R-Lum</t>
        </is>
      </c>
      <c r="R397" s="9" t="n"/>
      <c r="S397" s="9" t="n"/>
      <c r="T397" s="9" t="n"/>
      <c r="U397" s="9" t="n"/>
      <c r="V397" s="9" t="n"/>
      <c r="W397" s="9" t="inlineStr">
        <is>
          <t>Packages and libraries</t>
        </is>
      </c>
      <c r="X397" s="9" t="inlineStr">
        <is>
          <t>R</t>
        </is>
      </c>
      <c r="Y397" s="9" t="inlineStr">
        <is>
          <t>Luminescence dating</t>
        </is>
      </c>
      <c r="Z397" s="9" t="n"/>
      <c r="AA397" s="9" t="n"/>
      <c r="AB397" s="9" t="n"/>
      <c r="AC397" s="9" t="n"/>
      <c r="AD397" s="9" t="n"/>
      <c r="AE397" s="10" t="inlineStr">
        <is>
          <t>https://archive.org/details/github.com-R-Lum-RCarb_-_2021-01-03_12-21-09</t>
        </is>
      </c>
      <c r="AF397" s="9" t="n"/>
      <c r="AG397" s="9" t="n"/>
    </row>
    <row r="398">
      <c r="A398" s="9" t="inlineStr">
        <is>
          <t>rcarbon</t>
        </is>
      </c>
      <c r="B398" s="9" t="inlineStr">
        <is>
          <t>Methods for calibrating and analysing radiocarbon dates</t>
        </is>
      </c>
      <c r="C398" s="10" t="inlineStr">
        <is>
          <t>https://github.com/ahb108/rcarbon</t>
        </is>
      </c>
      <c r="D398" s="9" t="n"/>
      <c r="E398" s="9" t="n"/>
      <c r="F398" s="9" t="n"/>
      <c r="G398" s="9" t="n"/>
      <c r="H398" s="9" t="n"/>
      <c r="I398" s="9" t="n"/>
      <c r="J398" s="9" t="n"/>
      <c r="K398" s="9" t="n"/>
      <c r="L398" s="9" t="n"/>
      <c r="M398" s="9" t="n"/>
      <c r="N398" s="9" t="n"/>
      <c r="O398" s="9" t="n"/>
      <c r="P398" s="9" t="n"/>
      <c r="Q398" s="9" t="inlineStr">
        <is>
          <t>ahb108</t>
        </is>
      </c>
      <c r="R398" s="9" t="n"/>
      <c r="S398" s="9" t="n"/>
      <c r="T398" s="9" t="n"/>
      <c r="U398" s="9" t="n"/>
      <c r="V398" s="9" t="n"/>
      <c r="W398" s="9" t="inlineStr">
        <is>
          <t>Packages and libraries</t>
        </is>
      </c>
      <c r="X398" s="9" t="inlineStr">
        <is>
          <t>R</t>
        </is>
      </c>
      <c r="Y398" s="9" t="inlineStr">
        <is>
          <t>Radiocarbon dating, calibration and sequencing</t>
        </is>
      </c>
      <c r="Z398" s="9" t="n"/>
      <c r="AA398" s="9" t="n"/>
      <c r="AB398" s="9" t="n"/>
      <c r="AC398" s="9" t="n"/>
      <c r="AD398" s="9" t="n"/>
      <c r="AE398" s="10" t="inlineStr">
        <is>
          <t>https://archive.org/details/github.com-ahb108-rcarbon_-_2021-02-04_16-06-01</t>
        </is>
      </c>
      <c r="AF398" s="9" t="n"/>
      <c r="AG398" s="9" t="n"/>
    </row>
    <row r="399">
      <c r="A399" s="9" t="inlineStr">
        <is>
          <t>rdss</t>
        </is>
      </c>
      <c r="B399" s="9" t="inlineStr">
        <is>
          <t>An R package to facilitate the use of Murail et al.'s (1999) approach of sex estimation in past populations.</t>
        </is>
      </c>
      <c r="C399" s="10" t="inlineStr">
        <is>
          <t>https://github.com/frederic-santos/rdss</t>
        </is>
      </c>
      <c r="D399" s="9" t="n"/>
      <c r="E399" s="9" t="n"/>
      <c r="F399" s="9" t="n"/>
      <c r="G399" s="9" t="n"/>
      <c r="H399" s="9" t="n"/>
      <c r="I399" s="9" t="n"/>
      <c r="J399" s="9" t="n"/>
      <c r="K399" s="9" t="n"/>
      <c r="L399" s="9" t="n"/>
      <c r="M399" s="9" t="n"/>
      <c r="N399" s="9" t="n"/>
      <c r="O399" s="9" t="n"/>
      <c r="P399" s="9" t="inlineStr">
        <is>
          <t>10.1002/oa.2957</t>
        </is>
      </c>
      <c r="Q399" s="9" t="inlineStr">
        <is>
          <t>frederic-santos</t>
        </is>
      </c>
      <c r="R399" s="9" t="n"/>
      <c r="S399" s="9" t="n"/>
      <c r="T399" s="9" t="n"/>
      <c r="U399" s="9" t="n"/>
      <c r="V399" s="9" t="n"/>
      <c r="W399" s="9" t="inlineStr">
        <is>
          <t>Packages and libraries</t>
        </is>
      </c>
      <c r="X399" s="9" t="inlineStr">
        <is>
          <t>R</t>
        </is>
      </c>
      <c r="Y399" s="9" t="inlineStr">
        <is>
          <t>Cultural evolution</t>
        </is>
      </c>
      <c r="Z399" s="9" t="inlineStr">
        <is>
          <t>Statistical analysis</t>
        </is>
      </c>
      <c r="AA399" s="9" t="n"/>
      <c r="AB399" s="9" t="n"/>
      <c r="AC399" s="9" t="n"/>
      <c r="AD399" s="9" t="n"/>
      <c r="AE399" s="10" t="inlineStr">
        <is>
          <t>https://archive.org/details/github.com-frederic-santos-rdss_-_2021-01-21_10-05-28</t>
        </is>
      </c>
      <c r="AF399" s="9" t="n"/>
      <c r="AG399" s="9" t="n"/>
    </row>
    <row r="400">
      <c r="A400" s="9" t="inlineStr">
        <is>
          <t>recexcavAAR</t>
        </is>
      </c>
      <c r="B400" s="9" t="inlineStr">
        <is>
          <t>R package for 3D reconstruction of archaeological excavations.</t>
        </is>
      </c>
      <c r="C400" s="10" t="inlineStr">
        <is>
          <t>https://github.com/ISAAKiel/recexcavAAR/</t>
        </is>
      </c>
      <c r="D400" s="9" t="n"/>
      <c r="E400" s="9" t="n"/>
      <c r="F400" s="9" t="n"/>
      <c r="G400" s="9" t="n"/>
      <c r="H400" s="9" t="n"/>
      <c r="I400" s="9" t="n"/>
      <c r="J400" s="9" t="n"/>
      <c r="K400" s="10" t="inlineStr">
        <is>
          <t>https://cran.r-project.org/package=recexcavAAR</t>
        </is>
      </c>
      <c r="L400" s="9" t="n"/>
      <c r="M400" s="9" t="n"/>
      <c r="N400" s="9" t="n"/>
      <c r="O400" s="9" t="n"/>
      <c r="P400" s="9" t="n"/>
      <c r="Q400" s="9" t="inlineStr">
        <is>
          <t>ISAAKiel</t>
        </is>
      </c>
      <c r="R400" s="9" t="n"/>
      <c r="S400" s="9" t="n"/>
      <c r="T400" s="9" t="n"/>
      <c r="U400" s="9" t="n"/>
      <c r="V400" s="9" t="n"/>
      <c r="W400" s="9" t="inlineStr">
        <is>
          <t>Packages and libraries</t>
        </is>
      </c>
      <c r="X400" s="9" t="inlineStr">
        <is>
          <t>R</t>
        </is>
      </c>
      <c r="Y400" s="9" t="inlineStr">
        <is>
          <t>3D modelling</t>
        </is>
      </c>
      <c r="Z400" s="9" t="n"/>
      <c r="AA400" s="9" t="n"/>
      <c r="AB400" s="9" t="n"/>
      <c r="AC400" s="9" t="n"/>
      <c r="AD400" s="9" t="n"/>
      <c r="AE400" s="10" t="inlineStr">
        <is>
          <t>https://archive.org/details/github.com-ISAAKiel-recexcavAAR_-_2020-07-09_13-15-10</t>
        </is>
      </c>
      <c r="AF400" s="9" t="n"/>
      <c r="AG400" s="9" t="n"/>
    </row>
    <row r="401">
      <c r="A401" s="9" t="inlineStr">
        <is>
          <t>recmod</t>
        </is>
      </c>
      <c r="B401" s="9" t="inlineStr">
        <is>
          <t>Tools for estimating parameters for Radiocarbon-dated Event Count (REC) Models.</t>
        </is>
      </c>
      <c r="C401" s="10" t="inlineStr">
        <is>
          <t>https://github.com/wccarleton/recmod</t>
        </is>
      </c>
      <c r="D401" s="9" t="n"/>
      <c r="E401" s="9" t="n"/>
      <c r="F401" s="9" t="n"/>
      <c r="G401" s="9" t="n"/>
      <c r="H401" s="9" t="n"/>
      <c r="I401" s="9" t="n"/>
      <c r="J401" s="9" t="n"/>
      <c r="K401" s="9" t="n"/>
      <c r="L401" s="9" t="n"/>
      <c r="M401" s="9" t="n"/>
      <c r="N401" s="9" t="n"/>
      <c r="O401" s="9" t="n"/>
      <c r="P401" s="9" t="n"/>
      <c r="Q401" s="9" t="inlineStr">
        <is>
          <t>wccarleton</t>
        </is>
      </c>
      <c r="R401" s="9" t="n"/>
      <c r="S401" s="9" t="n"/>
      <c r="T401" s="9" t="n"/>
      <c r="U401" s="9" t="n"/>
      <c r="V401" s="9" t="n"/>
      <c r="W401" s="9" t="inlineStr">
        <is>
          <t>Packages and libraries</t>
        </is>
      </c>
      <c r="X401" s="9" t="inlineStr">
        <is>
          <t>R</t>
        </is>
      </c>
      <c r="Y401" s="9" t="inlineStr">
        <is>
          <t>Chronological modelling</t>
        </is>
      </c>
      <c r="Z401" s="9" t="inlineStr">
        <is>
          <t>Radiocarbon dating, calibration and sequencing</t>
        </is>
      </c>
      <c r="AA401" s="9" t="n"/>
      <c r="AB401" s="9" t="n"/>
      <c r="AC401" s="9" t="n"/>
      <c r="AD401" s="9" t="n"/>
      <c r="AE401" s="9" t="n"/>
      <c r="AF401" s="9" t="n"/>
      <c r="AG401" s="9" t="n"/>
    </row>
    <row r="402">
      <c r="A402" s="9" t="inlineStr">
        <is>
          <t>rekrei</t>
        </is>
      </c>
      <c r="B402" s="9" t="inlineStr">
        <is>
          <t>Platform for crowdsourcing the digital recreation of lost heritage</t>
        </is>
      </c>
      <c r="C402" s="10" t="inlineStr">
        <is>
          <t>https://github.com/rekrei/rekrei</t>
        </is>
      </c>
      <c r="D402" s="9" t="n"/>
      <c r="E402" s="9" t="n"/>
      <c r="F402" s="9" t="n"/>
      <c r="G402" s="9" t="n"/>
      <c r="H402" s="9" t="n"/>
      <c r="I402" s="9" t="n"/>
      <c r="J402" s="9" t="n"/>
      <c r="K402" s="9" t="n"/>
      <c r="L402" s="9" t="n"/>
      <c r="M402" s="9" t="n"/>
      <c r="N402" s="9" t="n"/>
      <c r="O402" s="9" t="n"/>
      <c r="P402" s="9" t="n"/>
      <c r="Q402" s="9" t="inlineStr">
        <is>
          <t>rekrei</t>
        </is>
      </c>
      <c r="R402" s="9" t="n"/>
      <c r="S402" s="9" t="n"/>
      <c r="T402" s="9" t="n"/>
      <c r="U402" s="9" t="n"/>
      <c r="V402" s="9" t="n"/>
      <c r="W402" s="9" t="inlineStr">
        <is>
          <t>Standalone software</t>
        </is>
      </c>
      <c r="X402" s="9" t="n"/>
      <c r="Y402" s="9" t="inlineStr">
        <is>
          <t>Platforms and publications</t>
        </is>
      </c>
      <c r="Z402" s="9" t="n"/>
      <c r="AA402" s="9" t="n"/>
      <c r="AB402" s="9" t="n"/>
      <c r="AC402" s="9" t="n"/>
      <c r="AD402" s="9" t="n"/>
      <c r="AE402" s="10" t="inlineStr">
        <is>
          <t>https://archive.org/details/github.com-rekrei-rekrei_-_2021-01-14_19-27-48</t>
        </is>
      </c>
      <c r="AF402" s="9" t="n"/>
      <c r="AG402" s="9" t="n"/>
    </row>
    <row r="403">
      <c r="A403" s="9" t="inlineStr">
        <is>
          <t>RGPR</t>
        </is>
      </c>
      <c r="B403" s="9" t="inlineStr">
        <is>
          <t>RGPR is a free and open-source software package to read, export, analyse, process and visualise ground-penetrating radar (GPR) data</t>
        </is>
      </c>
      <c r="C403" s="10" t="inlineStr">
        <is>
          <t>https://github.com/emanuelhuber/RGPR</t>
        </is>
      </c>
      <c r="D403" s="9" t="n"/>
      <c r="E403" s="9" t="n"/>
      <c r="F403" s="9" t="n"/>
      <c r="G403" s="9" t="n"/>
      <c r="H403" s="9" t="n"/>
      <c r="I403" s="9" t="n"/>
      <c r="J403" s="9" t="n"/>
      <c r="K403" s="9" t="n"/>
      <c r="L403" s="9" t="n"/>
      <c r="M403" s="9" t="n"/>
      <c r="N403" s="10" t="inlineStr">
        <is>
          <t>http://emanuelhuber.github.io/RGPR/</t>
        </is>
      </c>
      <c r="O403" s="9" t="n"/>
      <c r="P403" s="9" t="n"/>
      <c r="Q403" s="9" t="inlineStr">
        <is>
          <t>emanuelhuber</t>
        </is>
      </c>
      <c r="R403" s="9" t="n"/>
      <c r="S403" s="9" t="n"/>
      <c r="T403" s="9" t="n"/>
      <c r="U403" s="9" t="n"/>
      <c r="V403" s="9" t="n"/>
      <c r="W403" s="9" t="inlineStr">
        <is>
          <t>Packages and libraries</t>
        </is>
      </c>
      <c r="X403" s="9" t="inlineStr">
        <is>
          <t>R</t>
        </is>
      </c>
      <c r="Y403" s="9" t="inlineStr">
        <is>
          <t>Geophysical survey</t>
        </is>
      </c>
      <c r="Z403" s="9" t="n"/>
      <c r="AA403" s="9" t="n"/>
      <c r="AB403" s="9" t="n"/>
      <c r="AC403" s="9" t="n"/>
      <c r="AD403" s="9" t="n"/>
      <c r="AE403" s="10" t="inlineStr">
        <is>
          <t>https://archive.org/details/github.com-emanuelhuber-RGPR_-_2021-02-08_18-17-57</t>
        </is>
      </c>
      <c r="AF403" s="9" t="n"/>
      <c r="AG403" s="9" t="n"/>
    </row>
    <row r="404">
      <c r="A404" s="9" t="inlineStr">
        <is>
          <t>rintchron</t>
        </is>
      </c>
      <c r="B404" s="9" t="inlineStr">
        <is>
          <t>rintchron provides an R interface to IntChron, an indexing service and exchange format for chronological data such as radiocarbon dates.</t>
        </is>
      </c>
      <c r="C404" s="10" t="inlineStr">
        <is>
          <t>https://github.com/joeroe/rintchron</t>
        </is>
      </c>
      <c r="D404" s="9" t="n"/>
      <c r="E404" s="9" t="n"/>
      <c r="F404" s="9" t="n"/>
      <c r="G404" s="9" t="n"/>
      <c r="H404" s="9" t="n"/>
      <c r="I404" s="9" t="n"/>
      <c r="J404" s="9" t="n"/>
      <c r="K404" s="9" t="n"/>
      <c r="L404" s="9" t="n"/>
      <c r="M404" s="9" t="n"/>
      <c r="N404" s="9" t="n"/>
      <c r="O404" s="9" t="n"/>
      <c r="P404" s="9" t="n"/>
      <c r="Q404" s="9" t="inlineStr">
        <is>
          <t>joeroe</t>
        </is>
      </c>
      <c r="R404" s="9" t="n"/>
      <c r="S404" s="9" t="n"/>
      <c r="T404" s="9" t="n"/>
      <c r="U404" s="9" t="n"/>
      <c r="V404" s="9" t="n"/>
      <c r="W404" s="9" t="inlineStr">
        <is>
          <t>Packages and libraries</t>
        </is>
      </c>
      <c r="X404" s="9" t="inlineStr">
        <is>
          <t>R</t>
        </is>
      </c>
      <c r="Y404" s="9" t="inlineStr">
        <is>
          <t>Radiocarbon dating, calibration and sequencing</t>
        </is>
      </c>
      <c r="Z404" s="9" t="inlineStr">
        <is>
          <t>API interfaces and web scrapers</t>
        </is>
      </c>
      <c r="AA404" s="9" t="n"/>
      <c r="AB404" s="9" t="n"/>
      <c r="AC404" s="9" t="n"/>
      <c r="AD404" s="9" t="n"/>
      <c r="AE404" s="10" t="inlineStr">
        <is>
          <t>https://archive.org/details/github.com-joeroe-rintchron_-_2021-01-20_16-36-37</t>
        </is>
      </c>
      <c r="AF404" s="9" t="n"/>
      <c r="AG404" s="9" t="n"/>
    </row>
    <row r="405">
      <c r="A405" s="9" t="inlineStr">
        <is>
          <t>RJradiocarbon</t>
        </is>
      </c>
      <c r="B405" s="9" t="inlineStr">
        <is>
          <t>Radiocarbon calibration of multiple 14C samples using reversible jump poisson process.</t>
        </is>
      </c>
      <c r="C405" s="10" t="inlineStr">
        <is>
          <t>https://github.com/sara-amira-alassam/RJradiocarbon</t>
        </is>
      </c>
      <c r="D405" s="9" t="n"/>
      <c r="E405" s="9" t="n"/>
      <c r="F405" s="9" t="n"/>
      <c r="G405" s="9" t="n"/>
      <c r="H405" s="9" t="n"/>
      <c r="I405" s="9" t="n"/>
      <c r="J405" s="9" t="n"/>
      <c r="K405" s="9" t="n"/>
      <c r="L405" s="9" t="n"/>
      <c r="M405" s="9" t="n"/>
      <c r="N405" s="9" t="n"/>
      <c r="O405" s="9" t="n"/>
      <c r="P405" s="9" t="n"/>
      <c r="Q405" s="9" t="inlineStr">
        <is>
          <t>sara-amira-alassam</t>
        </is>
      </c>
      <c r="R405" s="9" t="n"/>
      <c r="S405" s="9" t="n"/>
      <c r="T405" s="9" t="n"/>
      <c r="U405" s="9" t="n"/>
      <c r="V405" s="9" t="n"/>
      <c r="W405" s="9" t="inlineStr">
        <is>
          <t>Packages and libraries</t>
        </is>
      </c>
      <c r="X405" s="9" t="inlineStr">
        <is>
          <t>R</t>
        </is>
      </c>
      <c r="Y405" s="9" t="inlineStr">
        <is>
          <t>Radiocarbon dating, calibration and sequencing</t>
        </is>
      </c>
      <c r="Z405" s="9" t="n"/>
      <c r="AA405" s="9" t="n"/>
      <c r="AB405" s="9" t="n"/>
      <c r="AC405" s="9" t="n"/>
      <c r="AD405" s="9" t="n"/>
      <c r="AE405" s="9" t="n"/>
      <c r="AF405" s="9" t="n"/>
      <c r="AG405" s="9" t="n"/>
    </row>
    <row r="406">
      <c r="A406" s="9" t="inlineStr">
        <is>
          <t>RLumModel</t>
        </is>
      </c>
      <c r="B406" s="9" t="inlineStr">
        <is>
          <t>Solving Ordinary Differential Equations to Understand Luminescence</t>
        </is>
      </c>
      <c r="C406" s="10" t="inlineStr">
        <is>
          <t>https://github.com/R-Lum/RLumModel</t>
        </is>
      </c>
      <c r="D406" s="9" t="n"/>
      <c r="E406" s="9" t="n"/>
      <c r="F406" s="9" t="n"/>
      <c r="G406" s="9" t="n"/>
      <c r="H406" s="9" t="n"/>
      <c r="I406" s="9" t="n"/>
      <c r="J406" s="9" t="n"/>
      <c r="K406" s="9" t="n"/>
      <c r="L406" s="9" t="n"/>
      <c r="M406" s="9" t="n"/>
      <c r="N406" s="9" t="n"/>
      <c r="O406" s="9" t="n"/>
      <c r="P406" s="9" t="n"/>
      <c r="Q406" s="9" t="inlineStr">
        <is>
          <t>R-Lum</t>
        </is>
      </c>
      <c r="R406" s="9" t="n"/>
      <c r="S406" s="9" t="n"/>
      <c r="T406" s="9" t="n"/>
      <c r="U406" s="9" t="n"/>
      <c r="V406" s="9" t="n"/>
      <c r="W406" s="9" t="inlineStr">
        <is>
          <t>Packages and libraries</t>
        </is>
      </c>
      <c r="X406" s="9" t="inlineStr">
        <is>
          <t>R</t>
        </is>
      </c>
      <c r="Y406" s="9" t="inlineStr">
        <is>
          <t>Luminescence dating</t>
        </is>
      </c>
      <c r="Z406" s="9" t="n"/>
      <c r="AA406" s="9" t="n"/>
      <c r="AB406" s="9" t="n"/>
      <c r="AC406" s="9" t="n"/>
      <c r="AD406" s="9" t="n"/>
      <c r="AE406" s="10" t="inlineStr">
        <is>
          <t>https://archive.org/details/github.com-R-Lum-RLumModel_-_2021-01-03_13-13-23</t>
        </is>
      </c>
      <c r="AF406" s="9" t="n"/>
      <c r="AG406" s="9" t="n"/>
    </row>
    <row r="407">
      <c r="A407" s="9" t="inlineStr">
        <is>
          <t>rock-art-radnet</t>
        </is>
      </c>
      <c r="B407" s="9" t="inlineStr">
        <is>
          <t>Rock art object detection model.</t>
        </is>
      </c>
      <c r="C407" s="10" t="inlineStr">
        <is>
          <t>https://github.com/Swedish-Rock-Art-Research-Archives/rock-art-radnet</t>
        </is>
      </c>
      <c r="D407" s="9" t="n"/>
      <c r="E407" s="9" t="n"/>
      <c r="F407" s="9" t="n"/>
      <c r="G407" s="9" t="n"/>
      <c r="H407" s="9" t="n"/>
      <c r="I407" s="9" t="n"/>
      <c r="J407" s="9" t="n"/>
      <c r="K407" s="9" t="n"/>
      <c r="L407" s="9" t="n"/>
      <c r="M407" s="9" t="n"/>
      <c r="N407" s="9" t="n"/>
      <c r="O407" s="9" t="n"/>
      <c r="P407" s="9" t="n"/>
      <c r="Q407" s="9" t="inlineStr">
        <is>
          <t>Swedish-Rock-Art-Research-Archives</t>
        </is>
      </c>
      <c r="R407" s="9" t="n"/>
      <c r="S407" s="9" t="n"/>
      <c r="T407" s="9" t="n"/>
      <c r="U407" s="9" t="n"/>
      <c r="V407" s="9" t="n"/>
      <c r="W407" s="9" t="inlineStr">
        <is>
          <t>Packages and libraries</t>
        </is>
      </c>
      <c r="X407" s="9" t="inlineStr">
        <is>
          <t>Python</t>
        </is>
      </c>
      <c r="Y407" s="9" t="inlineStr">
        <is>
          <t>Shape recognition</t>
        </is>
      </c>
      <c r="Z407" s="9" t="inlineStr">
        <is>
          <t>Iconography</t>
        </is>
      </c>
      <c r="AA407" s="9" t="n"/>
      <c r="AB407" s="9" t="n"/>
      <c r="AC407" s="9" t="n"/>
      <c r="AD407" s="9" t="n"/>
      <c r="AE407" s="9" t="n"/>
      <c r="AF407" s="9" t="n"/>
      <c r="AG407" s="9" t="n"/>
    </row>
    <row r="408">
      <c r="A408" s="9" t="inlineStr">
        <is>
          <t>rock-art-ratopoviz</t>
        </is>
      </c>
      <c r="B408" s="9" t="inlineStr">
        <is>
          <t>Create visualizations from laserscans.</t>
        </is>
      </c>
      <c r="C408" s="10" t="inlineStr">
        <is>
          <t>https://github.com/Swedish-Rock-Art-Research-Archives/rock-art-ratopoviz</t>
        </is>
      </c>
      <c r="D408" s="9" t="n"/>
      <c r="E408" s="9" t="n"/>
      <c r="F408" s="9" t="n"/>
      <c r="G408" s="9" t="n"/>
      <c r="H408" s="9" t="n"/>
      <c r="I408" s="9" t="n"/>
      <c r="J408" s="9" t="n"/>
      <c r="K408" s="9" t="n"/>
      <c r="L408" s="9" t="n"/>
      <c r="M408" s="9" t="n"/>
      <c r="N408" s="9" t="n"/>
      <c r="O408" s="9" t="n"/>
      <c r="P408" s="9" t="n"/>
      <c r="Q408" s="9" t="inlineStr">
        <is>
          <t>Swedish-Rock-Art-Research-Archives</t>
        </is>
      </c>
      <c r="R408" s="9" t="n"/>
      <c r="S408" s="9" t="n"/>
      <c r="T408" s="9" t="n"/>
      <c r="U408" s="9" t="n"/>
      <c r="V408" s="9" t="n"/>
      <c r="W408" s="9" t="inlineStr">
        <is>
          <t>Packages and libraries</t>
        </is>
      </c>
      <c r="X408" s="9" t="inlineStr">
        <is>
          <t>Python</t>
        </is>
      </c>
      <c r="Y408" s="9" t="inlineStr">
        <is>
          <t>Shape recognition</t>
        </is>
      </c>
      <c r="Z408" s="9" t="inlineStr">
        <is>
          <t>Iconography</t>
        </is>
      </c>
      <c r="AA408" s="9" t="n"/>
      <c r="AB408" s="9" t="n"/>
      <c r="AC408" s="9" t="n"/>
      <c r="AD408" s="9" t="n"/>
      <c r="AE408" s="9" t="n"/>
      <c r="AF408" s="9" t="n"/>
      <c r="AG408" s="9" t="n"/>
    </row>
    <row r="409">
      <c r="A409" s="9" t="inlineStr">
        <is>
          <t>rock-art-transfer-learning</t>
        </is>
      </c>
      <c r="B409" s="9" t="inlineStr">
        <is>
          <t>Reconstructing rock art chronology with transfer learning</t>
        </is>
      </c>
      <c r="C409" s="10" t="inlineStr">
        <is>
          <t>https://github.com/keeeal/rock-art-transfer-learning</t>
        </is>
      </c>
      <c r="D409" s="9" t="n"/>
      <c r="E409" s="9" t="n"/>
      <c r="F409" s="9" t="n"/>
      <c r="G409" s="9" t="n"/>
      <c r="H409" s="9" t="n"/>
      <c r="I409" s="9" t="n"/>
      <c r="J409" s="9" t="n"/>
      <c r="K409" s="9" t="n"/>
      <c r="L409" s="9" t="n"/>
      <c r="M409" s="9" t="n"/>
      <c r="N409" s="9" t="n"/>
      <c r="O409" s="9" t="n"/>
      <c r="P409" s="9" t="n"/>
      <c r="Q409" s="9" t="inlineStr">
        <is>
          <t>keeeal</t>
        </is>
      </c>
      <c r="R409" s="9" t="n"/>
      <c r="S409" s="9" t="n"/>
      <c r="T409" s="9" t="n"/>
      <c r="U409" s="9" t="n"/>
      <c r="V409" s="9" t="n"/>
      <c r="W409" s="9" t="inlineStr">
        <is>
          <t>Packages and libraries</t>
        </is>
      </c>
      <c r="X409" s="9" t="inlineStr">
        <is>
          <t>Python</t>
        </is>
      </c>
      <c r="Y409" s="9" t="inlineStr">
        <is>
          <t>Shape recognition</t>
        </is>
      </c>
      <c r="Z409" s="9" t="inlineStr">
        <is>
          <t>Chronological modelling</t>
        </is>
      </c>
      <c r="AA409" s="9" t="inlineStr">
        <is>
          <t>Iconography</t>
        </is>
      </c>
      <c r="AB409" s="9" t="n"/>
      <c r="AC409" s="9" t="n"/>
      <c r="AD409" s="9" t="n"/>
      <c r="AE409" s="9" t="n"/>
      <c r="AF409" s="9" t="n"/>
      <c r="AG409" s="9" t="n"/>
    </row>
    <row r="410">
      <c r="A410" s="9" t="inlineStr">
        <is>
          <t>rockart-textanalysis</t>
        </is>
      </c>
      <c r="B410" s="9" t="inlineStr">
        <is>
          <t>A text analysis program to explore online content about prehistoric rock art.</t>
        </is>
      </c>
      <c r="C410" s="10" t="inlineStr">
        <is>
          <t>https://github.com/lakillo/rockart-textanalysis</t>
        </is>
      </c>
      <c r="D410" s="9" t="n"/>
      <c r="E410" s="9" t="n"/>
      <c r="F410" s="9" t="n"/>
      <c r="G410" s="9" t="n"/>
      <c r="H410" s="9" t="n"/>
      <c r="I410" s="9" t="n"/>
      <c r="J410" s="9" t="n"/>
      <c r="K410" s="9" t="n"/>
      <c r="L410" s="9" t="n"/>
      <c r="M410" s="9" t="n"/>
      <c r="N410" s="9" t="n"/>
      <c r="O410" s="9" t="n"/>
      <c r="P410" s="9" t="n"/>
      <c r="Q410" s="9" t="inlineStr">
        <is>
          <t>lakillo</t>
        </is>
      </c>
      <c r="R410" s="9" t="n"/>
      <c r="S410" s="9" t="n"/>
      <c r="T410" s="9" t="n"/>
      <c r="U410" s="9" t="n"/>
      <c r="V410" s="9" t="n"/>
      <c r="W410" s="9" t="inlineStr">
        <is>
          <t>Packages and libraries</t>
        </is>
      </c>
      <c r="X410" s="9" t="inlineStr">
        <is>
          <t>Python</t>
        </is>
      </c>
      <c r="Y410" s="9" t="inlineStr">
        <is>
          <t>Public archaeology</t>
        </is>
      </c>
      <c r="Z410" s="9" t="inlineStr">
        <is>
          <t>Machine learning</t>
        </is>
      </c>
      <c r="AA410" s="9" t="n"/>
      <c r="AB410" s="9" t="n"/>
      <c r="AC410" s="9" t="n"/>
      <c r="AD410" s="9" t="n"/>
      <c r="AE410" s="9" t="n"/>
      <c r="AF410" s="9" t="n"/>
      <c r="AG410" s="9" t="n"/>
    </row>
    <row r="411">
      <c r="A411" s="9" t="inlineStr">
        <is>
          <t>roev</t>
        </is>
      </c>
      <c r="B411" s="9" t="inlineStr">
        <is>
          <t>Functions for analysing and visualizing rates of evolution.</t>
        </is>
      </c>
      <c r="C411" s="10" t="inlineStr">
        <is>
          <t>https://github.com/benmarwick/roev</t>
        </is>
      </c>
      <c r="D411" s="9" t="n"/>
      <c r="E411" s="9" t="n"/>
      <c r="F411" s="9" t="n"/>
      <c r="G411" s="9" t="n"/>
      <c r="H411" s="9" t="n"/>
      <c r="I411" s="9" t="n"/>
      <c r="J411" s="9" t="n"/>
      <c r="K411" s="9" t="n"/>
      <c r="L411" s="9" t="n"/>
      <c r="M411" s="9" t="n"/>
      <c r="N411" s="9" t="n"/>
      <c r="O411" s="9" t="n"/>
      <c r="P411" s="9" t="n"/>
      <c r="Q411" s="9" t="inlineStr">
        <is>
          <t>benmarwick</t>
        </is>
      </c>
      <c r="R411" s="9" t="n"/>
      <c r="S411" s="9" t="n"/>
      <c r="T411" s="9" t="n"/>
      <c r="U411" s="9" t="n"/>
      <c r="V411" s="9" t="n"/>
      <c r="W411" s="9" t="inlineStr">
        <is>
          <t>Packages and libraries</t>
        </is>
      </c>
      <c r="X411" s="9" t="inlineStr">
        <is>
          <t>R</t>
        </is>
      </c>
      <c r="Y411" s="9" t="inlineStr">
        <is>
          <t>Statistical analysis</t>
        </is>
      </c>
      <c r="Z411" s="9" t="n"/>
      <c r="AA411" s="9" t="n"/>
      <c r="AB411" s="9" t="n"/>
      <c r="AC411" s="9" t="n"/>
      <c r="AD411" s="9" t="n"/>
      <c r="AE411" s="9" t="n"/>
      <c r="AF411" s="9" t="n"/>
      <c r="AG411" s="9" t="n"/>
    </row>
    <row r="412">
      <c r="A412" s="9" t="inlineStr">
        <is>
          <t>roman-amphitheaters</t>
        </is>
      </c>
      <c r="B412" s="9" t="inlineStr">
        <is>
          <t>A dataset and discussion relating to Roman amphitheaters</t>
        </is>
      </c>
      <c r="C412" s="10" t="inlineStr">
        <is>
          <t>https://github.com/sfsheath/roman-amphitheaters</t>
        </is>
      </c>
      <c r="D412" s="9" t="n"/>
      <c r="E412" s="9" t="n"/>
      <c r="F412" s="9" t="n"/>
      <c r="G412" s="9" t="n"/>
      <c r="H412" s="9" t="n"/>
      <c r="I412" s="9" t="n"/>
      <c r="J412" s="9" t="n"/>
      <c r="K412" s="9" t="n"/>
      <c r="L412" s="9" t="n"/>
      <c r="M412" s="9" t="n"/>
      <c r="N412" s="9" t="n"/>
      <c r="O412" s="9" t="n"/>
      <c r="P412" s="9" t="n"/>
      <c r="Q412" s="9" t="inlineStr">
        <is>
          <t>sfsheath</t>
        </is>
      </c>
      <c r="R412" s="9" t="n"/>
      <c r="S412" s="9" t="n"/>
      <c r="T412" s="9" t="n"/>
      <c r="U412" s="9" t="n"/>
      <c r="V412" s="9" t="n"/>
      <c r="W412" s="9" t="inlineStr">
        <is>
          <t>Lists and datasets</t>
        </is>
      </c>
      <c r="X412" s="9" t="n"/>
      <c r="Y412" s="9" t="inlineStr">
        <is>
          <t>Datasets</t>
        </is>
      </c>
      <c r="Z412" s="9" t="n"/>
      <c r="AA412" s="9" t="n"/>
      <c r="AB412" s="9" t="n"/>
      <c r="AC412" s="9" t="n"/>
      <c r="AD412" s="9" t="n"/>
      <c r="AE412" s="10" t="inlineStr">
        <is>
          <t>https://archive.org/details/github.com-sfsheath-roman-amphitheaters_-_2020-06-19_14-28-07</t>
        </is>
      </c>
      <c r="AF412" s="9" t="n"/>
      <c r="AG412" s="9" t="n"/>
    </row>
    <row r="413">
      <c r="A413" s="9" t="inlineStr">
        <is>
          <t>roman-amphitheaters</t>
        </is>
      </c>
      <c r="B413" s="9" t="inlineStr">
        <is>
          <t>A dataset of Roman amphitheaters.</t>
        </is>
      </c>
      <c r="C413" s="10" t="inlineStr">
        <is>
          <t>https://github.com/roman-amphitheaters/roman-amphitheaters</t>
        </is>
      </c>
      <c r="D413" s="9" t="n"/>
      <c r="E413" s="9" t="n"/>
      <c r="F413" s="9" t="n"/>
      <c r="G413" s="9" t="n"/>
      <c r="H413" s="9" t="n"/>
      <c r="I413" s="9" t="n"/>
      <c r="J413" s="9" t="n"/>
      <c r="K413" s="9" t="n"/>
      <c r="L413" s="9" t="n"/>
      <c r="M413" s="9" t="n"/>
      <c r="N413" s="9" t="n"/>
      <c r="O413" s="9" t="n"/>
      <c r="P413" s="9" t="n"/>
      <c r="Q413" s="9" t="inlineStr">
        <is>
          <t>roman-amphitheaters</t>
        </is>
      </c>
      <c r="R413" s="9" t="n"/>
      <c r="S413" s="9" t="n"/>
      <c r="T413" s="9" t="n"/>
      <c r="U413" s="9" t="n"/>
      <c r="V413" s="9" t="n"/>
      <c r="W413" s="9" t="inlineStr">
        <is>
          <t>Lists and datasets</t>
        </is>
      </c>
      <c r="X413" s="9" t="n"/>
      <c r="Y413" s="9" t="inlineStr">
        <is>
          <t>Datasets</t>
        </is>
      </c>
      <c r="Z413" s="9" t="n"/>
      <c r="AA413" s="9" t="n"/>
      <c r="AB413" s="9" t="n"/>
      <c r="AC413" s="9" t="n"/>
      <c r="AD413" s="9" t="n"/>
      <c r="AE413" s="10" t="inlineStr">
        <is>
          <t>https://archive.org/details/github.com-roman-amphitheaters-roman-amphitheaters_-_2021-05-29_14-30-00</t>
        </is>
      </c>
      <c r="AF413" s="9" t="n"/>
      <c r="AG413" s="9" t="n"/>
    </row>
    <row r="414">
      <c r="A414" s="9" t="inlineStr">
        <is>
          <t>roman-empire</t>
        </is>
      </c>
      <c r="B414" s="9" t="inlineStr">
        <is>
          <t>Map of the Roman Empire made with vector tiles</t>
        </is>
      </c>
      <c r="C414" s="10" t="inlineStr">
        <is>
          <t>https://github.com/klokantech/roman-empire</t>
        </is>
      </c>
      <c r="D414" s="9" t="n"/>
      <c r="E414" s="9" t="n"/>
      <c r="F414" s="9" t="n"/>
      <c r="G414" s="9" t="n"/>
      <c r="H414" s="9" t="n"/>
      <c r="I414" s="9" t="n"/>
      <c r="J414" s="9" t="n"/>
      <c r="K414" s="9" t="n"/>
      <c r="L414" s="9" t="n"/>
      <c r="M414" s="9" t="n"/>
      <c r="N414" s="9" t="n"/>
      <c r="O414" s="9" t="n"/>
      <c r="P414" s="9" t="n"/>
      <c r="Q414" s="9" t="inlineStr">
        <is>
          <t>klokantech</t>
        </is>
      </c>
      <c r="R414" s="9" t="n"/>
      <c r="S414" s="9" t="n"/>
      <c r="T414" s="9" t="n"/>
      <c r="U414" s="9" t="n"/>
      <c r="V414" s="9" t="n"/>
      <c r="W414" s="9" t="inlineStr">
        <is>
          <t>Lists and datasets</t>
        </is>
      </c>
      <c r="X414" s="9" t="n"/>
      <c r="Y414" s="9" t="inlineStr">
        <is>
          <t>Datasets</t>
        </is>
      </c>
      <c r="Z414" s="9" t="n"/>
      <c r="AA414" s="9" t="n"/>
      <c r="AB414" s="9" t="n"/>
      <c r="AC414" s="9" t="n"/>
      <c r="AD414" s="9" t="n"/>
      <c r="AE414" s="10" t="inlineStr">
        <is>
          <t>https://archive.org/details/github.com-klokantech-roman-empire_-_2020-10-23_20-34-48</t>
        </is>
      </c>
      <c r="AF414" s="9" t="n"/>
      <c r="AG414" s="9" t="n"/>
    </row>
    <row r="415">
      <c r="A415" s="9" t="inlineStr">
        <is>
          <t>roman-maps</t>
        </is>
      </c>
      <c r="B415" s="9" t="inlineStr">
        <is>
          <t>These are geojson files relevant to Roman history. Initially they are all derived from the Ancient World Mapping Center's set of CC-BY-NC licensed shapefiles.</t>
        </is>
      </c>
      <c r="C415" s="10" t="inlineStr">
        <is>
          <t>https://github.com/sfsheath/roman-maps</t>
        </is>
      </c>
      <c r="D415" s="9" t="n"/>
      <c r="E415" s="9" t="n"/>
      <c r="F415" s="9" t="n"/>
      <c r="G415" s="9" t="n"/>
      <c r="H415" s="9" t="n"/>
      <c r="I415" s="9" t="n"/>
      <c r="J415" s="9" t="n"/>
      <c r="K415" s="9" t="n"/>
      <c r="L415" s="9" t="n"/>
      <c r="M415" s="9" t="n"/>
      <c r="N415" s="9" t="n"/>
      <c r="O415" s="9" t="n"/>
      <c r="P415" s="9" t="n"/>
      <c r="Q415" s="9" t="inlineStr">
        <is>
          <t>sfsheath</t>
        </is>
      </c>
      <c r="R415" s="9" t="n"/>
      <c r="S415" s="9" t="n"/>
      <c r="T415" s="9" t="n"/>
      <c r="U415" s="9" t="n"/>
      <c r="V415" s="9" t="n"/>
      <c r="W415" s="9" t="inlineStr">
        <is>
          <t>Lists and datasets</t>
        </is>
      </c>
      <c r="X415" s="9" t="n"/>
      <c r="Y415" s="9" t="inlineStr">
        <is>
          <t>Datasets</t>
        </is>
      </c>
      <c r="Z415" s="9" t="n"/>
      <c r="AA415" s="9" t="n"/>
      <c r="AB415" s="9" t="n"/>
      <c r="AC415" s="9" t="n"/>
      <c r="AD415" s="9" t="n"/>
      <c r="AE415" s="10" t="inlineStr">
        <is>
          <t>https://archive.org/details/github.com-sfsheath-roman-maps_-_2014-09-22_01-44-03</t>
        </is>
      </c>
      <c r="AF415" s="9" t="n"/>
      <c r="AG415" s="9" t="n"/>
    </row>
    <row r="416">
      <c r="A416" s="9" t="inlineStr">
        <is>
          <t>Roman-material-database-info</t>
        </is>
      </c>
      <c r="B416" s="9" t="inlineStr">
        <is>
          <t>An interactive database of construction materials used in antiquity meant to enable creation of 3D and virtual reality (VR) models of historic structures.</t>
        </is>
      </c>
      <c r="C416" s="10" t="inlineStr">
        <is>
          <t>https://github.com/rkn2/Roman-material-database-info</t>
        </is>
      </c>
      <c r="D416" s="9" t="n"/>
      <c r="E416" s="9" t="n"/>
      <c r="F416" s="9" t="n"/>
      <c r="G416" s="9" t="n"/>
      <c r="H416" s="9" t="n"/>
      <c r="I416" s="9" t="n"/>
      <c r="J416" s="9" t="n"/>
      <c r="K416" s="9" t="n"/>
      <c r="L416" s="9" t="n"/>
      <c r="M416" s="9" t="n"/>
      <c r="N416" s="9" t="n"/>
      <c r="O416" s="9" t="n"/>
      <c r="P416" s="9" t="n"/>
      <c r="Q416" s="9" t="inlineStr">
        <is>
          <t>rkn2</t>
        </is>
      </c>
      <c r="R416" s="9" t="n"/>
      <c r="S416" s="9" t="n"/>
      <c r="T416" s="9" t="n"/>
      <c r="U416" s="9" t="n"/>
      <c r="V416" s="9" t="n"/>
      <c r="W416" s="9" t="inlineStr">
        <is>
          <t>Lists and datasets</t>
        </is>
      </c>
      <c r="X416" s="9" t="n"/>
      <c r="Y416" s="9" t="inlineStr">
        <is>
          <t>Datasets</t>
        </is>
      </c>
      <c r="Z416" s="9" t="n"/>
      <c r="AA416" s="9" t="n"/>
      <c r="AB416" s="9" t="n"/>
      <c r="AC416" s="9" t="n"/>
      <c r="AD416" s="9" t="n"/>
      <c r="AE416" s="10" t="inlineStr">
        <is>
          <t>https://archive.org/details/github.com-rkn2-Roman-material-database-info_-_2018-06-07_15-08-29</t>
        </is>
      </c>
      <c r="AF416" s="9" t="n"/>
      <c r="AG416" s="9" t="n"/>
    </row>
    <row r="417">
      <c r="A417" s="9" t="inlineStr">
        <is>
          <t>RoomAccum</t>
        </is>
      </c>
      <c r="B417" s="9" t="inlineStr">
        <is>
          <t>Room Accumulation Simulation ro estimate archaeological population growth rates.</t>
        </is>
      </c>
      <c r="C417" s="10" t="inlineStr">
        <is>
          <t>https://github.com/kintigh/RoomAccum</t>
        </is>
      </c>
      <c r="D417" s="9" t="n"/>
      <c r="E417" s="9" t="n"/>
      <c r="F417" s="9" t="n"/>
      <c r="G417" s="9" t="n"/>
      <c r="H417" s="9" t="n"/>
      <c r="I417" s="9" t="n"/>
      <c r="J417" s="9" t="n"/>
      <c r="K417" s="9" t="n"/>
      <c r="L417" s="9" t="n"/>
      <c r="M417" s="9" t="n"/>
      <c r="N417" s="9" t="n"/>
      <c r="O417" s="9" t="n"/>
      <c r="P417" s="9" t="n"/>
      <c r="Q417" s="9" t="inlineStr">
        <is>
          <t>kintigh</t>
        </is>
      </c>
      <c r="R417" s="9" t="n"/>
      <c r="S417" s="9" t="n"/>
      <c r="T417" s="9" t="n"/>
      <c r="U417" s="9" t="n"/>
      <c r="V417" s="9" t="n"/>
      <c r="W417" s="9" t="inlineStr">
        <is>
          <t>Standalone software</t>
        </is>
      </c>
      <c r="X417" s="9" t="n"/>
      <c r="Y417" s="9" t="inlineStr">
        <is>
          <t>Simulation</t>
        </is>
      </c>
      <c r="Z417" s="9" t="inlineStr">
        <is>
          <t>Cultural evolution</t>
        </is>
      </c>
      <c r="AA417" s="9" t="n"/>
      <c r="AB417" s="9" t="n"/>
      <c r="AC417" s="9" t="n"/>
      <c r="AD417" s="9" t="n"/>
      <c r="AE417" s="10" t="inlineStr">
        <is>
          <t>https://archive.org/details/github.com-kintigh-RoomAccum_-_2020-06-15_19-37-46</t>
        </is>
      </c>
      <c r="AF417" s="9" t="n"/>
      <c r="AG417" s="9" t="n"/>
    </row>
    <row r="418">
      <c r="A418" s="9" t="inlineStr">
        <is>
          <t>rorbium</t>
        </is>
      </c>
      <c r="B418" s="9" t="inlineStr">
        <is>
          <t>Orbis data as an R package</t>
        </is>
      </c>
      <c r="C418" s="10" t="inlineStr">
        <is>
          <t>https://github.com/sfsheath/rorbium</t>
        </is>
      </c>
      <c r="D418" s="9" t="n"/>
      <c r="E418" s="9" t="n"/>
      <c r="F418" s="9" t="n"/>
      <c r="G418" s="9" t="n"/>
      <c r="H418" s="9" t="n"/>
      <c r="I418" s="9" t="n"/>
      <c r="J418" s="9" t="n"/>
      <c r="K418" s="9" t="n"/>
      <c r="L418" s="9" t="n"/>
      <c r="M418" s="9" t="n"/>
      <c r="N418" s="9" t="n"/>
      <c r="O418" s="9" t="n"/>
      <c r="P418" s="9" t="n"/>
      <c r="Q418" s="9" t="inlineStr">
        <is>
          <t>sfsheath</t>
        </is>
      </c>
      <c r="R418" s="9" t="n"/>
      <c r="S418" s="9" t="n"/>
      <c r="T418" s="9" t="n"/>
      <c r="U418" s="9" t="n"/>
      <c r="V418" s="9" t="n"/>
      <c r="W418" s="9" t="inlineStr">
        <is>
          <t>Lists and datasets</t>
        </is>
      </c>
      <c r="X418" s="9" t="n"/>
      <c r="Y418" s="9" t="inlineStr">
        <is>
          <t>Datasets</t>
        </is>
      </c>
      <c r="Z418" s="9" t="n"/>
      <c r="AA418" s="9" t="n"/>
      <c r="AB418" s="9" t="n"/>
      <c r="AC418" s="9" t="n"/>
      <c r="AD418" s="9" t="n"/>
      <c r="AE418" s="10" t="inlineStr">
        <is>
          <t>https://archive.org/details/github.com-sfsheath-rorbium_-_2014-12-25_21-10-56</t>
        </is>
      </c>
      <c r="AF418" s="9" t="n"/>
      <c r="AG418" s="9" t="n"/>
    </row>
    <row r="419">
      <c r="A419" s="9" t="inlineStr">
        <is>
          <t>Roundup of Resources on Ancient Geography</t>
        </is>
      </c>
      <c r="B419" s="9" t="inlineStr">
        <is>
          <t>Included in the following list are links to digital project dealing with geography and the ancient world.</t>
        </is>
      </c>
      <c r="C419" s="9" t="n"/>
      <c r="D419" s="9" t="n"/>
      <c r="E419" s="9" t="n"/>
      <c r="F419" s="9" t="n"/>
      <c r="G419" s="9" t="n"/>
      <c r="H419" s="10" t="inlineStr">
        <is>
          <t>https://twitter.com/AWOL_tweets</t>
        </is>
      </c>
      <c r="I419" s="9" t="n"/>
      <c r="J419" s="10" t="inlineStr">
        <is>
          <t>http://ancientworldonline.blogspot.com/2012/09/roundup-of-resources-on-ancient.html</t>
        </is>
      </c>
      <c r="K419" s="9" t="n"/>
      <c r="L419" s="9" t="n"/>
      <c r="M419" s="9" t="n"/>
      <c r="N419" s="9" t="n"/>
      <c r="O419" s="9" t="n"/>
      <c r="P419" s="9" t="n"/>
      <c r="Q419" s="9" t="inlineStr">
        <is>
          <t>Charles E. Jones</t>
        </is>
      </c>
      <c r="R419" s="9" t="n"/>
      <c r="S419" s="9" t="n"/>
      <c r="T419" s="9" t="n"/>
      <c r="U419" s="9" t="n"/>
      <c r="V419" s="9" t="n"/>
      <c r="W419" s="9" t="inlineStr">
        <is>
          <t>Lists and datasets</t>
        </is>
      </c>
      <c r="X419" s="9" t="n"/>
      <c r="Y419" s="9" t="inlineStr">
        <is>
          <t>Lists</t>
        </is>
      </c>
      <c r="Z419" s="9" t="n"/>
      <c r="AA419" s="9" t="n"/>
      <c r="AB419" s="9" t="n"/>
      <c r="AC419" s="9" t="n"/>
      <c r="AD419" s="9" t="n"/>
      <c r="AE419" s="9" t="n"/>
      <c r="AF419" s="9" t="n"/>
      <c r="AG419" s="9" t="n"/>
    </row>
    <row r="420">
      <c r="A420" s="9" t="inlineStr">
        <is>
          <t>rpaleoclim</t>
        </is>
      </c>
      <c r="B420" s="9" t="inlineStr">
        <is>
          <t>R interface for open paleoclimate data.</t>
        </is>
      </c>
      <c r="C420" s="10" t="inlineStr">
        <is>
          <t>https://github.com/joeroe/rpaleoclim</t>
        </is>
      </c>
      <c r="D420" s="9" t="n"/>
      <c r="E420" s="9" t="n"/>
      <c r="F420" s="9" t="n"/>
      <c r="G420" s="9" t="n"/>
      <c r="H420" s="9" t="n"/>
      <c r="I420" s="9" t="n"/>
      <c r="J420" s="9" t="n"/>
      <c r="K420" s="10" t="inlineStr">
        <is>
          <t>https://cran.r-project.org/package=rpaleoclim</t>
        </is>
      </c>
      <c r="L420" s="9" t="n"/>
      <c r="M420" s="9" t="n"/>
      <c r="N420" s="10" t="inlineStr">
        <is>
          <t>https://rpaleoclim.joeroe.io</t>
        </is>
      </c>
      <c r="O420" s="9" t="n"/>
      <c r="P420" s="9" t="n"/>
      <c r="Q420" s="9" t="inlineStr">
        <is>
          <t>joeroe</t>
        </is>
      </c>
      <c r="R420" s="9" t="n"/>
      <c r="S420" s="9" t="n"/>
      <c r="T420" s="9" t="n"/>
      <c r="U420" s="9" t="n"/>
      <c r="V420" s="9" t="n"/>
      <c r="W420" s="9" t="inlineStr">
        <is>
          <t>Packages and libraries</t>
        </is>
      </c>
      <c r="X420" s="9" t="inlineStr">
        <is>
          <t>R</t>
        </is>
      </c>
      <c r="Y420" s="9" t="inlineStr">
        <is>
          <t>API interfaces and web scrapers</t>
        </is>
      </c>
      <c r="Z420" s="9" t="inlineStr">
        <is>
          <t>Palaeoclimate modelling</t>
        </is>
      </c>
      <c r="AA420" s="9" t="n"/>
      <c r="AB420" s="9" t="n"/>
      <c r="AC420" s="9" t="n"/>
      <c r="AD420" s="9" t="n"/>
      <c r="AE420" s="10" t="inlineStr">
        <is>
          <t>https://archive.org/details/github.com-joeroe-rpaleoclim_-_2019-10-03_11-01-37</t>
        </is>
      </c>
      <c r="AF420" s="9" t="n"/>
      <c r="AG420" s="9" t="n"/>
    </row>
    <row r="421">
      <c r="A421" s="9" t="inlineStr">
        <is>
          <t>rppsfs</t>
        </is>
      </c>
      <c r="B421" s="9" t="inlineStr">
        <is>
          <t>Roman Peasant Project Small Finds Ontology</t>
        </is>
      </c>
      <c r="C421" s="10" t="inlineStr">
        <is>
          <t>https://github.com/scollinselliott/rppsf</t>
        </is>
      </c>
      <c r="D421" s="9" t="n"/>
      <c r="E421" s="9" t="n"/>
      <c r="F421" s="9" t="n"/>
      <c r="G421" s="9" t="n"/>
      <c r="H421" s="9" t="n"/>
      <c r="I421" s="9" t="n"/>
      <c r="J421" s="9" t="n"/>
      <c r="K421" s="9" t="n"/>
      <c r="L421" s="9" t="n"/>
      <c r="M421" s="9" t="n"/>
      <c r="N421" s="9" t="n"/>
      <c r="O421" s="9" t="n"/>
      <c r="P421" s="9" t="n"/>
      <c r="Q421" s="9" t="inlineStr">
        <is>
          <t>scollinselliott</t>
        </is>
      </c>
      <c r="R421" s="9" t="n"/>
      <c r="S421" s="9" t="n"/>
      <c r="T421" s="9" t="n"/>
      <c r="U421" s="9" t="n"/>
      <c r="V421" s="9" t="n"/>
      <c r="W421" s="9" t="inlineStr">
        <is>
          <t>Specifications, protocols and schemas</t>
        </is>
      </c>
      <c r="X421" s="9" t="n"/>
      <c r="Y421" s="9" t="inlineStr">
        <is>
          <t>Schemas and ontologies</t>
        </is>
      </c>
      <c r="Z421" s="9" t="n"/>
      <c r="AA421" s="9" t="n"/>
      <c r="AB421" s="9" t="n"/>
      <c r="AC421" s="9" t="n"/>
      <c r="AD421" s="9" t="n"/>
      <c r="AE421" s="10" t="inlineStr">
        <is>
          <t>https://archive.org/details/github.com-scollinselliott-rppsf_-_2018-11-08_03-52-43</t>
        </is>
      </c>
      <c r="AF421" s="9" t="n"/>
      <c r="AG421" s="9" t="n"/>
    </row>
    <row r="422">
      <c r="A422" s="9" t="inlineStr">
        <is>
          <t>rtefact</t>
        </is>
      </c>
      <c r="B422" s="9" t="inlineStr">
        <is>
          <t>Brings together a range of methods for analysing the time series, shapes and other properties of archaeological artefacts.</t>
        </is>
      </c>
      <c r="C422" s="10" t="inlineStr">
        <is>
          <t>https://github.com/ahb108/rtfact</t>
        </is>
      </c>
      <c r="D422" s="9" t="n"/>
      <c r="E422" s="9" t="n"/>
      <c r="F422" s="9" t="n"/>
      <c r="G422" s="9" t="n"/>
      <c r="H422" s="9" t="n"/>
      <c r="I422" s="9" t="n"/>
      <c r="J422" s="9" t="n"/>
      <c r="K422" s="9" t="n"/>
      <c r="L422" s="9" t="n"/>
      <c r="M422" s="9" t="n"/>
      <c r="N422" s="9" t="n"/>
      <c r="O422" s="9" t="n"/>
      <c r="P422" s="9" t="n"/>
      <c r="Q422" s="9" t="inlineStr">
        <is>
          <t>ahb108</t>
        </is>
      </c>
      <c r="R422" s="9" t="n"/>
      <c r="S422" s="9" t="n"/>
      <c r="T422" s="9" t="n"/>
      <c r="U422" s="9" t="n"/>
      <c r="V422" s="9" t="n"/>
      <c r="W422" s="9" t="inlineStr">
        <is>
          <t>Packages and libraries</t>
        </is>
      </c>
      <c r="X422" s="9" t="inlineStr">
        <is>
          <t>R</t>
        </is>
      </c>
      <c r="Y422" s="9" t="inlineStr">
        <is>
          <t>Artefact morphology</t>
        </is>
      </c>
      <c r="Z422" s="9" t="n"/>
      <c r="AA422" s="9" t="n"/>
      <c r="AB422" s="9" t="n"/>
      <c r="AC422" s="9" t="n"/>
      <c r="AD422" s="9" t="n"/>
      <c r="AE422" s="10" t="inlineStr">
        <is>
          <t>https://archive.org/details/github.com-ahb108-rtfact_-_2021-01-25_09-24-54</t>
        </is>
      </c>
      <c r="AF422" s="9" t="n"/>
      <c r="AG422" s="9" t="n"/>
    </row>
    <row r="423">
      <c r="A423" s="9" t="inlineStr">
        <is>
          <t>rti</t>
        </is>
      </c>
      <c r="B423" s="9" t="inlineStr">
        <is>
          <t>Series of common tols used by most Reflectance Transformation Imaging (RTI) projects, plus some custom programs to help with the workflow from the camera to the output.</t>
        </is>
      </c>
      <c r="C423" s="10" t="inlineStr">
        <is>
          <t>https://github.com/kmartinez/rti</t>
        </is>
      </c>
      <c r="D423" s="9" t="n"/>
      <c r="E423" s="9" t="n"/>
      <c r="F423" s="9" t="n"/>
      <c r="G423" s="9" t="n"/>
      <c r="H423" s="9" t="n"/>
      <c r="I423" s="9" t="n"/>
      <c r="J423" s="9" t="n"/>
      <c r="K423" s="9" t="n"/>
      <c r="L423" s="9" t="n"/>
      <c r="M423" s="9" t="n"/>
      <c r="N423" s="10" t="inlineStr">
        <is>
          <t>https://custom-imaging.co.uk/software/</t>
        </is>
      </c>
      <c r="O423" s="9" t="n"/>
      <c r="P423" s="9" t="n"/>
      <c r="Q423" s="9" t="inlineStr">
        <is>
          <t>kmartinez</t>
        </is>
      </c>
      <c r="R423" s="9" t="n"/>
      <c r="S423" s="9" t="n"/>
      <c r="T423" s="9" t="n"/>
      <c r="U423" s="9" t="n"/>
      <c r="V423" s="9" t="n"/>
      <c r="W423" s="9" t="inlineStr">
        <is>
          <t>Scripts</t>
        </is>
      </c>
      <c r="X423" s="9" t="inlineStr">
        <is>
          <t>Python</t>
        </is>
      </c>
      <c r="Y423" s="9" t="inlineStr">
        <is>
          <t>Photogrammetry</t>
        </is>
      </c>
      <c r="Z423" s="9" t="n"/>
      <c r="AA423" s="9" t="n"/>
      <c r="AB423" s="9" t="n"/>
      <c r="AC423" s="9" t="n"/>
      <c r="AD423" s="9" t="n"/>
      <c r="AE423" s="10" t="inlineStr">
        <is>
          <t>https://archive.org/details/github.com-kmartinez-rti_-_2019-05-29_15-38-12</t>
        </is>
      </c>
      <c r="AF423" s="9" t="n"/>
      <c r="AG423" s="9" t="n"/>
    </row>
    <row r="424">
      <c r="A424" s="9" t="inlineStr">
        <is>
          <t>RTIBuilder</t>
        </is>
      </c>
      <c r="B424" s="9" t="inlineStr">
        <is>
          <t>A software interface to a set of tools that process your captured image set to produce the final RTI files. The RTIBuilder download includes the Hemispherical Harmonics (HSH) fitter to create .rti files.</t>
        </is>
      </c>
      <c r="C424" s="9" t="n"/>
      <c r="D424" s="9" t="n"/>
      <c r="E424" s="9" t="n"/>
      <c r="F424" s="9" t="n"/>
      <c r="G424" s="9" t="n"/>
      <c r="H424" s="9" t="n"/>
      <c r="I424" s="9" t="n"/>
      <c r="J424" s="9" t="n"/>
      <c r="K424" s="9" t="n"/>
      <c r="L424" s="9" t="n"/>
      <c r="M424" s="9" t="n"/>
      <c r="N424" s="10" t="inlineStr">
        <is>
          <t>http://culturalheritageimaging.org/What_We_Offer/Downloads/Process/index.html</t>
        </is>
      </c>
      <c r="O424" s="9" t="n"/>
      <c r="P424" s="9" t="n"/>
      <c r="Q424" s="9" t="inlineStr">
        <is>
          <t>culturalheritageimaging</t>
        </is>
      </c>
      <c r="R424" s="9" t="n"/>
      <c r="S424" s="9" t="n"/>
      <c r="T424" s="9" t="n"/>
      <c r="U424" s="9" t="n"/>
      <c r="V424" s="9" t="n"/>
      <c r="W424" s="9" t="inlineStr">
        <is>
          <t>Standalone software</t>
        </is>
      </c>
      <c r="X424" s="9" t="n"/>
      <c r="Y424" s="9" t="inlineStr">
        <is>
          <t>Photogrammetry</t>
        </is>
      </c>
      <c r="Z424" s="9" t="n"/>
      <c r="AA424" s="9" t="n"/>
      <c r="AB424" s="9" t="n"/>
      <c r="AC424" s="9" t="n"/>
      <c r="AD424" s="9" t="n"/>
      <c r="AE424" s="9" t="n"/>
      <c r="AF424" s="9" t="n"/>
      <c r="AG424" s="9" t="n"/>
    </row>
    <row r="425">
      <c r="A425" s="9" t="inlineStr">
        <is>
          <t>RTIViewer</t>
        </is>
      </c>
      <c r="B425" s="9" t="inlineStr">
        <is>
          <t>Enables you to view and explore Reflectance Transformation Imaging (RTI) files at very high resolution (Polynomial Texture Maps, Hemispherical Harmonics Map, and Multiview RTI). You can view image files stored on your local file system, and remote files through HTTP.</t>
        </is>
      </c>
      <c r="C425" s="9" t="n"/>
      <c r="D425" s="9" t="n"/>
      <c r="E425" s="9" t="n"/>
      <c r="F425" s="9" t="n"/>
      <c r="G425" s="9" t="n"/>
      <c r="H425" s="9" t="n"/>
      <c r="I425" s="9" t="n"/>
      <c r="J425" s="9" t="n"/>
      <c r="K425" s="9" t="n"/>
      <c r="L425" s="9" t="n"/>
      <c r="M425" s="9" t="n"/>
      <c r="N425" s="10" t="inlineStr">
        <is>
          <t>http://culturalheritageimaging.org/What_We_Offer/Downloads/View/index.html</t>
        </is>
      </c>
      <c r="O425" s="9" t="n"/>
      <c r="P425" s="9" t="n"/>
      <c r="Q425" s="9" t="inlineStr">
        <is>
          <t>culturalheritageimaging</t>
        </is>
      </c>
      <c r="R425" s="9" t="n"/>
      <c r="S425" s="9" t="n"/>
      <c r="T425" s="9" t="n"/>
      <c r="U425" s="9" t="n"/>
      <c r="V425" s="9" t="n"/>
      <c r="W425" s="9" t="inlineStr">
        <is>
          <t>Standalone software</t>
        </is>
      </c>
      <c r="X425" s="9" t="n"/>
      <c r="Y425" s="9" t="inlineStr">
        <is>
          <t>Photogrammetry</t>
        </is>
      </c>
      <c r="Z425" s="9" t="n"/>
      <c r="AA425" s="9" t="n"/>
      <c r="AB425" s="9" t="n"/>
      <c r="AC425" s="9" t="n"/>
      <c r="AD425" s="9" t="n"/>
      <c r="AE425" s="9" t="n"/>
      <c r="AF425" s="9" t="n"/>
      <c r="AG425" s="9" t="n"/>
    </row>
    <row r="426">
      <c r="A426" s="9" t="inlineStr">
        <is>
          <t>ruby-radiocarbon</t>
        </is>
      </c>
      <c r="B426" s="9" t="inlineStr">
        <is>
          <t>Ruby gem for fast radiocarbon calibration.</t>
        </is>
      </c>
      <c r="C426" s="10" t="inlineStr">
        <is>
          <t>https://github.com/joeroe/ruby-radiocarbon</t>
        </is>
      </c>
      <c r="D426" s="9" t="n"/>
      <c r="E426" s="9" t="n"/>
      <c r="F426" s="9" t="n"/>
      <c r="G426" s="9" t="n"/>
      <c r="H426" s="9" t="n"/>
      <c r="I426" s="9" t="n"/>
      <c r="J426" s="9" t="n"/>
      <c r="K426" s="9" t="n"/>
      <c r="L426" s="9" t="n"/>
      <c r="M426" s="9" t="n"/>
      <c r="N426" s="9" t="n"/>
      <c r="O426" s="9" t="n"/>
      <c r="P426" s="9" t="n"/>
      <c r="Q426" s="9" t="inlineStr">
        <is>
          <t>joeroe</t>
        </is>
      </c>
      <c r="R426" s="9" t="n"/>
      <c r="S426" s="9" t="n"/>
      <c r="T426" s="9" t="n"/>
      <c r="U426" s="9" t="n"/>
      <c r="V426" s="9" t="n"/>
      <c r="W426" s="9" t="inlineStr">
        <is>
          <t>Packages and libraries</t>
        </is>
      </c>
      <c r="X426" s="9" t="inlineStr">
        <is>
          <t>Ruby</t>
        </is>
      </c>
      <c r="Y426" s="9" t="inlineStr">
        <is>
          <t>Radiocarbon dating, calibration and sequencing</t>
        </is>
      </c>
      <c r="Z426" s="9" t="n"/>
      <c r="AA426" s="9" t="n"/>
      <c r="AB426" s="9" t="n"/>
      <c r="AC426" s="9" t="n"/>
      <c r="AD426" s="9" t="n"/>
      <c r="AE426" s="9" t="n"/>
      <c r="AF426" s="9" t="n"/>
      <c r="AG426" s="9" t="n"/>
    </row>
    <row r="427">
      <c r="A427" s="9" t="inlineStr">
        <is>
          <t>rxpand</t>
        </is>
      </c>
      <c r="B427" s="9" t="inlineStr">
        <is>
          <t>Radiocarbon dates for the spread of farming and ceramics in tropical South America.</t>
        </is>
      </c>
      <c r="C427" s="10" t="inlineStr">
        <is>
          <t>https://github.com/jgregoriods/rxpand</t>
        </is>
      </c>
      <c r="D427" s="9" t="n"/>
      <c r="E427" s="9" t="n"/>
      <c r="F427" s="9" t="n"/>
      <c r="G427" s="9" t="n"/>
      <c r="H427" s="9" t="n"/>
      <c r="I427" s="9" t="n"/>
      <c r="J427" s="9" t="n"/>
      <c r="K427" s="9" t="n"/>
      <c r="L427" s="9" t="n"/>
      <c r="M427" s="9" t="n"/>
      <c r="N427" s="9" t="n"/>
      <c r="O427" s="9" t="n"/>
      <c r="P427" s="9" t="n"/>
      <c r="Q427" s="9" t="inlineStr">
        <is>
          <t>jgregoriods</t>
        </is>
      </c>
      <c r="R427" s="9" t="n"/>
      <c r="S427" s="9" t="n"/>
      <c r="T427" s="9" t="n"/>
      <c r="U427" s="9" t="n"/>
      <c r="V427" s="9" t="n"/>
      <c r="W427" s="9" t="inlineStr">
        <is>
          <t>Lists and datasets</t>
        </is>
      </c>
      <c r="X427" s="9" t="inlineStr">
        <is>
          <t>R</t>
        </is>
      </c>
      <c r="Y427" s="9" t="inlineStr">
        <is>
          <t>Datasets</t>
        </is>
      </c>
      <c r="Z427" s="9" t="inlineStr">
        <is>
          <t>Radiocarbon dating, calibration and sequencing</t>
        </is>
      </c>
      <c r="AA427" s="9" t="n"/>
      <c r="AB427" s="9" t="n"/>
      <c r="AC427" s="9" t="n"/>
      <c r="AD427" s="9" t="n"/>
      <c r="AE427" s="10" t="inlineStr">
        <is>
          <t>https://archive.org/details/github.com-jgregoriods-rxpand_-_2021-06-16_08-05-37</t>
        </is>
      </c>
      <c r="AF427" s="9" t="n"/>
      <c r="AG427" s="9" t="n"/>
    </row>
    <row r="428">
      <c r="A428" s="9" t="inlineStr">
        <is>
          <t>rxylib</t>
        </is>
      </c>
      <c r="B428" s="9" t="inlineStr">
        <is>
          <t>R package: wrapper for the C+library xylib</t>
        </is>
      </c>
      <c r="C428" s="10" t="inlineStr">
        <is>
          <t>https://github.com/R-Lum/rxylib</t>
        </is>
      </c>
      <c r="D428" s="9" t="n"/>
      <c r="E428" s="9" t="n"/>
      <c r="F428" s="9" t="n"/>
      <c r="G428" s="9" t="n"/>
      <c r="H428" s="9" t="n"/>
      <c r="I428" s="9" t="n"/>
      <c r="J428" s="9" t="n"/>
      <c r="K428" s="9" t="n"/>
      <c r="L428" s="9" t="n"/>
      <c r="M428" s="9" t="n"/>
      <c r="N428" s="9" t="n"/>
      <c r="O428" s="9" t="n"/>
      <c r="P428" s="9" t="n"/>
      <c r="Q428" s="9" t="inlineStr">
        <is>
          <t>R-Lum</t>
        </is>
      </c>
      <c r="R428" s="9" t="n"/>
      <c r="S428" s="9" t="n"/>
      <c r="T428" s="9" t="n"/>
      <c r="U428" s="9" t="n"/>
      <c r="V428" s="9" t="n"/>
      <c r="W428" s="9" t="inlineStr">
        <is>
          <t>Packages and libraries</t>
        </is>
      </c>
      <c r="X428" s="9" t="inlineStr">
        <is>
          <t>R</t>
        </is>
      </c>
      <c r="Y428" s="9" t="inlineStr">
        <is>
          <t>Luminescence dating</t>
        </is>
      </c>
      <c r="Z428" s="9" t="n"/>
      <c r="AA428" s="9" t="n"/>
      <c r="AB428" s="9" t="n"/>
      <c r="AC428" s="9" t="n"/>
      <c r="AD428" s="9" t="n"/>
      <c r="AE428" s="10" t="inlineStr">
        <is>
          <t>https://archive.org/details/github.com-R-Lum-rxylib_-_2021-01-03_13-06-26</t>
        </is>
      </c>
      <c r="AF428" s="9" t="n"/>
      <c r="AG428" s="9" t="n"/>
    </row>
    <row r="429">
      <c r="A429" s="9" t="inlineStr">
        <is>
          <t>SCEM</t>
        </is>
      </c>
      <c r="B429" s="9" t="inlineStr">
        <is>
          <t>Performs the Splitting-Coalescence-Estimation Method to model birth seasonality in studies of herd animals.</t>
        </is>
      </c>
      <c r="C429" s="10" t="inlineStr">
        <is>
          <t>https://github.com/kserkcho/SCEM</t>
        </is>
      </c>
      <c r="D429" s="9" t="n"/>
      <c r="E429" s="9" t="n"/>
      <c r="F429" s="9" t="n"/>
      <c r="G429" s="9" t="n"/>
      <c r="H429" s="9" t="n"/>
      <c r="I429" s="9" t="n"/>
      <c r="J429" s="9" t="n"/>
      <c r="K429" s="10" t="inlineStr">
        <is>
          <t>https://cran.r-project.org/package=SCEM</t>
        </is>
      </c>
      <c r="L429" s="9" t="n"/>
      <c r="M429" s="9" t="n"/>
      <c r="N429" s="9" t="n"/>
      <c r="O429" s="9" t="n"/>
      <c r="P429" s="9" t="n"/>
      <c r="Q429" s="9" t="inlineStr">
        <is>
          <t>kserkcho</t>
        </is>
      </c>
      <c r="R429" s="9" t="inlineStr">
        <is>
          <t>Hannah Chazin</t>
        </is>
      </c>
      <c r="S429" s="9" t="inlineStr">
        <is>
          <t>Soudeep Deb</t>
        </is>
      </c>
      <c r="T429" s="9" t="inlineStr">
        <is>
          <t>Joshua Falk</t>
        </is>
      </c>
      <c r="U429" s="9" t="inlineStr">
        <is>
          <t>Arun Srinivasan</t>
        </is>
      </c>
      <c r="V429" s="9" t="n"/>
      <c r="W429" s="9" t="inlineStr">
        <is>
          <t>Packages and libraries</t>
        </is>
      </c>
      <c r="X429" s="9" t="inlineStr">
        <is>
          <t>R</t>
        </is>
      </c>
      <c r="Y429" s="9" t="inlineStr">
        <is>
          <t>Zooarchaeology</t>
        </is>
      </c>
      <c r="Z429" s="9" t="inlineStr">
        <is>
          <t>Stable isotope analysis</t>
        </is>
      </c>
      <c r="AA429" s="9" t="n"/>
      <c r="AB429" s="9" t="n"/>
      <c r="AC429" s="9" t="n"/>
      <c r="AD429" s="9" t="n"/>
      <c r="AE429" s="9" t="n"/>
      <c r="AF429" s="9" t="n"/>
      <c r="AG429" s="9" t="n"/>
    </row>
    <row r="430">
      <c r="A430" s="9" t="inlineStr">
        <is>
          <t>Scroll Viewer</t>
        </is>
      </c>
      <c r="B430" s="9" t="inlineStr">
        <is>
          <t>Viewer for the Herculaneum Papyri segments.</t>
        </is>
      </c>
      <c r="C430" s="10" t="inlineStr">
        <is>
          <t>https://github.com/atiro/scroll-viewer</t>
        </is>
      </c>
      <c r="D430" s="9" t="n"/>
      <c r="E430" s="9" t="n"/>
      <c r="F430" s="9" t="n"/>
      <c r="G430" s="9" t="n"/>
      <c r="H430" s="9" t="n"/>
      <c r="I430" s="9" t="n"/>
      <c r="J430" s="9" t="n"/>
      <c r="K430" s="9" t="n"/>
      <c r="L430" s="9" t="n"/>
      <c r="M430" s="9" t="n"/>
      <c r="N430" s="9" t="n"/>
      <c r="O430" s="9" t="n"/>
      <c r="P430" s="9" t="n"/>
      <c r="Q430" s="9" t="inlineStr">
        <is>
          <t>atiro</t>
        </is>
      </c>
      <c r="R430" s="9" t="n"/>
      <c r="S430" s="9" t="n"/>
      <c r="T430" s="9" t="n"/>
      <c r="U430" s="9" t="n"/>
      <c r="V430" s="9" t="n"/>
      <c r="W430" s="9" t="inlineStr">
        <is>
          <t>Standalone software</t>
        </is>
      </c>
      <c r="X430" s="9" t="n"/>
      <c r="Y430" s="9" t="inlineStr">
        <is>
          <t>Literary analysis and epigraphy</t>
        </is>
      </c>
      <c r="Z430" s="9" t="inlineStr">
        <is>
          <t>3D modelling</t>
        </is>
      </c>
      <c r="AA430" s="9" t="n"/>
      <c r="AB430" s="9" t="n"/>
      <c r="AC430" s="9" t="n"/>
      <c r="AD430" s="9" t="n"/>
      <c r="AE430" s="9" t="n"/>
      <c r="AF430" s="9" t="n"/>
      <c r="AG430" s="9" t="n"/>
    </row>
    <row r="431">
      <c r="A431" s="9" t="inlineStr">
        <is>
          <t>sdsanalysis</t>
        </is>
      </c>
      <c r="B431" s="9" t="inlineStr">
        <is>
          <t>dsanalysis is the backbone of the sdsbrowser webapp, and can be employed to analyse SDS stone artefact data in R.</t>
        </is>
      </c>
      <c r="C431" s="10" t="inlineStr">
        <is>
          <t>https://github.com/Johanna-Mestorf-Academy/sdsanalysis</t>
        </is>
      </c>
      <c r="D431" s="9" t="n"/>
      <c r="E431" s="9" t="n"/>
      <c r="F431" s="9" t="n"/>
      <c r="G431" s="9" t="n"/>
      <c r="H431" s="9" t="n"/>
      <c r="I431" s="9" t="n"/>
      <c r="J431" s="9" t="n"/>
      <c r="K431" s="9" t="n"/>
      <c r="L431" s="9" t="n"/>
      <c r="M431" s="9" t="n"/>
      <c r="N431" s="9" t="n"/>
      <c r="O431" s="9" t="n"/>
      <c r="P431" s="9" t="n"/>
      <c r="Q431" s="9" t="inlineStr">
        <is>
          <t>Johanna-Mestorf-Academy</t>
        </is>
      </c>
      <c r="R431" s="9" t="n"/>
      <c r="S431" s="9" t="n"/>
      <c r="T431" s="9" t="n"/>
      <c r="U431" s="9" t="n"/>
      <c r="V431" s="9" t="n"/>
      <c r="W431" s="9" t="inlineStr">
        <is>
          <t>Packages and libraries</t>
        </is>
      </c>
      <c r="X431" s="9" t="inlineStr">
        <is>
          <t>R</t>
        </is>
      </c>
      <c r="Y431" s="9" t="inlineStr">
        <is>
          <t>Artefact morphology</t>
        </is>
      </c>
      <c r="Z431" s="9" t="n"/>
      <c r="AA431" s="9" t="n"/>
      <c r="AB431" s="9" t="n"/>
      <c r="AC431" s="9" t="n"/>
      <c r="AD431" s="9" t="n"/>
      <c r="AE431" s="10" t="inlineStr">
        <is>
          <t>https://archive.org/details/github.com-Johanna-Mestorf-Academy-sdsanalysis_-_2018-12-13_13-20-29</t>
        </is>
      </c>
      <c r="AF431" s="9" t="n"/>
      <c r="AG431" s="9" t="n"/>
    </row>
    <row r="432">
      <c r="A432" s="9" t="inlineStr">
        <is>
          <t>sdsbrowser</t>
        </is>
      </c>
      <c r="B432" s="9" t="inlineStr">
        <is>
          <t>sdsbrowser is an R Shiny WebApp developed to make the available SDS datasets (following the Systematic and Digital Documentation of Stone Artefacts recording system) more accessible. It is designed to give you a quick overview on the spatial and temporal scope of sites previously analysed with SDS and the distribution of artefacts within these sites.</t>
        </is>
      </c>
      <c r="C432" s="10" t="inlineStr">
        <is>
          <t>https://github.com/Johanna-Mestorf-Academy/sdsbrowser</t>
        </is>
      </c>
      <c r="D432" s="9" t="n"/>
      <c r="E432" s="9" t="n"/>
      <c r="F432" s="9" t="n"/>
      <c r="G432" s="9" t="n"/>
      <c r="H432" s="9" t="n"/>
      <c r="I432" s="9" t="n"/>
      <c r="J432" s="9" t="n"/>
      <c r="K432" s="9" t="n"/>
      <c r="L432" s="9" t="n"/>
      <c r="M432" s="9" t="n"/>
      <c r="N432" s="10" t="inlineStr">
        <is>
          <t>http://sds.ufg.uni-kiel.de/</t>
        </is>
      </c>
      <c r="O432" s="9" t="n"/>
      <c r="P432" s="9" t="n"/>
      <c r="Q432" s="9" t="inlineStr">
        <is>
          <t>Johanna-Mestorf-Academy</t>
        </is>
      </c>
      <c r="R432" s="9" t="n"/>
      <c r="S432" s="9" t="n"/>
      <c r="T432" s="9" t="n"/>
      <c r="U432" s="9" t="n"/>
      <c r="V432" s="9" t="n"/>
      <c r="W432" s="9" t="inlineStr">
        <is>
          <t>Scripts</t>
        </is>
      </c>
      <c r="X432" s="9" t="inlineStr">
        <is>
          <t>R</t>
        </is>
      </c>
      <c r="Y432" s="9" t="inlineStr">
        <is>
          <t>Artefact morphology</t>
        </is>
      </c>
      <c r="Z432" s="9" t="n"/>
      <c r="AA432" s="9" t="n"/>
      <c r="AB432" s="9" t="n"/>
      <c r="AC432" s="9" t="n"/>
      <c r="AD432" s="9" t="n"/>
      <c r="AE432" s="10" t="inlineStr">
        <is>
          <t>https://archive.org/details/github.com-Johanna-Mestorf-Academy-sdsbrowser_-_2018-12-12_12-44-35</t>
        </is>
      </c>
      <c r="AF432" s="9" t="n"/>
      <c r="AG432" s="9" t="n"/>
    </row>
    <row r="433">
      <c r="A433" s="9" t="inlineStr">
        <is>
          <t>SEAHORS</t>
        </is>
      </c>
      <c r="B433" s="9" t="inlineStr">
        <is>
          <t>R Shiny application that allows easy and quick exploration of the spatial distribution of archaeological objects.</t>
        </is>
      </c>
      <c r="C433" s="10" t="inlineStr">
        <is>
          <t>https://github.com/AurelienRoyer/SEAHORS</t>
        </is>
      </c>
      <c r="D433" s="9" t="n"/>
      <c r="E433" s="9" t="n"/>
      <c r="F433" s="9" t="n"/>
      <c r="G433" s="9" t="n"/>
      <c r="H433" s="9" t="n"/>
      <c r="I433" s="9" t="n"/>
      <c r="J433" s="9" t="n"/>
      <c r="K433" s="9" t="n"/>
      <c r="L433" s="9" t="n"/>
      <c r="M433" s="9" t="n"/>
      <c r="N433" s="9" t="n"/>
      <c r="O433" s="9" t="n"/>
      <c r="P433" s="9" t="n"/>
      <c r="Q433" s="9" t="inlineStr">
        <is>
          <t>AurelienRoyer</t>
        </is>
      </c>
      <c r="R433" s="9" t="n"/>
      <c r="S433" s="9" t="n"/>
      <c r="T433" s="9" t="n"/>
      <c r="U433" s="9" t="n"/>
      <c r="V433" s="9" t="n"/>
      <c r="W433" s="9" t="inlineStr">
        <is>
          <t>Packages and libraries</t>
        </is>
      </c>
      <c r="X433" s="9" t="inlineStr">
        <is>
          <t>R</t>
        </is>
      </c>
      <c r="Y433" s="9" t="inlineStr">
        <is>
          <t>Spatial analysis</t>
        </is>
      </c>
      <c r="Z433" s="9" t="n"/>
      <c r="AA433" s="9" t="n"/>
      <c r="AB433" s="9" t="n"/>
      <c r="AC433" s="9" t="n"/>
      <c r="AD433" s="9" t="n"/>
      <c r="AE433" s="9" t="n"/>
      <c r="AF433" s="9" t="n"/>
      <c r="AG433" s="9" t="n"/>
    </row>
    <row r="434">
      <c r="A434" s="9" t="inlineStr">
        <is>
          <t>senscape</t>
        </is>
      </c>
      <c r="B434" s="9" t="inlineStr">
        <is>
          <t>A toolbox for modelling human perception of topography for QGIS, based on QGIS viewshed module.</t>
        </is>
      </c>
      <c r="C434" s="10" t="inlineStr">
        <is>
          <t>https://github.com/zoran-cuckovic/senscape</t>
        </is>
      </c>
      <c r="D434" s="9" t="n"/>
      <c r="E434" s="9" t="n"/>
      <c r="F434" s="9" t="n"/>
      <c r="G434" s="9" t="n"/>
      <c r="H434" s="9" t="n"/>
      <c r="I434" s="9" t="n"/>
      <c r="J434" s="9" t="n"/>
      <c r="K434" s="9" t="n"/>
      <c r="L434" s="9" t="n"/>
      <c r="M434" s="9" t="n"/>
      <c r="N434" s="9" t="n"/>
      <c r="O434" s="9" t="n"/>
      <c r="P434" s="9" t="n"/>
      <c r="Q434" s="9" t="inlineStr">
        <is>
          <t>zoran-cuckovic</t>
        </is>
      </c>
      <c r="R434" s="9" t="n"/>
      <c r="S434" s="9" t="n"/>
      <c r="T434" s="9" t="n"/>
      <c r="U434" s="9" t="n"/>
      <c r="V434" s="9" t="n"/>
      <c r="W434" s="9" t="inlineStr">
        <is>
          <t>Packages and libraries</t>
        </is>
      </c>
      <c r="X434" s="9" t="inlineStr">
        <is>
          <t>QGIS</t>
        </is>
      </c>
      <c r="Y434" s="9" t="inlineStr">
        <is>
          <t>Spatial analysis</t>
        </is>
      </c>
      <c r="Z434" s="9" t="inlineStr">
        <is>
          <t>Viewshed analysis</t>
        </is>
      </c>
      <c r="AA434" s="9" t="n"/>
      <c r="AB434" s="9" t="n"/>
      <c r="AC434" s="9" t="n"/>
      <c r="AD434" s="9" t="n"/>
      <c r="AE434" s="10" t="inlineStr">
        <is>
          <t>https://archive.org/details/github.com-zoran-cuckovic-senscape_-_2017-09-24_10-34-14</t>
        </is>
      </c>
      <c r="AF434" s="9" t="n"/>
      <c r="AG434" s="9" t="n"/>
    </row>
    <row r="435">
      <c r="A435" s="9" t="inlineStr">
        <is>
          <t>seriation</t>
        </is>
      </c>
      <c r="B435" s="9" t="inlineStr">
        <is>
          <t>R package that provides the infrastructure for ordering objects with an implementation of several seriation/sequencing/ordination techniques to reorder matrices, dissimilarity matrices, and dendrograms (see below for a full list). Also provides (optimally) reordered heatmaps, color images and clustering visualizations like dissimilarity plots, and visual assessment of cluster tendency plots (VAT and iVAT).</t>
        </is>
      </c>
      <c r="C435" s="10" t="inlineStr">
        <is>
          <t>https://github.com/mhahsler/seriation</t>
        </is>
      </c>
      <c r="D435" s="9" t="n"/>
      <c r="E435" s="9" t="n"/>
      <c r="F435" s="9" t="n"/>
      <c r="G435" s="9" t="n"/>
      <c r="H435" s="9" t="n"/>
      <c r="I435" s="9" t="n"/>
      <c r="J435" s="9" t="n"/>
      <c r="K435" s="10" t="inlineStr">
        <is>
          <t>https://cran.r-project.org/package=seriation</t>
        </is>
      </c>
      <c r="L435" s="9" t="n"/>
      <c r="M435" s="9" t="n"/>
      <c r="N435" s="9" t="n"/>
      <c r="O435" s="9" t="n"/>
      <c r="P435" s="9" t="n"/>
      <c r="Q435" s="9" t="inlineStr">
        <is>
          <t>mhahsler</t>
        </is>
      </c>
      <c r="R435" s="9" t="inlineStr">
        <is>
          <t>Christian Buchta</t>
        </is>
      </c>
      <c r="S435" s="9" t="inlineStr">
        <is>
          <t>Kurt Hornik</t>
        </is>
      </c>
      <c r="T435" s="9" t="inlineStr">
        <is>
          <t>Fionn Murtagh</t>
        </is>
      </c>
      <c r="U435" s="9" t="inlineStr">
        <is>
          <t>Michael Brusco, Stephanie Stahl, and Hans-Friedrich Koehn</t>
        </is>
      </c>
      <c r="V435" s="9" t="n"/>
      <c r="W435" s="9" t="inlineStr">
        <is>
          <t>Packages and libraries</t>
        </is>
      </c>
      <c r="X435" s="9" t="inlineStr">
        <is>
          <t>R</t>
        </is>
      </c>
      <c r="Y435" s="9" t="inlineStr">
        <is>
          <t>Statistical analysis</t>
        </is>
      </c>
      <c r="Z435" s="9" t="inlineStr">
        <is>
          <t>Seriation</t>
        </is>
      </c>
      <c r="AA435" s="9" t="n"/>
      <c r="AB435" s="9" t="n"/>
      <c r="AC435" s="9" t="n"/>
      <c r="AD435" s="9" t="n"/>
      <c r="AE435" s="10" t="inlineStr">
        <is>
          <t>https://archive.org/details/github.com-mhahsler-seriation_-_2021-06-30_17-19-23</t>
        </is>
      </c>
      <c r="AF435" s="9" t="n"/>
      <c r="AG435" s="9" t="n"/>
    </row>
    <row r="436">
      <c r="A436" s="9" t="inlineStr">
        <is>
          <t>Seriation</t>
        </is>
      </c>
      <c r="B436" s="9" t="inlineStr">
        <is>
          <t>Algorithms, implementations, manuscripts, and test cases for iterative deterministic frequency seriation done by agglomeration.</t>
        </is>
      </c>
      <c r="C436" s="10" t="inlineStr">
        <is>
          <t>https://github.com/clipo/Seriation</t>
        </is>
      </c>
      <c r="D436" s="9" t="n"/>
      <c r="E436" s="9" t="n"/>
      <c r="F436" s="9" t="n"/>
      <c r="G436" s="9" t="n"/>
      <c r="H436" s="9" t="n"/>
      <c r="I436" s="9" t="n"/>
      <c r="J436" s="9" t="n"/>
      <c r="K436" s="9" t="n"/>
      <c r="L436" s="9" t="n"/>
      <c r="M436" s="9" t="n"/>
      <c r="N436" s="9" t="n"/>
      <c r="O436" s="9" t="n"/>
      <c r="P436" s="9" t="n"/>
      <c r="Q436" s="9" t="inlineStr">
        <is>
          <t>clipo</t>
        </is>
      </c>
      <c r="R436" s="9" t="n"/>
      <c r="S436" s="9" t="n"/>
      <c r="T436" s="9" t="n"/>
      <c r="U436" s="9" t="n"/>
      <c r="V436" s="9" t="n"/>
      <c r="W436" s="9" t="inlineStr">
        <is>
          <t>Packages and libraries</t>
        </is>
      </c>
      <c r="X436" s="9" t="inlineStr">
        <is>
          <t>R</t>
        </is>
      </c>
      <c r="Y436" s="9" t="inlineStr">
        <is>
          <t>Statistical analysis</t>
        </is>
      </c>
      <c r="Z436" s="9" t="inlineStr">
        <is>
          <t>Seriation</t>
        </is>
      </c>
      <c r="AA436" s="9" t="n"/>
      <c r="AB436" s="9" t="n"/>
      <c r="AC436" s="9" t="n"/>
      <c r="AD436" s="9" t="n"/>
      <c r="AE436" s="10" t="inlineStr">
        <is>
          <t>https://archive.org/details/github.com-clipo-Seriation_-_2015-04-07_22-44-25</t>
        </is>
      </c>
      <c r="AF436" s="9" t="n"/>
      <c r="AG436" s="9" t="n"/>
    </row>
    <row r="437">
      <c r="A437" s="9" t="inlineStr">
        <is>
          <t>Sériation de matrice en présence/absence</t>
        </is>
      </c>
      <c r="B437" s="9" t="inlineStr">
        <is>
          <t>Excel file containing macro commands making it possible to transform a 1/0 table (presence / absence) into a graphic matrix treated by matrix permutations; it is possible to take into account the uncertain presence of a character. The instructions for use are contained in the file.</t>
        </is>
      </c>
      <c r="C437" s="9" t="n"/>
      <c r="D437" s="9" t="n"/>
      <c r="E437" s="9" t="n"/>
      <c r="F437" s="9" t="n"/>
      <c r="G437" s="9" t="n"/>
      <c r="H437" s="9" t="n"/>
      <c r="I437" s="9" t="n"/>
      <c r="J437" s="9" t="n"/>
      <c r="K437" s="9" t="n"/>
      <c r="L437" s="9" t="n"/>
      <c r="M437" s="9" t="n"/>
      <c r="N437" s="10" t="inlineStr">
        <is>
          <t>https://abp.hypotheses.org/le-programme-bassin-parisien/les-projets/les-projets-associes-au-programme/outils-danalyse-graphique-des-donnees</t>
        </is>
      </c>
      <c r="O437" s="9" t="n"/>
      <c r="P437" s="9" t="n"/>
      <c r="Q437" s="9" t="inlineStr">
        <is>
          <t>Bruno Desachy</t>
        </is>
      </c>
      <c r="R437" s="9" t="n"/>
      <c r="S437" s="9" t="n"/>
      <c r="T437" s="9" t="n"/>
      <c r="U437" s="9" t="n"/>
      <c r="V437" s="9" t="n"/>
      <c r="W437" s="9" t="inlineStr">
        <is>
          <t>Scripts</t>
        </is>
      </c>
      <c r="X437" s="9" t="inlineStr">
        <is>
          <t>Microsoft Excel</t>
        </is>
      </c>
      <c r="Y437" s="9" t="inlineStr">
        <is>
          <t>Bits and bobs</t>
        </is>
      </c>
      <c r="Z437" s="9" t="inlineStr">
        <is>
          <t>Seriation</t>
        </is>
      </c>
      <c r="AA437" s="9" t="n"/>
      <c r="AB437" s="9" t="n"/>
      <c r="AC437" s="9" t="n"/>
      <c r="AD437" s="9" t="n"/>
      <c r="AE437" s="9" t="n"/>
      <c r="AF437" s="9" t="n"/>
      <c r="AG437" s="9" t="n"/>
    </row>
    <row r="438">
      <c r="A438" s="9" t="inlineStr">
        <is>
          <t>Seriographe EPPM</t>
        </is>
      </c>
      <c r="B438" s="9" t="inlineStr">
        <is>
          <t>The EPPM serograph is a graphical tool for chronological serialization of archaeological furniture counting tables.</t>
        </is>
      </c>
      <c r="C438" s="9" t="n"/>
      <c r="D438" s="9" t="n"/>
      <c r="E438" s="9" t="n"/>
      <c r="F438" s="9" t="n"/>
      <c r="G438" s="9" t="n"/>
      <c r="H438" s="9" t="n"/>
      <c r="I438" s="9" t="n"/>
      <c r="J438" s="9" t="n"/>
      <c r="K438" s="9" t="n"/>
      <c r="L438" s="9" t="n"/>
      <c r="M438" s="9" t="n"/>
      <c r="N438" s="10" t="inlineStr">
        <is>
          <t>https://abp.hypotheses.org/le-programme-bassin-parisien/les-projets/les-projets-associes-au-programme/outils-danalyse-graphique-des-donnees</t>
        </is>
      </c>
      <c r="O438" s="9" t="n"/>
      <c r="P438" s="9" t="n"/>
      <c r="Q438" s="9" t="inlineStr">
        <is>
          <t>Bruno Desachy</t>
        </is>
      </c>
      <c r="R438" s="9" t="n"/>
      <c r="S438" s="9" t="n"/>
      <c r="T438" s="9" t="n"/>
      <c r="U438" s="9" t="n"/>
      <c r="V438" s="9" t="n"/>
      <c r="W438" s="9" t="inlineStr">
        <is>
          <t>Packages and libraries</t>
        </is>
      </c>
      <c r="X438" s="9" t="inlineStr">
        <is>
          <t>Microsoft Excel</t>
        </is>
      </c>
      <c r="Y438" s="9" t="inlineStr">
        <is>
          <t>Chronological modelling</t>
        </is>
      </c>
      <c r="Z438" s="9" t="n"/>
      <c r="AA438" s="9" t="n"/>
      <c r="AB438" s="9" t="n"/>
      <c r="AC438" s="9" t="n"/>
      <c r="AD438" s="9" t="n"/>
      <c r="AE438" s="9" t="n"/>
      <c r="AF438" s="9" t="n"/>
      <c r="AG438" s="9" t="n"/>
    </row>
    <row r="439">
      <c r="A439" s="9" t="inlineStr">
        <is>
          <t>SexEst</t>
        </is>
      </c>
      <c r="B439" s="9" t="inlineStr">
        <is>
          <t>Uses machine learning models to predict the Sex of unknown skeletons based on their cranial and postcranial measurements.</t>
        </is>
      </c>
      <c r="C439" s="10" t="inlineStr">
        <is>
          <t>https://github.com/cconsta1/SexEst</t>
        </is>
      </c>
      <c r="D439" s="9" t="n"/>
      <c r="E439" s="9" t="n"/>
      <c r="F439" s="9" t="n"/>
      <c r="G439" s="9" t="n"/>
      <c r="H439" s="9" t="n"/>
      <c r="I439" s="9" t="n"/>
      <c r="J439" s="9" t="n"/>
      <c r="K439" s="9" t="n"/>
      <c r="L439" s="9" t="n"/>
      <c r="M439" s="9" t="n"/>
      <c r="N439" s="9" t="n"/>
      <c r="O439" s="9" t="n"/>
      <c r="P439" s="9" t="n"/>
      <c r="Q439" s="9" t="inlineStr">
        <is>
          <t>cconsta1</t>
        </is>
      </c>
      <c r="R439" s="9" t="n"/>
      <c r="S439" s="9" t="n"/>
      <c r="T439" s="9" t="n"/>
      <c r="U439" s="9" t="n"/>
      <c r="V439" s="9" t="n"/>
      <c r="W439" s="9" t="inlineStr">
        <is>
          <t>Packages and libraries</t>
        </is>
      </c>
      <c r="X439" s="9" t="inlineStr">
        <is>
          <t>Python</t>
        </is>
      </c>
      <c r="Y439" s="9" t="inlineStr">
        <is>
          <t>Biological anthropology</t>
        </is>
      </c>
      <c r="Z439" s="9" t="inlineStr">
        <is>
          <t>Shape recognition</t>
        </is>
      </c>
      <c r="AA439" s="9" t="n"/>
      <c r="AB439" s="9" t="n"/>
      <c r="AC439" s="9" t="n"/>
      <c r="AD439" s="9" t="n"/>
      <c r="AE439" s="9" t="n"/>
      <c r="AF439" s="9" t="n"/>
      <c r="AG439" s="9" t="n"/>
    </row>
    <row r="440">
      <c r="A440" s="9" t="inlineStr">
        <is>
          <t>shapAAR</t>
        </is>
      </c>
      <c r="B440" s="9" t="inlineStr">
        <is>
          <t>This is an R package for the extraction, analysis and classification of (not only) archaeological objects derived from scanned images. Especially it aims at the analysis of the shapes/profiles of eg. ceramic vessels or arrow heads.</t>
        </is>
      </c>
      <c r="C440" s="10" t="inlineStr">
        <is>
          <t>https://github.com/ISAAKiel/shapAAR</t>
        </is>
      </c>
      <c r="D440" s="9" t="n"/>
      <c r="E440" s="9" t="n"/>
      <c r="F440" s="9" t="n"/>
      <c r="G440" s="9" t="n"/>
      <c r="H440" s="9" t="n"/>
      <c r="I440" s="9" t="n"/>
      <c r="J440" s="9" t="n"/>
      <c r="K440" s="9" t="n"/>
      <c r="L440" s="9" t="n"/>
      <c r="M440" s="9" t="n"/>
      <c r="N440" s="9" t="n"/>
      <c r="O440" s="9" t="n"/>
      <c r="P440" s="9" t="n"/>
      <c r="Q440" s="9" t="inlineStr">
        <is>
          <t>ISAAKiel</t>
        </is>
      </c>
      <c r="R440" s="9" t="n"/>
      <c r="S440" s="9" t="n"/>
      <c r="T440" s="9" t="n"/>
      <c r="U440" s="9" t="n"/>
      <c r="V440" s="9" t="n"/>
      <c r="W440" s="9" t="inlineStr">
        <is>
          <t>Packages and libraries</t>
        </is>
      </c>
      <c r="X440" s="9" t="inlineStr">
        <is>
          <t>R</t>
        </is>
      </c>
      <c r="Y440" s="9" t="inlineStr">
        <is>
          <t>Shape recognition</t>
        </is>
      </c>
      <c r="Z440" s="9" t="n"/>
      <c r="AA440" s="9" t="n"/>
      <c r="AB440" s="9" t="n"/>
      <c r="AC440" s="9" t="n"/>
      <c r="AD440" s="9" t="n"/>
      <c r="AE440" s="10" t="inlineStr">
        <is>
          <t>https://archive.org/details/github.com-ISAAKiel-shapAAR_-_2020-07-08_15-22-23</t>
        </is>
      </c>
      <c r="AF440" s="9" t="n"/>
      <c r="AG440" s="9" t="n"/>
    </row>
    <row r="441">
      <c r="A441" s="9" t="inlineStr">
        <is>
          <t>shiny_DRAC</t>
        </is>
      </c>
      <c r="B441" s="9" t="inlineStr">
        <is>
          <t>graphical interface for DRAC</t>
        </is>
      </c>
      <c r="C441" s="10" t="inlineStr">
        <is>
          <t>https://github.com/dstreble/shiny_DRAC</t>
        </is>
      </c>
      <c r="D441" s="9" t="n"/>
      <c r="E441" s="9" t="n"/>
      <c r="F441" s="9" t="n"/>
      <c r="G441" s="9" t="n"/>
      <c r="H441" s="9" t="n"/>
      <c r="I441" s="9" t="n"/>
      <c r="J441" s="9" t="n"/>
      <c r="K441" s="9" t="n"/>
      <c r="L441" s="9" t="n"/>
      <c r="M441" s="9" t="n"/>
      <c r="N441" s="9" t="n"/>
      <c r="O441" s="9" t="n"/>
      <c r="P441" s="9" t="n"/>
      <c r="Q441" s="9" t="inlineStr">
        <is>
          <t>dstreble</t>
        </is>
      </c>
      <c r="R441" s="9" t="n"/>
      <c r="S441" s="9" t="n"/>
      <c r="T441" s="9" t="n"/>
      <c r="U441" s="9" t="n"/>
      <c r="V441" s="9" t="n"/>
      <c r="W441" s="9" t="inlineStr">
        <is>
          <t>Standalone software</t>
        </is>
      </c>
      <c r="X441" s="9" t="n"/>
      <c r="Y441" s="9" t="inlineStr">
        <is>
          <t>Luminescence dating</t>
        </is>
      </c>
      <c r="Z441" s="9" t="n"/>
      <c r="AA441" s="9" t="n"/>
      <c r="AB441" s="9" t="n"/>
      <c r="AC441" s="9" t="n"/>
      <c r="AD441" s="9" t="n"/>
      <c r="AE441" s="10" t="inlineStr">
        <is>
          <t>https://archive.org/details/github.com-dstreble-shiny_DRAC_-_2016-11-02_16-04-27</t>
        </is>
      </c>
      <c r="AF441" s="9" t="n"/>
      <c r="AG441" s="9" t="n"/>
    </row>
    <row r="442">
      <c r="A442" s="9" t="inlineStr">
        <is>
          <t>shiny_Tldating</t>
        </is>
      </c>
      <c r="B442" s="9" t="inlineStr">
        <is>
          <t>Shiny app for TL dating</t>
        </is>
      </c>
      <c r="C442" s="10" t="inlineStr">
        <is>
          <t>https://github.com/dstreble/shiny_TLdating</t>
        </is>
      </c>
      <c r="D442" s="9" t="n"/>
      <c r="E442" s="9" t="n"/>
      <c r="F442" s="9" t="n"/>
      <c r="G442" s="9" t="n"/>
      <c r="H442" s="9" t="n"/>
      <c r="I442" s="9" t="n"/>
      <c r="J442" s="9" t="n"/>
      <c r="K442" s="9" t="n"/>
      <c r="L442" s="9" t="n"/>
      <c r="M442" s="9" t="n"/>
      <c r="N442" s="9" t="n"/>
      <c r="O442" s="9" t="n"/>
      <c r="P442" s="9" t="n"/>
      <c r="Q442" s="9" t="inlineStr">
        <is>
          <t>dstreble</t>
        </is>
      </c>
      <c r="R442" s="9" t="n"/>
      <c r="S442" s="9" t="n"/>
      <c r="T442" s="9" t="n"/>
      <c r="U442" s="9" t="n"/>
      <c r="V442" s="9" t="n"/>
      <c r="W442" s="9" t="inlineStr">
        <is>
          <t>Scripts</t>
        </is>
      </c>
      <c r="X442" s="9" t="inlineStr">
        <is>
          <t>R</t>
        </is>
      </c>
      <c r="Y442" s="9" t="inlineStr">
        <is>
          <t>Luminescence dating</t>
        </is>
      </c>
      <c r="Z442" s="9" t="n"/>
      <c r="AA442" s="9" t="n"/>
      <c r="AB442" s="9" t="n"/>
      <c r="AC442" s="9" t="n"/>
      <c r="AD442" s="9" t="n"/>
      <c r="AE442" s="10" t="inlineStr">
        <is>
          <t>https://archive.org/details/github.com-dstreble-shiny_TLdating_-_2016-11-02_16-04-05</t>
        </is>
      </c>
      <c r="AF442" s="9" t="n"/>
      <c r="AG442" s="9" t="n"/>
    </row>
    <row r="443">
      <c r="A443" s="9" t="inlineStr">
        <is>
          <t>shkrdata</t>
        </is>
      </c>
      <c r="B443" s="9" t="inlineStr">
        <is>
          <t>Package for downloading and preparing shkr data for archaeological analysis</t>
        </is>
      </c>
      <c r="C443" s="10" t="inlineStr">
        <is>
          <t>https://github.com/ISAAKiel/shkrdata</t>
        </is>
      </c>
      <c r="D443" s="9" t="n"/>
      <c r="E443" s="9" t="n"/>
      <c r="F443" s="9" t="n"/>
      <c r="G443" s="9" t="n"/>
      <c r="H443" s="9" t="n"/>
      <c r="I443" s="9" t="n"/>
      <c r="J443" s="9" t="n"/>
      <c r="K443" s="9" t="n"/>
      <c r="L443" s="9" t="n"/>
      <c r="M443" s="9" t="n"/>
      <c r="N443" s="9" t="n"/>
      <c r="O443" s="9" t="n"/>
      <c r="P443" s="9" t="n"/>
      <c r="Q443" s="9" t="inlineStr">
        <is>
          <t>ISAAKiel</t>
        </is>
      </c>
      <c r="R443" s="9" t="n"/>
      <c r="S443" s="9" t="n"/>
      <c r="T443" s="9" t="n"/>
      <c r="U443" s="9" t="n"/>
      <c r="V443" s="9" t="n"/>
      <c r="W443" s="9" t="inlineStr">
        <is>
          <t>Packages and libraries</t>
        </is>
      </c>
      <c r="X443" s="9" t="inlineStr">
        <is>
          <t>R</t>
        </is>
      </c>
      <c r="Y443" s="9" t="inlineStr">
        <is>
          <t>API interfaces and web scrapers</t>
        </is>
      </c>
      <c r="Z443" s="9" t="n"/>
      <c r="AA443" s="9" t="n"/>
      <c r="AB443" s="9" t="n"/>
      <c r="AC443" s="9" t="n"/>
      <c r="AD443" s="9" t="n"/>
      <c r="AE443" s="10" t="inlineStr">
        <is>
          <t>https://archive.org/details/github.com-ISAAKiel-shkrdata_-_2020-07-20_09-44-14</t>
        </is>
      </c>
      <c r="AF443" s="9" t="n"/>
      <c r="AG443" s="9" t="n"/>
    </row>
    <row r="444">
      <c r="A444" s="9" t="inlineStr">
        <is>
          <t>shootpoints-web-api</t>
        </is>
      </c>
      <c r="B444" s="9" t="inlineStr">
        <is>
          <t>Back-end and middleware for the ShootPoints Web total station surveying program.</t>
        </is>
      </c>
      <c r="C444" s="10" t="inlineStr">
        <is>
          <t>https://github.com/Lugal-PCZ/shootpoints-web-api</t>
        </is>
      </c>
      <c r="D444" s="9" t="n"/>
      <c r="E444" s="9" t="n"/>
      <c r="F444" s="9" t="n"/>
      <c r="G444" s="9" t="n"/>
      <c r="H444" s="9" t="n"/>
      <c r="I444" s="9" t="n"/>
      <c r="J444" s="9" t="n"/>
      <c r="K444" s="9" t="n"/>
      <c r="L444" s="9" t="n"/>
      <c r="M444" s="9" t="n"/>
      <c r="N444" s="9" t="n"/>
      <c r="O444" s="9" t="n"/>
      <c r="P444" s="9" t="n"/>
      <c r="Q444" s="9" t="inlineStr">
        <is>
          <t>Lugal-PCZ</t>
        </is>
      </c>
      <c r="R444" s="9" t="n"/>
      <c r="S444" s="9" t="n"/>
      <c r="T444" s="9" t="n"/>
      <c r="U444" s="9" t="n"/>
      <c r="V444" s="9" t="n"/>
      <c r="W444" s="9" t="inlineStr">
        <is>
          <t>Standalone software</t>
        </is>
      </c>
      <c r="X444" s="9" t="n"/>
      <c r="Y444" s="9" t="inlineStr">
        <is>
          <t>Site mapping</t>
        </is>
      </c>
      <c r="Z444" s="9" t="inlineStr">
        <is>
          <t>API interfaces and web scrapers</t>
        </is>
      </c>
      <c r="AA444" s="9" t="n"/>
      <c r="AB444" s="9" t="n"/>
      <c r="AC444" s="9" t="n"/>
      <c r="AD444" s="9" t="n"/>
      <c r="AE444" s="9" t="n"/>
      <c r="AF444" s="9" t="n"/>
      <c r="AG444" s="9" t="n"/>
    </row>
    <row r="445">
      <c r="A445" s="9" t="inlineStr">
        <is>
          <t>shootpoints-web-frontend</t>
        </is>
      </c>
      <c r="B445" s="9" t="inlineStr">
        <is>
          <t>User interface to the ShootPoints Web total station surveying program.</t>
        </is>
      </c>
      <c r="C445" s="10" t="inlineStr">
        <is>
          <t>https://github.com/Lugal-PCZ/shootpoints-web-frontend</t>
        </is>
      </c>
      <c r="D445" s="9" t="n"/>
      <c r="E445" s="9" t="n"/>
      <c r="F445" s="9" t="n"/>
      <c r="G445" s="9" t="n"/>
      <c r="H445" s="9" t="n"/>
      <c r="I445" s="9" t="n"/>
      <c r="J445" s="9" t="n"/>
      <c r="K445" s="9" t="n"/>
      <c r="L445" s="9" t="n"/>
      <c r="M445" s="9" t="n"/>
      <c r="N445" s="9" t="n"/>
      <c r="O445" s="9" t="n"/>
      <c r="P445" s="9" t="n"/>
      <c r="Q445" s="9" t="inlineStr">
        <is>
          <t>Lugal-PCZ</t>
        </is>
      </c>
      <c r="R445" s="9" t="n"/>
      <c r="S445" s="9" t="n"/>
      <c r="T445" s="9" t="n"/>
      <c r="U445" s="9" t="n"/>
      <c r="V445" s="9" t="n"/>
      <c r="W445" s="9" t="inlineStr">
        <is>
          <t>Standalone software</t>
        </is>
      </c>
      <c r="X445" s="9" t="n"/>
      <c r="Y445" s="9" t="inlineStr">
        <is>
          <t>Site mapping</t>
        </is>
      </c>
      <c r="Z445" s="9" t="inlineStr">
        <is>
          <t>Data collection</t>
        </is>
      </c>
      <c r="AA445" s="9" t="n"/>
      <c r="AB445" s="9" t="n"/>
      <c r="AC445" s="9" t="n"/>
      <c r="AD445" s="9" t="n"/>
      <c r="AE445" s="9" t="n"/>
      <c r="AF445" s="9" t="n"/>
      <c r="AG445" s="9" t="n"/>
    </row>
    <row r="446">
      <c r="A446" s="9" t="inlineStr">
        <is>
          <t>shoredate</t>
        </is>
      </c>
      <c r="B446" s="9" t="inlineStr">
        <is>
          <t>Offers methods to shoreline date Stone Age sites located along the Norwegian Skagerrak coast based on their present-day elevation and the trajectory of past relative sea-level change.</t>
        </is>
      </c>
      <c r="C446" s="10" t="inlineStr">
        <is>
          <t>https://github.com/isakro/shoredate</t>
        </is>
      </c>
      <c r="D446" s="9" t="n"/>
      <c r="E446" s="9" t="n"/>
      <c r="F446" s="9" t="n"/>
      <c r="G446" s="9" t="n"/>
      <c r="H446" s="9" t="n"/>
      <c r="I446" s="9" t="n"/>
      <c r="J446" s="9" t="n"/>
      <c r="K446" s="10" t="inlineStr">
        <is>
          <t>https://cran.r-project.org/package=shoredate</t>
        </is>
      </c>
      <c r="L446" s="9" t="n"/>
      <c r="M446" s="9" t="n"/>
      <c r="N446" s="9" t="n"/>
      <c r="O446" s="9" t="n"/>
      <c r="P446" s="9" t="n"/>
      <c r="Q446" s="9" t="inlineStr">
        <is>
          <t>isakro</t>
        </is>
      </c>
      <c r="R446" s="9" t="n"/>
      <c r="S446" s="9" t="n"/>
      <c r="T446" s="9" t="n"/>
      <c r="U446" s="9" t="n"/>
      <c r="V446" s="9" t="n"/>
      <c r="W446" s="9" t="inlineStr">
        <is>
          <t>Packages and libraries</t>
        </is>
      </c>
      <c r="X446" s="9" t="inlineStr">
        <is>
          <t>R</t>
        </is>
      </c>
      <c r="Y446" s="9" t="inlineStr">
        <is>
          <t>Spatial analysis</t>
        </is>
      </c>
      <c r="Z446" s="9" t="inlineStr">
        <is>
          <t>Chronological modelling</t>
        </is>
      </c>
      <c r="AA446" s="9" t="n"/>
      <c r="AB446" s="9" t="n"/>
      <c r="AC446" s="9" t="n"/>
      <c r="AD446" s="9" t="n"/>
      <c r="AE446" s="9" t="n"/>
      <c r="AF446" s="9" t="n"/>
      <c r="AG446" s="9" t="n"/>
    </row>
    <row r="447">
      <c r="A447" s="9" t="inlineStr">
        <is>
          <t>signboardr</t>
        </is>
      </c>
      <c r="B447" s="9" t="inlineStr">
        <is>
          <t>Extract text from archaeological photos containing a sign board and tag as metadata.</t>
        </is>
      </c>
      <c r="C447" s="10" t="inlineStr">
        <is>
          <t>https://github.com/mrecos/signboardr</t>
        </is>
      </c>
      <c r="D447" s="9" t="n"/>
      <c r="E447" s="9" t="n"/>
      <c r="F447" s="9" t="n"/>
      <c r="G447" s="9" t="n"/>
      <c r="H447" s="9" t="n"/>
      <c r="I447" s="9" t="n"/>
      <c r="J447" s="9" t="n"/>
      <c r="K447" s="9" t="n"/>
      <c r="L447" s="9" t="n"/>
      <c r="M447" s="9" t="n"/>
      <c r="N447" s="9" t="n"/>
      <c r="O447" s="9" t="n"/>
      <c r="P447" s="9" t="n"/>
      <c r="Q447" s="9" t="inlineStr">
        <is>
          <t>mrecos</t>
        </is>
      </c>
      <c r="R447" s="9" t="n"/>
      <c r="S447" s="9" t="n"/>
      <c r="T447" s="9" t="n"/>
      <c r="U447" s="9" t="n"/>
      <c r="V447" s="9" t="n"/>
      <c r="W447" s="9" t="inlineStr">
        <is>
          <t>Packages and libraries</t>
        </is>
      </c>
      <c r="X447" s="9" t="inlineStr">
        <is>
          <t>R</t>
        </is>
      </c>
      <c r="Y447" s="9" t="inlineStr">
        <is>
          <t>Shape recognition</t>
        </is>
      </c>
      <c r="Z447" s="9" t="inlineStr">
        <is>
          <t>Photography</t>
        </is>
      </c>
      <c r="AA447" s="9" t="n"/>
      <c r="AB447" s="9" t="n"/>
      <c r="AC447" s="9" t="n"/>
      <c r="AD447" s="9" t="n"/>
      <c r="AE447" s="10" t="inlineStr">
        <is>
          <t>https://archive.org/details/github.com-mrecos-signboardr_-_2017-11-04_00-39-27</t>
        </is>
      </c>
      <c r="AF447" s="9" t="n"/>
      <c r="AG447" s="9" t="n"/>
    </row>
    <row r="448">
      <c r="A448" s="9" t="inlineStr">
        <is>
          <t>sindwem</t>
        </is>
      </c>
      <c r="B448" s="9" t="inlineStr">
        <is>
          <t>This R package contains exactly one function, that calculates the "sum of individual weighted means" according to a methodology that is quite common among archaeologists and was first published in 1988 by Elisabeth Fentress and Philip Perkins.</t>
        </is>
      </c>
      <c r="C448" s="9" t="n"/>
      <c r="D448" s="9" t="n"/>
      <c r="E448" s="9" t="n"/>
      <c r="F448" s="10" t="inlineStr">
        <is>
          <t>https://bitbucket.org/steko/mpi.r/src/default/</t>
        </is>
      </c>
      <c r="G448" s="9" t="n"/>
      <c r="H448" s="9" t="n"/>
      <c r="I448" s="9" t="n"/>
      <c r="J448" s="9" t="n"/>
      <c r="K448" s="9" t="n"/>
      <c r="L448" s="9" t="n"/>
      <c r="M448" s="9" t="n"/>
      <c r="N448" s="9" t="n"/>
      <c r="O448" s="9" t="n"/>
      <c r="P448" s="9" t="n"/>
      <c r="Q448" s="9" t="inlineStr">
        <is>
          <t>steko</t>
        </is>
      </c>
      <c r="R448" s="9" t="n"/>
      <c r="S448" s="9" t="n"/>
      <c r="T448" s="9" t="n"/>
      <c r="U448" s="9" t="n"/>
      <c r="V448" s="9" t="n"/>
      <c r="W448" s="9" t="inlineStr">
        <is>
          <t>Packages and libraries</t>
        </is>
      </c>
      <c r="X448" s="9" t="inlineStr">
        <is>
          <t>R</t>
        </is>
      </c>
      <c r="Y448" s="9" t="inlineStr">
        <is>
          <t>Statistical analysis</t>
        </is>
      </c>
      <c r="Z448" s="9" t="n"/>
      <c r="AA448" s="9" t="n"/>
      <c r="AB448" s="9" t="n"/>
      <c r="AC448" s="9" t="n"/>
      <c r="AD448" s="9" t="n"/>
      <c r="AE448" s="9" t="n"/>
      <c r="AF448" s="9" t="n"/>
      <c r="AG448" s="9" t="n"/>
    </row>
    <row r="449">
      <c r="A449" s="9" t="inlineStr">
        <is>
          <t>sipontomedievale</t>
        </is>
      </c>
      <c r="B449" s="9" t="inlineStr">
        <is>
          <t>This repo contains the code for an interactive website created to illustrate historical background, findings and data of the Siponto excavation site (Manfredonia, Italy)</t>
        </is>
      </c>
      <c r="C449" s="10" t="inlineStr">
        <is>
          <t>https://github.com/fradeve/sipontomedievale</t>
        </is>
      </c>
      <c r="D449" s="9" t="n"/>
      <c r="E449" s="9" t="n"/>
      <c r="F449" s="9" t="n"/>
      <c r="G449" s="9" t="n"/>
      <c r="H449" s="9" t="n"/>
      <c r="I449" s="9" t="n"/>
      <c r="J449" s="9" t="n"/>
      <c r="K449" s="9" t="n"/>
      <c r="L449" s="9" t="n"/>
      <c r="M449" s="9" t="n"/>
      <c r="N449" s="9" t="n"/>
      <c r="O449" s="9" t="n"/>
      <c r="P449" s="9" t="n"/>
      <c r="Q449" s="9" t="inlineStr">
        <is>
          <t>fradeve</t>
        </is>
      </c>
      <c r="R449" s="9" t="n"/>
      <c r="S449" s="9" t="n"/>
      <c r="T449" s="9" t="n"/>
      <c r="U449" s="9" t="n"/>
      <c r="V449" s="9" t="n"/>
      <c r="W449" s="9" t="inlineStr">
        <is>
          <t>Products</t>
        </is>
      </c>
      <c r="X449" s="9" t="n"/>
      <c r="Y449" s="9" t="inlineStr">
        <is>
          <t>Public archaeology</t>
        </is>
      </c>
      <c r="Z449" s="9" t="n"/>
      <c r="AA449" s="9" t="n"/>
      <c r="AB449" s="9" t="n"/>
      <c r="AC449" s="9" t="n"/>
      <c r="AD449" s="9" t="n"/>
      <c r="AE449" s="10" t="inlineStr">
        <is>
          <t>https://archive.org/details/github.com-fradeve-sipontomedievale_-_2015-03-14_12-20-54</t>
        </is>
      </c>
      <c r="AF449" s="9" t="n"/>
      <c r="AG449" s="9" t="n"/>
    </row>
    <row r="450">
      <c r="A450" s="9" t="inlineStr">
        <is>
          <t>sitedefinition</t>
        </is>
      </c>
      <c r="B450" s="9" t="inlineStr">
        <is>
          <t>The goal of sitedefinition is to see how feature densities might be used for site definition.</t>
        </is>
      </c>
      <c r="C450" s="10" t="inlineStr">
        <is>
          <t>https://github.com/SCSchmidt/sitedefinition</t>
        </is>
      </c>
      <c r="D450" s="9" t="n"/>
      <c r="E450" s="9" t="n"/>
      <c r="F450" s="9" t="n"/>
      <c r="G450" s="9" t="n"/>
      <c r="H450" s="9" t="n"/>
      <c r="I450" s="9" t="n"/>
      <c r="J450" s="9" t="n"/>
      <c r="K450" s="9" t="n"/>
      <c r="L450" s="9" t="n"/>
      <c r="M450" s="9" t="n"/>
      <c r="N450" s="9" t="n"/>
      <c r="O450" s="9" t="n"/>
      <c r="P450" s="9" t="n"/>
      <c r="Q450" s="9" t="inlineStr">
        <is>
          <t>SCSchmidt</t>
        </is>
      </c>
      <c r="R450" s="9" t="n"/>
      <c r="S450" s="9" t="n"/>
      <c r="T450" s="9" t="n"/>
      <c r="U450" s="9" t="n"/>
      <c r="V450" s="9" t="n"/>
      <c r="W450" s="9" t="inlineStr">
        <is>
          <t>Packages and libraries</t>
        </is>
      </c>
      <c r="X450" s="9" t="inlineStr">
        <is>
          <t>R</t>
        </is>
      </c>
      <c r="Y450" s="9" t="inlineStr">
        <is>
          <t>Site mapping</t>
        </is>
      </c>
      <c r="Z450" s="9" t="n"/>
      <c r="AA450" s="9" t="n"/>
      <c r="AB450" s="9" t="n"/>
      <c r="AC450" s="9" t="n"/>
      <c r="AD450" s="9" t="n"/>
      <c r="AE450" s="10" t="inlineStr">
        <is>
          <t>https://archive.org/details/github.com-SCSchmidt-sitedefinition_-_2019-09-05_16-30-54</t>
        </is>
      </c>
      <c r="AF450" s="9" t="n"/>
      <c r="AG450" s="9" t="n"/>
    </row>
    <row r="451">
      <c r="A451" s="9" t="inlineStr">
        <is>
          <t>SiteSyncro</t>
        </is>
      </c>
      <c r="B451" s="9" t="inlineStr">
        <is>
          <t>Site-specific chronological modeling and synchronization.</t>
        </is>
      </c>
      <c r="C451" s="10" t="inlineStr">
        <is>
          <t>https://github.com/demjanp/SiteSyncro</t>
        </is>
      </c>
      <c r="D451" s="9" t="n"/>
      <c r="E451" s="9" t="n"/>
      <c r="F451" s="9" t="n"/>
      <c r="G451" s="9" t="n"/>
      <c r="H451" s="9" t="n"/>
      <c r="I451" s="9" t="n"/>
      <c r="J451" s="9" t="n"/>
      <c r="K451" s="9" t="n"/>
      <c r="L451" s="9" t="n"/>
      <c r="M451" s="9" t="n"/>
      <c r="N451" s="10" t="inlineStr">
        <is>
          <t>https://sitesyncro.readthedocs.io/en/latest/</t>
        </is>
      </c>
      <c r="O451" s="10" t="inlineStr">
        <is>
          <t>https://doi.org/10.1017/RDC.2020.129</t>
        </is>
      </c>
      <c r="P451" s="9" t="n"/>
      <c r="Q451" s="9" t="inlineStr">
        <is>
          <t>demjanp</t>
        </is>
      </c>
      <c r="R451" s="9" t="n"/>
      <c r="S451" s="9" t="n"/>
      <c r="T451" s="9" t="n"/>
      <c r="U451" s="9" t="n"/>
      <c r="V451" s="9" t="n"/>
      <c r="W451" s="9" t="inlineStr">
        <is>
          <t>Packages and libraries</t>
        </is>
      </c>
      <c r="X451" s="9" t="inlineStr">
        <is>
          <t>Python</t>
        </is>
      </c>
      <c r="Y451" s="9" t="inlineStr">
        <is>
          <t>Chronological modelling</t>
        </is>
      </c>
      <c r="Z451" s="9" t="inlineStr">
        <is>
          <t>Radiocarbon dating, calibration and sequencing</t>
        </is>
      </c>
      <c r="AA451" s="9" t="n"/>
      <c r="AB451" s="9" t="n"/>
      <c r="AC451" s="9" t="n"/>
      <c r="AD451" s="9" t="n"/>
      <c r="AE451" s="9" t="n"/>
      <c r="AF451" s="9" t="n"/>
      <c r="AG451" s="9" t="n"/>
    </row>
    <row r="452">
      <c r="A452" s="9" t="inlineStr">
        <is>
          <t>skeletal-sex-estimation</t>
        </is>
      </c>
      <c r="B452" s="9" t="inlineStr">
        <is>
          <t>A GNU Octave function for skeletal sex estimation.</t>
        </is>
      </c>
      <c r="C452" s="10" t="inlineStr">
        <is>
          <t>https://github.com/pr0m1th3as/skeletal-sex-estimation</t>
        </is>
      </c>
      <c r="D452" s="9" t="n"/>
      <c r="E452" s="9" t="n"/>
      <c r="F452" s="9" t="n"/>
      <c r="G452" s="9" t="n"/>
      <c r="H452" s="9" t="n"/>
      <c r="I452" s="9" t="n"/>
      <c r="J452" s="9" t="n"/>
      <c r="K452" s="9" t="n"/>
      <c r="L452" s="9" t="n"/>
      <c r="M452" s="9" t="n"/>
      <c r="N452" s="9" t="n"/>
      <c r="O452" s="9" t="n"/>
      <c r="P452" s="9" t="n"/>
      <c r="Q452" s="9" t="inlineStr">
        <is>
          <t>pr0m1th3as</t>
        </is>
      </c>
      <c r="R452" s="9" t="n"/>
      <c r="S452" s="9" t="n"/>
      <c r="T452" s="9" t="n"/>
      <c r="U452" s="9" t="n"/>
      <c r="V452" s="9" t="n"/>
      <c r="W452" s="9" t="inlineStr">
        <is>
          <t>Scripts</t>
        </is>
      </c>
      <c r="X452" s="9" t="inlineStr">
        <is>
          <t>MATLAB</t>
        </is>
      </c>
      <c r="Y452" s="9" t="inlineStr">
        <is>
          <t>Biological anthropology</t>
        </is>
      </c>
      <c r="Z452" s="9" t="inlineStr">
        <is>
          <t>Zooarchaeology</t>
        </is>
      </c>
      <c r="AA452" s="9" t="n"/>
      <c r="AB452" s="9" t="n"/>
      <c r="AC452" s="9" t="n"/>
      <c r="AD452" s="9" t="n"/>
      <c r="AE452" s="10" t="inlineStr">
        <is>
          <t>https://archive.org/details/github.com-pr0m1th3as-skeletal-sex-estimation_-_2020-07-15_16-36-11</t>
        </is>
      </c>
      <c r="AF452" s="9" t="n"/>
      <c r="AG452" s="9" t="n"/>
    </row>
    <row r="453">
      <c r="A453" s="9" t="inlineStr">
        <is>
          <t>skullanalyzer</t>
        </is>
      </c>
      <c r="B453" s="9" t="inlineStr">
        <is>
          <t>A concrete way of extracting cranial mophometric features.</t>
        </is>
      </c>
      <c r="C453" s="10" t="inlineStr">
        <is>
          <t>https://github.com/pr0m1th3as/skullanalyzer</t>
        </is>
      </c>
      <c r="D453" s="9" t="n"/>
      <c r="E453" s="9" t="n"/>
      <c r="F453" s="9" t="n"/>
      <c r="G453" s="9" t="n"/>
      <c r="H453" s="9" t="n"/>
      <c r="I453" s="9" t="n"/>
      <c r="J453" s="9" t="n"/>
      <c r="K453" s="9" t="n"/>
      <c r="L453" s="9" t="n"/>
      <c r="M453" s="9" t="n"/>
      <c r="N453" s="9" t="n"/>
      <c r="O453" s="9" t="n"/>
      <c r="P453" s="9" t="n"/>
      <c r="Q453" s="9" t="inlineStr">
        <is>
          <t>pr0m1th3as</t>
        </is>
      </c>
      <c r="R453" s="9" t="n"/>
      <c r="S453" s="9" t="n"/>
      <c r="T453" s="9" t="n"/>
      <c r="U453" s="9" t="n"/>
      <c r="V453" s="9" t="n"/>
      <c r="W453" s="9" t="inlineStr">
        <is>
          <t>Scripts</t>
        </is>
      </c>
      <c r="X453" s="9" t="inlineStr">
        <is>
          <t>MATLAB</t>
        </is>
      </c>
      <c r="Y453" s="9" t="inlineStr">
        <is>
          <t>Biological anthropology</t>
        </is>
      </c>
      <c r="Z453" s="9" t="inlineStr">
        <is>
          <t>Zooarchaeology</t>
        </is>
      </c>
      <c r="AA453" s="9" t="n"/>
      <c r="AB453" s="9" t="n"/>
      <c r="AC453" s="9" t="n"/>
      <c r="AD453" s="9" t="n"/>
      <c r="AE453" s="10" t="inlineStr">
        <is>
          <t>https://archive.org/details/github.com-pr0m1th3as-skullanalyzer_-_2020-04-13_19-57-16</t>
        </is>
      </c>
      <c r="AF453" s="9" t="n"/>
      <c r="AG453" s="9" t="n"/>
    </row>
    <row r="454">
      <c r="A454" s="9" t="inlineStr">
        <is>
          <t>skyscapeR</t>
        </is>
      </c>
      <c r="B454" s="9" t="inlineStr">
        <is>
          <t>An R package for data reduction, visualization and analysis in skyscape archaeology, archaeoastronomy and cultural astronomy.</t>
        </is>
      </c>
      <c r="C454" s="10" t="inlineStr">
        <is>
          <t>https://github.com/f-silva-archaeo/skyscapeR</t>
        </is>
      </c>
      <c r="D454" s="9" t="n"/>
      <c r="E454" s="9" t="n"/>
      <c r="F454" s="9" t="n"/>
      <c r="G454" s="9" t="n"/>
      <c r="H454" s="9" t="n"/>
      <c r="I454" s="9" t="n"/>
      <c r="J454" s="9" t="n"/>
      <c r="K454" s="9" t="n"/>
      <c r="L454" s="9" t="n"/>
      <c r="M454" s="9" t="n"/>
      <c r="N454" s="9" t="n"/>
      <c r="O454" s="9" t="n"/>
      <c r="P454" s="9" t="n"/>
      <c r="Q454" s="9" t="inlineStr">
        <is>
          <t>f-silva-archaeo</t>
        </is>
      </c>
      <c r="R454" s="9" t="n"/>
      <c r="S454" s="9" t="n"/>
      <c r="T454" s="9" t="n"/>
      <c r="U454" s="9" t="n"/>
      <c r="V454" s="9" t="n"/>
      <c r="W454" s="9" t="inlineStr">
        <is>
          <t>Packages and libraries</t>
        </is>
      </c>
      <c r="X454" s="9" t="inlineStr">
        <is>
          <t>R</t>
        </is>
      </c>
      <c r="Y454" s="9" t="inlineStr">
        <is>
          <t>Archaeoastronomy</t>
        </is>
      </c>
      <c r="Z454" s="9" t="n"/>
      <c r="AA454" s="9" t="n"/>
      <c r="AB454" s="9" t="n"/>
      <c r="AC454" s="9" t="n"/>
      <c r="AD454" s="9" t="n"/>
      <c r="AE454" s="10" t="inlineStr">
        <is>
          <t>https://archive.org/details/github.com-f-silva-archaeo-skyscapeR_-_2020-02-27_14-52-38</t>
        </is>
      </c>
      <c r="AF454" s="9" t="n"/>
      <c r="AG454" s="9" t="n"/>
    </row>
    <row r="455">
      <c r="A455" s="9" t="inlineStr">
        <is>
          <t>soiltexture</t>
        </is>
      </c>
      <c r="B455" s="9" t="inlineStr">
        <is>
          <t>The Soil Texture Wizard is a set of R functions designed to produce texture triangles (also called texture plots, texture diagrams, texture ternary plots), classify and transform soil textures data</t>
        </is>
      </c>
      <c r="C455" s="10" t="inlineStr">
        <is>
          <t>https://github.com/julienmoeys/soiltexture</t>
        </is>
      </c>
      <c r="D455" s="9" t="n"/>
      <c r="E455" s="9" t="n"/>
      <c r="F455" s="9" t="n"/>
      <c r="G455" s="9" t="n"/>
      <c r="H455" s="9" t="n"/>
      <c r="I455" s="9" t="n"/>
      <c r="J455" s="9" t="n"/>
      <c r="K455" s="10" t="inlineStr">
        <is>
          <t>https://cran.r-project.org/package=soiltexture</t>
        </is>
      </c>
      <c r="L455" s="9" t="n"/>
      <c r="M455" s="9" t="n"/>
      <c r="N455" s="9" t="n"/>
      <c r="O455" s="9" t="n"/>
      <c r="P455" s="9" t="n"/>
      <c r="Q455" s="9" t="inlineStr">
        <is>
          <t>julienmoeys</t>
        </is>
      </c>
      <c r="R455" s="9" t="n"/>
      <c r="S455" s="9" t="n"/>
      <c r="T455" s="9" t="n"/>
      <c r="U455" s="9" t="n"/>
      <c r="V455" s="9" t="n"/>
      <c r="W455" s="9" t="inlineStr">
        <is>
          <t>Packages and libraries</t>
        </is>
      </c>
      <c r="X455" s="9" t="inlineStr">
        <is>
          <t>R</t>
        </is>
      </c>
      <c r="Y455" s="9" t="inlineStr">
        <is>
          <t>Bits and bobs</t>
        </is>
      </c>
      <c r="Z455" s="9" t="n"/>
      <c r="AA455" s="9" t="n"/>
      <c r="AB455" s="9" t="n"/>
      <c r="AC455" s="9" t="n"/>
      <c r="AD455" s="9" t="n"/>
      <c r="AE455" s="10" t="inlineStr">
        <is>
          <t>https://archive.org/details/github.com-julienmoeys-soiltexture_-_2020-03-09_15-35-09</t>
        </is>
      </c>
      <c r="AF455" s="9" t="n"/>
      <c r="AG455" s="9" t="n"/>
    </row>
    <row r="456">
      <c r="A456" s="9" t="inlineStr">
        <is>
          <t>sparch</t>
        </is>
      </c>
      <c r="B456" s="9" t="inlineStr">
        <is>
          <t>A set of extra utilities that extend the functionlaity provided by core packages for spatial data management and analysis in R.</t>
        </is>
      </c>
      <c r="C456" s="10" t="inlineStr">
        <is>
          <t>https://github.com/ahb108/sparch</t>
        </is>
      </c>
      <c r="D456" s="9" t="n"/>
      <c r="E456" s="9" t="n"/>
      <c r="F456" s="9" t="n"/>
      <c r="G456" s="9" t="n"/>
      <c r="H456" s="9" t="n"/>
      <c r="I456" s="9" t="n"/>
      <c r="J456" s="9" t="n"/>
      <c r="K456" s="9" t="n"/>
      <c r="L456" s="9" t="n"/>
      <c r="M456" s="9" t="n"/>
      <c r="N456" s="9" t="n"/>
      <c r="O456" s="9" t="n"/>
      <c r="P456" s="9" t="n"/>
      <c r="Q456" s="9" t="inlineStr">
        <is>
          <t>ahb108</t>
        </is>
      </c>
      <c r="R456" s="9" t="n"/>
      <c r="S456" s="9" t="n"/>
      <c r="T456" s="9" t="n"/>
      <c r="U456" s="9" t="n"/>
      <c r="V456" s="9" t="n"/>
      <c r="W456" s="9" t="inlineStr">
        <is>
          <t>Packages and libraries</t>
        </is>
      </c>
      <c r="X456" s="9" t="inlineStr">
        <is>
          <t>R</t>
        </is>
      </c>
      <c r="Y456" s="9" t="inlineStr">
        <is>
          <t>Bits and bobs</t>
        </is>
      </c>
      <c r="Z456" s="9" t="n"/>
      <c r="AA456" s="9" t="n"/>
      <c r="AB456" s="9" t="n"/>
      <c r="AC456" s="9" t="n"/>
      <c r="AD456" s="9" t="n"/>
      <c r="AE456" s="10" t="inlineStr">
        <is>
          <t>https://archive.org/details/github.com-ahb108-sparch_-_2021-02-01_09-55-02</t>
        </is>
      </c>
      <c r="AF456" s="9" t="n"/>
      <c r="AG456" s="9" t="n"/>
    </row>
    <row r="457">
      <c r="A457" s="9" t="inlineStr">
        <is>
          <t>SPARTAAS</t>
        </is>
      </c>
      <c r="B457" s="9" t="inlineStr">
        <is>
          <t>Statistical pattern recognition and dating using archaeological artefacts assemblages.</t>
        </is>
      </c>
      <c r="C457" s="9" t="n"/>
      <c r="D457" s="9" t="n"/>
      <c r="E457" s="9" t="n"/>
      <c r="F457" s="9" t="n"/>
      <c r="G457" s="9" t="n"/>
      <c r="H457" s="9" t="n"/>
      <c r="I457" s="9" t="n"/>
      <c r="J457" s="9" t="n"/>
      <c r="K457" s="10" t="inlineStr">
        <is>
          <t>https://cran.r-project.org/package=SPARTAAS</t>
        </is>
      </c>
      <c r="L457" s="9" t="n"/>
      <c r="M457" s="9" t="n"/>
      <c r="N457" s="9" t="n"/>
      <c r="O457" s="9" t="n"/>
      <c r="P457" s="9" t="n"/>
      <c r="Q457" s="9" t="inlineStr">
        <is>
          <t>Lise Bellanger</t>
        </is>
      </c>
      <c r="R457" s="9" t="inlineStr">
        <is>
          <t>Philippe Husi</t>
        </is>
      </c>
      <c r="S457" s="9" t="inlineStr">
        <is>
          <t>Arthur Coulon</t>
        </is>
      </c>
      <c r="T457" s="9" t="inlineStr">
        <is>
          <t>Bruno Desachy</t>
        </is>
      </c>
      <c r="U457" s="9" t="inlineStr">
        <is>
          <t>Benjamin Martineau</t>
        </is>
      </c>
      <c r="V457" s="9" t="n"/>
      <c r="W457" s="9" t="inlineStr">
        <is>
          <t>Packages and libraries</t>
        </is>
      </c>
      <c r="X457" s="9" t="inlineStr">
        <is>
          <t>R</t>
        </is>
      </c>
      <c r="Y457" s="9" t="inlineStr">
        <is>
          <t>Statistical analysis</t>
        </is>
      </c>
      <c r="Z457" s="9" t="n"/>
      <c r="AA457" s="9" t="n"/>
      <c r="AB457" s="9" t="n"/>
      <c r="AC457" s="9" t="n"/>
      <c r="AD457" s="9" t="n"/>
      <c r="AE457" s="9" t="n"/>
      <c r="AF457" s="9" t="n"/>
      <c r="AG457" s="9" t="n"/>
    </row>
    <row r="458">
      <c r="A458" s="9" t="inlineStr">
        <is>
          <t>spDates</t>
        </is>
      </c>
      <c r="B458" s="9" t="inlineStr">
        <is>
          <t>Analysis of spatial gradients in radiocarbon dates.</t>
        </is>
      </c>
      <c r="C458" s="10" t="inlineStr">
        <is>
          <t>https://github.com/jgregoriods/spDates</t>
        </is>
      </c>
      <c r="D458" s="9" t="n"/>
      <c r="E458" s="9" t="n"/>
      <c r="F458" s="9" t="n"/>
      <c r="G458" s="9" t="n"/>
      <c r="H458" s="9" t="n"/>
      <c r="I458" s="9" t="n"/>
      <c r="J458" s="9" t="n"/>
      <c r="K458" s="9" t="n"/>
      <c r="L458" s="9" t="n"/>
      <c r="M458" s="9" t="n"/>
      <c r="N458" s="9" t="n"/>
      <c r="O458" s="9" t="n"/>
      <c r="P458" s="9" t="n"/>
      <c r="Q458" s="9" t="inlineStr">
        <is>
          <t>jgregoriods</t>
        </is>
      </c>
      <c r="R458" s="9" t="n"/>
      <c r="S458" s="9" t="n"/>
      <c r="T458" s="9" t="n"/>
      <c r="U458" s="9" t="n"/>
      <c r="V458" s="9" t="n"/>
      <c r="W458" s="9" t="inlineStr">
        <is>
          <t>Packages and libraries</t>
        </is>
      </c>
      <c r="X458" s="9" t="inlineStr">
        <is>
          <t>R</t>
        </is>
      </c>
      <c r="Y458" s="9" t="inlineStr">
        <is>
          <t>Radiocarbon dating, calibration and sequencing</t>
        </is>
      </c>
      <c r="Z458" s="9" t="inlineStr">
        <is>
          <t>Spatial analysis</t>
        </is>
      </c>
      <c r="AA458" s="9" t="inlineStr">
        <is>
          <t>Statistical analysis</t>
        </is>
      </c>
      <c r="AB458" s="9" t="n"/>
      <c r="AC458" s="9" t="n"/>
      <c r="AD458" s="9" t="n"/>
      <c r="AE458" s="10" t="inlineStr">
        <is>
          <t>https://archive.org/details/github.com-jgregoriods-spDates_-_2021-06-16_08-03-29</t>
        </is>
      </c>
      <c r="AF458" s="9" t="n"/>
      <c r="AG458" s="9" t="n"/>
    </row>
    <row r="459">
      <c r="A459" s="9" t="inlineStr">
        <is>
          <t>statuAAR</t>
        </is>
      </c>
      <c r="B459" s="9" t="inlineStr">
        <is>
          <t>Estimation of human stature from long bone measurements according to several well established estimation formula.</t>
        </is>
      </c>
      <c r="C459" s="10" t="inlineStr">
        <is>
          <t>https://github.com/ISAAKiel/statuAAR</t>
        </is>
      </c>
      <c r="D459" s="9" t="n"/>
      <c r="E459" s="9" t="n"/>
      <c r="F459" s="9" t="n"/>
      <c r="G459" s="9" t="n"/>
      <c r="H459" s="9" t="n"/>
      <c r="I459" s="9" t="n"/>
      <c r="J459" s="9" t="n"/>
      <c r="K459" s="9" t="n"/>
      <c r="L459" s="9" t="n"/>
      <c r="M459" s="9" t="n"/>
      <c r="N459" s="9" t="n"/>
      <c r="O459" s="9" t="n"/>
      <c r="P459" s="9" t="n"/>
      <c r="Q459" s="9" t="inlineStr">
        <is>
          <t>chrinne</t>
        </is>
      </c>
      <c r="R459" s="9" t="inlineStr">
        <is>
          <t>capsizingHR</t>
        </is>
      </c>
      <c r="S459" s="9" t="inlineStr">
        <is>
          <t>AnKaLoy</t>
        </is>
      </c>
      <c r="T459" s="9" t="inlineStr">
        <is>
          <t>FrankSiegmund</t>
        </is>
      </c>
      <c r="U459" s="9" t="n"/>
      <c r="V459" s="9" t="n"/>
      <c r="W459" s="9" t="inlineStr">
        <is>
          <t>Packages and libraries</t>
        </is>
      </c>
      <c r="X459" s="9" t="inlineStr">
        <is>
          <t>R</t>
        </is>
      </c>
      <c r="Y459" s="9" t="inlineStr">
        <is>
          <t>Archaeogenetics</t>
        </is>
      </c>
      <c r="Z459" s="9" t="n"/>
      <c r="AA459" s="9" t="n"/>
      <c r="AB459" s="9" t="n"/>
      <c r="AC459" s="9" t="n"/>
      <c r="AD459" s="9" t="n"/>
      <c r="AE459" s="10" t="inlineStr">
        <is>
          <t>https://archive.org/details/github.com-ISAAKiel-statuAAR_-_2021-06-23_15-36-26</t>
        </is>
      </c>
      <c r="AF459" s="9" t="n"/>
      <c r="AG459" s="9" t="n"/>
    </row>
    <row r="460">
      <c r="A460" s="9" t="inlineStr">
        <is>
          <t>StoneAdvisor</t>
        </is>
      </c>
      <c r="B460" s="9" t="inlineStr">
        <is>
          <t>Explore and share your favourite archaeological sites and itineraries.</t>
        </is>
      </c>
      <c r="C460" s="10" t="inlineStr">
        <is>
          <t>https://github.com/rbbristow/StoneAdvisor</t>
        </is>
      </c>
      <c r="D460" s="9" t="n"/>
      <c r="E460" s="9" t="n"/>
      <c r="F460" s="9" t="n"/>
      <c r="G460" s="9" t="n"/>
      <c r="H460" s="9" t="n"/>
      <c r="I460" s="9" t="n"/>
      <c r="J460" s="9" t="n"/>
      <c r="K460" s="9" t="n"/>
      <c r="L460" s="9" t="n"/>
      <c r="M460" s="9" t="n"/>
      <c r="N460" s="9" t="n"/>
      <c r="O460" s="9" t="n"/>
      <c r="P460" s="9" t="n"/>
      <c r="Q460" s="9" t="inlineStr">
        <is>
          <t>rbbristow</t>
        </is>
      </c>
      <c r="R460" s="9" t="n"/>
      <c r="S460" s="9" t="n"/>
      <c r="T460" s="9" t="n"/>
      <c r="U460" s="9" t="n"/>
      <c r="V460" s="9" t="n"/>
      <c r="W460" s="9" t="inlineStr">
        <is>
          <t>Standalone software</t>
        </is>
      </c>
      <c r="X460" s="9" t="inlineStr">
        <is>
          <t>Python</t>
        </is>
      </c>
      <c r="Y460" s="9" t="inlineStr">
        <is>
          <t>Public archaeology</t>
        </is>
      </c>
      <c r="Z460" s="9" t="inlineStr">
        <is>
          <t>Museums</t>
        </is>
      </c>
      <c r="AA460" s="9" t="n"/>
      <c r="AB460" s="9" t="n"/>
      <c r="AC460" s="9" t="n"/>
      <c r="AD460" s="9" t="n"/>
      <c r="AE460" s="9" t="n"/>
      <c r="AF460" s="9" t="n"/>
      <c r="AG460" s="9" t="n"/>
    </row>
    <row r="461">
      <c r="A461" s="9" t="inlineStr">
        <is>
          <t>Stratibase</t>
        </is>
      </c>
      <c r="B461" s="9" t="inlineStr">
        <is>
          <t>Stratibase is a minimal field recording database application (currently in FileMaker FP7 format software), aimed at the simplest structure possible to perform the basic functions of a stratigraphic recording.</t>
        </is>
      </c>
      <c r="C461" s="9" t="n"/>
      <c r="D461" s="9" t="n"/>
      <c r="E461" s="9" t="n"/>
      <c r="F461" s="9" t="n"/>
      <c r="G461" s="9" t="n"/>
      <c r="H461" s="9" t="n"/>
      <c r="I461" s="9" t="n"/>
      <c r="J461" s="9" t="n"/>
      <c r="K461" s="9" t="n"/>
      <c r="L461" s="9" t="n"/>
      <c r="M461" s="9" t="n"/>
      <c r="N461" s="10" t="inlineStr">
        <is>
          <t>https://abp.hypotheses.org/le-programme-bassin-parisien/les-projets/les-projets-associes-au-programme/fsn</t>
        </is>
      </c>
      <c r="O461" s="9" t="n"/>
      <c r="P461" s="9" t="n"/>
      <c r="Q461" s="9" t="inlineStr">
        <is>
          <t>Bruno Desachy</t>
        </is>
      </c>
      <c r="R461" s="9" t="n"/>
      <c r="S461" s="9" t="n"/>
      <c r="T461" s="9" t="n"/>
      <c r="U461" s="9" t="n"/>
      <c r="V461" s="9" t="n"/>
      <c r="W461" s="9" t="inlineStr">
        <is>
          <t>Standalone software</t>
        </is>
      </c>
      <c r="X461" s="9" t="n"/>
      <c r="Y461" s="9" t="inlineStr">
        <is>
          <t>Data management</t>
        </is>
      </c>
      <c r="Z461" s="9" t="n"/>
      <c r="AA461" s="9" t="n"/>
      <c r="AB461" s="9" t="n"/>
      <c r="AC461" s="9" t="n"/>
      <c r="AD461" s="9" t="n"/>
      <c r="AE461" s="9" t="n"/>
      <c r="AF461" s="9" t="n"/>
      <c r="AG461" s="9" t="n"/>
    </row>
    <row r="462">
      <c r="A462" s="9" t="inlineStr">
        <is>
          <t>stratigraphr</t>
        </is>
      </c>
      <c r="B462" s="9" t="inlineStr">
        <is>
          <t>R package for archaeological stratigraphy and chronological sequences.</t>
        </is>
      </c>
      <c r="C462" s="10" t="inlineStr">
        <is>
          <t>https://github.com/joeroe/stratigraphr</t>
        </is>
      </c>
      <c r="D462" s="9" t="n"/>
      <c r="E462" s="9" t="n"/>
      <c r="F462" s="9" t="n"/>
      <c r="G462" s="9" t="n"/>
      <c r="H462" s="9" t="n"/>
      <c r="I462" s="9" t="n"/>
      <c r="J462" s="9" t="n"/>
      <c r="K462" s="9" t="n"/>
      <c r="L462" s="9" t="n"/>
      <c r="M462" s="9" t="n"/>
      <c r="N462" s="9" t="n"/>
      <c r="O462" s="9" t="n"/>
      <c r="P462" s="9" t="n"/>
      <c r="Q462" s="9" t="inlineStr">
        <is>
          <t>joeroe</t>
        </is>
      </c>
      <c r="R462" s="9" t="n"/>
      <c r="S462" s="9" t="n"/>
      <c r="T462" s="9" t="n"/>
      <c r="U462" s="9" t="n"/>
      <c r="V462" s="9" t="n"/>
      <c r="W462" s="9" t="inlineStr">
        <is>
          <t>Packages and libraries</t>
        </is>
      </c>
      <c r="X462" s="9" t="inlineStr">
        <is>
          <t>R</t>
        </is>
      </c>
      <c r="Y462" s="9" t="inlineStr">
        <is>
          <t>Chronological modelling</t>
        </is>
      </c>
      <c r="Z462" s="9" t="inlineStr">
        <is>
          <t>Harris matrix</t>
        </is>
      </c>
      <c r="AA462" s="9" t="n"/>
      <c r="AB462" s="9" t="n"/>
      <c r="AC462" s="9" t="n"/>
      <c r="AD462" s="9" t="n"/>
      <c r="AE462" s="10" t="inlineStr">
        <is>
          <t>https://archive.org/details/github.com-joeroe-stratigraphr_-_2021-01-30_15-20-12</t>
        </is>
      </c>
      <c r="AF462" s="9" t="n"/>
      <c r="AG462" s="9" t="n"/>
    </row>
    <row r="463">
      <c r="A463" s="9" t="inlineStr">
        <is>
          <t>SurveyeR</t>
        </is>
      </c>
      <c r="B463" s="9" t="inlineStr">
        <is>
          <t>Uses a Dirichlet process to probabilistically assess the phase of undated archaeological assemblages.</t>
        </is>
      </c>
      <c r="C463" s="10" t="inlineStr">
        <is>
          <t>https://github.com/acortell3/SurveyeR</t>
        </is>
      </c>
      <c r="D463" s="9" t="n"/>
      <c r="E463" s="9" t="n"/>
      <c r="F463" s="9" t="n"/>
      <c r="G463" s="9" t="n"/>
      <c r="H463" s="9" t="n"/>
      <c r="I463" s="9" t="n"/>
      <c r="J463" s="9" t="n"/>
      <c r="K463" s="9" t="n"/>
      <c r="L463" s="9" t="n"/>
      <c r="M463" s="9" t="n"/>
      <c r="N463" s="9" t="n"/>
      <c r="O463" s="9" t="n"/>
      <c r="P463" s="9" t="n"/>
      <c r="Q463" s="9" t="inlineStr">
        <is>
          <t>acortell3</t>
        </is>
      </c>
      <c r="R463" s="9" t="n"/>
      <c r="S463" s="9" t="n"/>
      <c r="T463" s="9" t="n"/>
      <c r="U463" s="9" t="n"/>
      <c r="V463" s="9" t="n"/>
      <c r="W463" s="9" t="inlineStr">
        <is>
          <t>Packages and libraries</t>
        </is>
      </c>
      <c r="X463" s="9" t="inlineStr">
        <is>
          <t>R</t>
        </is>
      </c>
      <c r="Y463" s="9" t="inlineStr">
        <is>
          <t>Seriation</t>
        </is>
      </c>
      <c r="Z463" s="9" t="n"/>
      <c r="AA463" s="9" t="n"/>
      <c r="AB463" s="9" t="n"/>
      <c r="AC463" s="9" t="n"/>
      <c r="AD463" s="9" t="n"/>
      <c r="AE463" s="9" t="n"/>
      <c r="AF463" s="9" t="n"/>
      <c r="AG463" s="9" t="n"/>
    </row>
    <row r="464">
      <c r="A464" s="9" t="inlineStr">
        <is>
          <t>svg-pottery</t>
        </is>
      </c>
      <c r="B464" s="9" t="inlineStr">
        <is>
          <t>A set of best practices, how-tos and implementations for publishing pottery drawings on the Web</t>
        </is>
      </c>
      <c r="C464" s="9" t="n"/>
      <c r="D464" s="9" t="n"/>
      <c r="E464" s="9" t="n"/>
      <c r="F464" s="9" t="n"/>
      <c r="G464" s="9" t="n"/>
      <c r="H464" s="9" t="n"/>
      <c r="I464" s="9" t="n"/>
      <c r="J464" s="9" t="n"/>
      <c r="K464" s="9" t="n"/>
      <c r="L464" s="9" t="n"/>
      <c r="M464" s="10" t="inlineStr">
        <is>
          <t>https://codeberg.org/steko/svg-pottery</t>
        </is>
      </c>
      <c r="N464" s="9" t="n"/>
      <c r="O464" s="9" t="n"/>
      <c r="P464" s="9" t="n"/>
      <c r="Q464" s="9" t="inlineStr">
        <is>
          <t>steko</t>
        </is>
      </c>
      <c r="R464" s="9" t="n"/>
      <c r="S464" s="9" t="n"/>
      <c r="T464" s="9" t="n"/>
      <c r="U464" s="9" t="n"/>
      <c r="V464" s="9" t="n"/>
      <c r="W464" s="9" t="inlineStr">
        <is>
          <t>Guides</t>
        </is>
      </c>
      <c r="X464" s="9" t="n"/>
      <c r="Y464" s="9" t="inlineStr">
        <is>
          <t>Educational resources and practical guides</t>
        </is>
      </c>
      <c r="Z464" s="9" t="inlineStr">
        <is>
          <t>Ceramic analysis</t>
        </is>
      </c>
      <c r="AA464" s="9" t="n"/>
      <c r="AB464" s="9" t="n"/>
      <c r="AC464" s="9" t="n"/>
      <c r="AD464" s="9" t="n"/>
      <c r="AE464" s="10" t="inlineStr">
        <is>
          <t>https://archive.org/details/codeberg.org-steko-svg-pottery_-_2020-04-05_22-34-18</t>
        </is>
      </c>
      <c r="AF464" s="9" t="n"/>
      <c r="AG464" s="9" t="n"/>
    </row>
    <row r="465">
      <c r="A465" s="9" t="inlineStr">
        <is>
          <t>swapdata</t>
        </is>
      </c>
      <c r="B465" s="9" t="inlineStr">
        <is>
          <t>A collection of archaeological datasets and tools related to the prehistory of Southwest Asia.</t>
        </is>
      </c>
      <c r="C465" s="10" t="inlineStr">
        <is>
          <t>https://github.com/joeroe/swapdata</t>
        </is>
      </c>
      <c r="D465" s="9" t="n"/>
      <c r="E465" s="9" t="n"/>
      <c r="F465" s="9" t="n"/>
      <c r="G465" s="9" t="n"/>
      <c r="H465" s="9" t="n"/>
      <c r="I465" s="9" t="n"/>
      <c r="J465" s="9" t="n"/>
      <c r="K465" s="9" t="n"/>
      <c r="L465" s="9" t="n"/>
      <c r="M465" s="9" t="n"/>
      <c r="N465" s="9" t="n"/>
      <c r="O465" s="9" t="n"/>
      <c r="P465" s="9" t="n"/>
      <c r="Q465" s="9" t="inlineStr">
        <is>
          <t>joeroe</t>
        </is>
      </c>
      <c r="R465" s="9" t="n"/>
      <c r="S465" s="9" t="n"/>
      <c r="T465" s="9" t="n"/>
      <c r="U465" s="9" t="n"/>
      <c r="V465" s="9" t="n"/>
      <c r="W465" s="9" t="inlineStr">
        <is>
          <t>Lists and datasets</t>
        </is>
      </c>
      <c r="X465" s="9" t="n"/>
      <c r="Y465" s="9" t="inlineStr">
        <is>
          <t>Datasets</t>
        </is>
      </c>
      <c r="Z465" s="9" t="n"/>
      <c r="AA465" s="9" t="n"/>
      <c r="AB465" s="9" t="n"/>
      <c r="AC465" s="9" t="n"/>
      <c r="AD465" s="9" t="n"/>
      <c r="AE465" s="10" t="inlineStr">
        <is>
          <t>https://archive.org/details/github.com-joeroe-swapdata_-_2021-03-25_14-55-43</t>
        </is>
      </c>
      <c r="AF465" s="9" t="n"/>
      <c r="AG465" s="9" t="n"/>
    </row>
    <row r="466">
      <c r="A466" s="9" t="inlineStr">
        <is>
          <t>synthkat</t>
        </is>
      </c>
      <c r="B466" s="9" t="inlineStr">
        <is>
          <t>Synthetic Categories for Archaeological Vessel Comparison.</t>
        </is>
      </c>
      <c r="C466" s="10" t="inlineStr">
        <is>
          <t>https://github.com/scollinselliott/synthkat</t>
        </is>
      </c>
      <c r="D466" s="9" t="n"/>
      <c r="E466" s="9" t="n"/>
      <c r="F466" s="9" t="n"/>
      <c r="G466" s="9" t="n"/>
      <c r="H466" s="9" t="n"/>
      <c r="I466" s="9" t="n"/>
      <c r="J466" s="9" t="n"/>
      <c r="K466" s="9" t="n"/>
      <c r="L466" s="9" t="n"/>
      <c r="M466" s="9" t="n"/>
      <c r="N466" s="9" t="n"/>
      <c r="O466" s="9" t="n"/>
      <c r="P466" s="9" t="n"/>
      <c r="Q466" s="9" t="inlineStr">
        <is>
          <t>scollinselliott</t>
        </is>
      </c>
      <c r="R466" s="9" t="n"/>
      <c r="S466" s="9" t="n"/>
      <c r="T466" s="9" t="n"/>
      <c r="U466" s="9" t="n"/>
      <c r="V466" s="9" t="n"/>
      <c r="W466" s="9" t="inlineStr">
        <is>
          <t>Scripts</t>
        </is>
      </c>
      <c r="X466" s="9" t="inlineStr">
        <is>
          <t>Python</t>
        </is>
      </c>
      <c r="Y466" s="9" t="inlineStr">
        <is>
          <t>Shape recognition</t>
        </is>
      </c>
      <c r="Z466" s="9" t="n"/>
      <c r="AA466" s="9" t="n"/>
      <c r="AB466" s="9" t="n"/>
      <c r="AC466" s="9" t="n"/>
      <c r="AD466" s="9" t="n"/>
      <c r="AE466" s="10" t="inlineStr">
        <is>
          <t>https://archive.org/details/github.com-scollinselliott-synthkat_-_2017-01-18_06-25-18</t>
        </is>
      </c>
      <c r="AF466" s="9" t="n"/>
      <c r="AG466" s="9" t="n"/>
    </row>
    <row r="467">
      <c r="A467" s="9" t="inlineStr">
        <is>
          <t>tabula</t>
        </is>
      </c>
      <c r="B467" s="9" t="inlineStr">
        <is>
          <t>Analysis, Seriation and Visualization of Archaeological Count Data.</t>
        </is>
      </c>
      <c r="C467" s="10" t="inlineStr">
        <is>
          <t>https://github.com/tesselle/tabula</t>
        </is>
      </c>
      <c r="D467" s="9" t="n"/>
      <c r="E467" s="9" t="n"/>
      <c r="F467" s="9" t="n"/>
      <c r="G467" s="9" t="n"/>
      <c r="H467" s="9" t="n"/>
      <c r="I467" s="9" t="n"/>
      <c r="J467" s="9" t="n"/>
      <c r="K467" s="10" t="inlineStr">
        <is>
          <t>https://cran.r-project.org/package=tabula</t>
        </is>
      </c>
      <c r="L467" s="9" t="n"/>
      <c r="M467" s="9" t="n"/>
      <c r="N467" s="10" t="inlineStr">
        <is>
          <t>https://packages.tesselle.org/tabula/</t>
        </is>
      </c>
      <c r="O467" s="10" t="inlineStr">
        <is>
          <t>https://doi.org/10.21105/joss.01821</t>
        </is>
      </c>
      <c r="P467" s="9" t="inlineStr">
        <is>
          <t>10.5281/zenodo.1489944</t>
        </is>
      </c>
      <c r="Q467" s="9" t="inlineStr">
        <is>
          <t>tesselle</t>
        </is>
      </c>
      <c r="R467" s="9" t="n"/>
      <c r="S467" s="9" t="n"/>
      <c r="T467" s="9" t="n"/>
      <c r="U467" s="9" t="n"/>
      <c r="V467" s="9" t="n"/>
      <c r="W467" s="9" t="inlineStr">
        <is>
          <t>Packages and libraries</t>
        </is>
      </c>
      <c r="X467" s="9" t="inlineStr">
        <is>
          <t>R</t>
        </is>
      </c>
      <c r="Y467" s="9" t="inlineStr">
        <is>
          <t>Statistical analysis</t>
        </is>
      </c>
      <c r="Z467" s="9" t="inlineStr">
        <is>
          <t>Seriation</t>
        </is>
      </c>
      <c r="AA467" s="9" t="n"/>
      <c r="AB467" s="9" t="n"/>
      <c r="AC467" s="9" t="n"/>
      <c r="AD467" s="9" t="n"/>
      <c r="AE467" s="10" t="inlineStr">
        <is>
          <t>https://archive.org/details/github.com-tesselle-tabula_-_2021-01-26_20-01-25</t>
        </is>
      </c>
      <c r="AF467" s="9" t="n"/>
      <c r="AG467" s="9" t="n"/>
    </row>
    <row r="468">
      <c r="A468" s="9" t="inlineStr">
        <is>
          <t>Tachy2GIS</t>
        </is>
      </c>
      <c r="B468" s="9" t="inlineStr">
        <is>
          <t>Enables you to create geometries directly from tachymeter input while at the same time adding vertices manually.</t>
        </is>
      </c>
      <c r="C468" s="10" t="inlineStr">
        <is>
          <t>https://github.com/Archaeological-Museum-Hamburg/Tachy2GIS</t>
        </is>
      </c>
      <c r="D468" s="9" t="n"/>
      <c r="E468" s="9" t="n"/>
      <c r="F468" s="9" t="n"/>
      <c r="G468" s="9" t="n"/>
      <c r="H468" s="9" t="n"/>
      <c r="I468" s="9" t="n"/>
      <c r="J468" s="9" t="n"/>
      <c r="K468" s="9" t="n"/>
      <c r="L468" s="9" t="n"/>
      <c r="M468" s="9" t="n"/>
      <c r="N468" s="9" t="n"/>
      <c r="O468" s="9" t="n"/>
      <c r="P468" s="9" t="n"/>
      <c r="Q468" s="9" t="inlineStr">
        <is>
          <t>Archaeological-Museum-Hamburg</t>
        </is>
      </c>
      <c r="R468" s="9" t="inlineStr">
        <is>
          <t>chris-jan-trapp</t>
        </is>
      </c>
      <c r="S468" s="9" t="n"/>
      <c r="T468" s="9" t="n"/>
      <c r="U468" s="9" t="n"/>
      <c r="V468" s="9" t="n"/>
      <c r="W468" s="9" t="inlineStr">
        <is>
          <t>Standalone software</t>
        </is>
      </c>
      <c r="X468" s="9" t="n"/>
      <c r="Y468" s="9" t="inlineStr">
        <is>
          <t>Drivers and IO</t>
        </is>
      </c>
      <c r="Z468" s="9" t="n"/>
      <c r="AA468" s="9" t="n"/>
      <c r="AB468" s="9" t="n"/>
      <c r="AC468" s="9" t="n"/>
      <c r="AD468" s="9" t="n"/>
      <c r="AE468" s="10" t="inlineStr">
        <is>
          <t>https://archive.org/details/github.com-gbv-Tachy2GIS_-_2021-04-23_09-17-43</t>
        </is>
      </c>
      <c r="AF468" s="9" t="n"/>
      <c r="AG468" s="9" t="n"/>
    </row>
    <row r="469">
      <c r="A469" s="9" t="inlineStr">
        <is>
          <t>Tachy2GIS_arch</t>
        </is>
      </c>
      <c r="B469" s="9" t="inlineStr">
        <is>
          <t>QGIS plugin for documentation of archaeological features using Tachy2GIS.</t>
        </is>
      </c>
      <c r="C469" s="10" t="inlineStr">
        <is>
          <t>https://github.com/Landesamt-fuer-Archaeologie-Sachsen/Tachy2GIS_arch</t>
        </is>
      </c>
      <c r="D469" s="9" t="n"/>
      <c r="E469" s="9" t="n"/>
      <c r="F469" s="9" t="n"/>
      <c r="G469" s="9" t="n"/>
      <c r="H469" s="9" t="n"/>
      <c r="I469" s="9" t="n"/>
      <c r="J469" s="9" t="n"/>
      <c r="K469" s="9" t="n"/>
      <c r="L469" s="9" t="n"/>
      <c r="M469" s="9" t="n"/>
      <c r="N469" s="9" t="n"/>
      <c r="O469" s="9" t="n"/>
      <c r="P469" s="9" t="n"/>
      <c r="Q469" s="9" t="inlineStr">
        <is>
          <t>Landesamt-fuer-Archaeologie-Sachsen</t>
        </is>
      </c>
      <c r="R469" s="9" t="n"/>
      <c r="S469" s="9" t="n"/>
      <c r="T469" s="9" t="n"/>
      <c r="U469" s="9" t="n"/>
      <c r="V469" s="9" t="n"/>
      <c r="W469" s="9" t="inlineStr">
        <is>
          <t>Packages and libraries</t>
        </is>
      </c>
      <c r="X469" s="9" t="inlineStr">
        <is>
          <t>QGIS</t>
        </is>
      </c>
      <c r="Y469" s="9" t="inlineStr">
        <is>
          <t>Data collection</t>
        </is>
      </c>
      <c r="Z469" s="9" t="inlineStr">
        <is>
          <t>Site mapping</t>
        </is>
      </c>
      <c r="AA469" s="9" t="n"/>
      <c r="AB469" s="9" t="n"/>
      <c r="AC469" s="9" t="n"/>
      <c r="AD469" s="9" t="n"/>
      <c r="AE469" s="10" t="inlineStr">
        <is>
          <t>https://archive.org/details/github.com-Landesamt-fuer-Archaeologie-Sachsen-Tachy2GIS_arch_-_2021-06-29_11-41-35</t>
        </is>
      </c>
      <c r="AF469" s="9" t="n"/>
      <c r="AG469" s="9" t="n"/>
    </row>
    <row r="470">
      <c r="A470" s="9" t="inlineStr">
        <is>
          <t>tavo-a27</t>
        </is>
      </c>
      <c r="B470" s="9" t="inlineStr">
        <is>
          <t>Ancient animal occurrence data from Uerpmann 1987, *The Ancient Distribution of Ungulate Mammals in the Middle East*, TAVO A27.</t>
        </is>
      </c>
      <c r="C470" s="10" t="inlineStr">
        <is>
          <t>https://github.com/joeroe/tavo-a27</t>
        </is>
      </c>
      <c r="D470" s="9" t="n"/>
      <c r="E470" s="9" t="n"/>
      <c r="F470" s="9" t="n"/>
      <c r="G470" s="9" t="n"/>
      <c r="H470" s="9" t="n"/>
      <c r="I470" s="9" t="n"/>
      <c r="J470" s="9" t="n"/>
      <c r="K470" s="9" t="n"/>
      <c r="L470" s="9" t="n"/>
      <c r="M470" s="9" t="n"/>
      <c r="N470" s="9" t="n"/>
      <c r="O470" s="9" t="n"/>
      <c r="P470" s="9" t="inlineStr">
        <is>
          <t>10.5281/zenodo.3362929</t>
        </is>
      </c>
      <c r="Q470" s="9" t="inlineStr">
        <is>
          <t>joeroe</t>
        </is>
      </c>
      <c r="R470" s="9" t="n"/>
      <c r="S470" s="9" t="n"/>
      <c r="T470" s="9" t="n"/>
      <c r="U470" s="9" t="n"/>
      <c r="V470" s="9" t="n"/>
      <c r="W470" s="9" t="inlineStr">
        <is>
          <t>Lists and datasets</t>
        </is>
      </c>
      <c r="X470" s="9" t="n"/>
      <c r="Y470" s="9" t="inlineStr">
        <is>
          <t>Datasets</t>
        </is>
      </c>
      <c r="Z470" s="9" t="inlineStr">
        <is>
          <t>Palaeobotany</t>
        </is>
      </c>
      <c r="AA470" s="9" t="n"/>
      <c r="AB470" s="9" t="n"/>
      <c r="AC470" s="9" t="n"/>
      <c r="AD470" s="9" t="n"/>
      <c r="AE470" s="10" t="inlineStr">
        <is>
          <t>https://archive.org/details/github.com-joeroe-tavo-a27_-_2019-10-01_07-38-25</t>
        </is>
      </c>
      <c r="AF470" s="9" t="n"/>
      <c r="AG470" s="9" t="n"/>
    </row>
    <row r="471">
      <c r="A471" s="9" t="inlineStr">
        <is>
          <t>tdar</t>
        </is>
      </c>
      <c r="B471" s="9" t="inlineStr">
        <is>
          <t>R package that allows programmatic access to the Digital Archaeological Record (tDAR), a service of Digital Antiquity.</t>
        </is>
      </c>
      <c r="C471" s="10" t="inlineStr">
        <is>
          <t>https://github.com/bocinsky/tdar</t>
        </is>
      </c>
      <c r="D471" s="9" t="n"/>
      <c r="E471" s="9" t="n"/>
      <c r="F471" s="9" t="n"/>
      <c r="G471" s="9" t="n"/>
      <c r="H471" s="9" t="n"/>
      <c r="I471" s="9" t="n"/>
      <c r="J471" s="9" t="n"/>
      <c r="K471" s="9" t="n"/>
      <c r="L471" s="9" t="n"/>
      <c r="M471" s="9" t="n"/>
      <c r="N471" s="9" t="n"/>
      <c r="O471" s="9" t="n"/>
      <c r="P471" s="9" t="n"/>
      <c r="Q471" s="9" t="inlineStr">
        <is>
          <t>bocinsky</t>
        </is>
      </c>
      <c r="R471" s="9" t="n"/>
      <c r="S471" s="9" t="n"/>
      <c r="T471" s="9" t="n"/>
      <c r="U471" s="9" t="n"/>
      <c r="V471" s="9" t="n"/>
      <c r="W471" s="9" t="inlineStr">
        <is>
          <t>Packages and libraries</t>
        </is>
      </c>
      <c r="X471" s="9" t="inlineStr">
        <is>
          <t>R</t>
        </is>
      </c>
      <c r="Y471" s="9" t="inlineStr">
        <is>
          <t>API interfaces and web scrapers</t>
        </is>
      </c>
      <c r="Z471" s="9" t="n"/>
      <c r="AA471" s="9" t="n"/>
      <c r="AB471" s="9" t="n"/>
      <c r="AC471" s="9" t="n"/>
      <c r="AD471" s="9" t="n"/>
      <c r="AE471" s="10" t="inlineStr">
        <is>
          <t>https://archive.org/details/github.com-bocinsky-tdar_-_2020-08-06_02-10-16</t>
        </is>
      </c>
      <c r="AF471" s="9" t="n"/>
      <c r="AG471" s="9" t="n"/>
    </row>
    <row r="472">
      <c r="A472" s="9" t="inlineStr">
        <is>
          <t>teaching-rome</t>
        </is>
      </c>
      <c r="B472" s="9" t="inlineStr">
        <is>
          <t>A collection of texts, 3d models, and maybe other resources useful for teaching about the Roman Empire.</t>
        </is>
      </c>
      <c r="C472" s="10" t="inlineStr">
        <is>
          <t>https://github.com/sfsheath/teaching-rome</t>
        </is>
      </c>
      <c r="D472" s="9" t="n"/>
      <c r="E472" s="9" t="n"/>
      <c r="F472" s="9" t="n"/>
      <c r="G472" s="9" t="n"/>
      <c r="H472" s="9" t="n"/>
      <c r="I472" s="9" t="n"/>
      <c r="J472" s="9" t="n"/>
      <c r="K472" s="9" t="n"/>
      <c r="L472" s="9" t="n"/>
      <c r="M472" s="9" t="n"/>
      <c r="N472" s="9" t="n"/>
      <c r="O472" s="9" t="n"/>
      <c r="P472" s="9" t="n"/>
      <c r="Q472" s="9" t="inlineStr">
        <is>
          <t>sfsheath</t>
        </is>
      </c>
      <c r="R472" s="9" t="n"/>
      <c r="S472" s="9" t="n"/>
      <c r="T472" s="9" t="n"/>
      <c r="U472" s="9" t="n"/>
      <c r="V472" s="9" t="n"/>
      <c r="W472" s="9" t="inlineStr">
        <is>
          <t>Guides</t>
        </is>
      </c>
      <c r="X472" s="9" t="n"/>
      <c r="Y472" s="9" t="inlineStr">
        <is>
          <t>Educational resources and practical guides</t>
        </is>
      </c>
      <c r="Z472" s="9" t="n"/>
      <c r="AA472" s="9" t="n"/>
      <c r="AB472" s="9" t="n"/>
      <c r="AC472" s="9" t="n"/>
      <c r="AD472" s="9" t="n"/>
      <c r="AE472" s="10" t="inlineStr">
        <is>
          <t>https://archive.org/details/github.com-sfsheath-teaching-rome_-_2017-09-21_03-53-33</t>
        </is>
      </c>
      <c r="AF472" s="9" t="n"/>
      <c r="AG472" s="9" t="n"/>
    </row>
    <row r="473">
      <c r="A473" s="9" t="inlineStr">
        <is>
          <t>teethr</t>
        </is>
      </c>
      <c r="B473" s="9" t="inlineStr">
        <is>
          <t>Calculate dental indices and lesion ratios.</t>
        </is>
      </c>
      <c r="C473" s="10" t="inlineStr">
        <is>
          <t>https://github.com/bbartholdy/teethr</t>
        </is>
      </c>
      <c r="D473" s="9" t="n"/>
      <c r="E473" s="9" t="n"/>
      <c r="F473" s="9" t="n"/>
      <c r="G473" s="9" t="n"/>
      <c r="H473" s="9" t="n"/>
      <c r="I473" s="9" t="n"/>
      <c r="J473" s="9" t="n"/>
      <c r="K473" s="9" t="n"/>
      <c r="L473" s="9" t="n"/>
      <c r="M473" s="9" t="n"/>
      <c r="N473" s="9" t="n"/>
      <c r="O473" s="9" t="n"/>
      <c r="P473" s="9" t="n"/>
      <c r="Q473" s="9" t="inlineStr">
        <is>
          <t>bbartholdy</t>
        </is>
      </c>
      <c r="R473" s="9" t="n"/>
      <c r="S473" s="9" t="n"/>
      <c r="T473" s="9" t="n"/>
      <c r="U473" s="9" t="n"/>
      <c r="V473" s="9" t="n"/>
      <c r="W473" s="9" t="inlineStr">
        <is>
          <t>Packages and libraries</t>
        </is>
      </c>
      <c r="X473" s="9" t="inlineStr">
        <is>
          <t>R</t>
        </is>
      </c>
      <c r="Y473" s="9" t="inlineStr">
        <is>
          <t>Zooarchaeology</t>
        </is>
      </c>
      <c r="Z473" s="9" t="n"/>
      <c r="AA473" s="9" t="n"/>
      <c r="AB473" s="9" t="n"/>
      <c r="AC473" s="9" t="n"/>
      <c r="AD473" s="9" t="n"/>
      <c r="AE473" s="9" t="n"/>
      <c r="AF473" s="9" t="n"/>
      <c r="AG473" s="9" t="n"/>
    </row>
    <row r="474">
      <c r="A474" s="9" t="inlineStr">
        <is>
          <t>tfqar</t>
        </is>
      </c>
      <c r="B474" s="9" t="inlineStr">
        <is>
          <t>Tools for Quantitative Archaeology - in R.</t>
        </is>
      </c>
      <c r="C474" s="10" t="inlineStr">
        <is>
          <t>https://github.com/sslarch/tfqar</t>
        </is>
      </c>
      <c r="D474" s="9" t="n"/>
      <c r="E474" s="9" t="n"/>
      <c r="F474" s="9" t="n"/>
      <c r="G474" s="9" t="n"/>
      <c r="H474" s="9" t="n"/>
      <c r="I474" s="9" t="n"/>
      <c r="J474" s="9" t="n"/>
      <c r="K474" s="9" t="n"/>
      <c r="L474" s="9" t="n"/>
      <c r="M474" s="9" t="n"/>
      <c r="N474" s="10" t="inlineStr">
        <is>
          <t>http://tfqa.com/</t>
        </is>
      </c>
      <c r="O474" s="9" t="n"/>
      <c r="P474" s="9" t="n"/>
      <c r="Q474" s="9" t="inlineStr">
        <is>
          <t>sslarch</t>
        </is>
      </c>
      <c r="R474" s="9" t="n"/>
      <c r="S474" s="9" t="n"/>
      <c r="T474" s="9" t="n"/>
      <c r="U474" s="9" t="n"/>
      <c r="V474" s="9" t="n"/>
      <c r="W474" s="9" t="inlineStr">
        <is>
          <t>Packages and libraries</t>
        </is>
      </c>
      <c r="X474" s="9" t="inlineStr">
        <is>
          <t>R</t>
        </is>
      </c>
      <c r="Y474" s="9" t="inlineStr">
        <is>
          <t>Statistical analysis</t>
        </is>
      </c>
      <c r="Z474" s="9" t="n"/>
      <c r="AA474" s="9" t="n"/>
      <c r="AB474" s="9" t="n"/>
      <c r="AC474" s="9" t="n"/>
      <c r="AD474" s="9" t="n"/>
      <c r="AE474" s="10" t="inlineStr">
        <is>
          <t>https://archive.org/details/github.com-sslarch-tfqar_-_2020-11-06_14-44-53</t>
        </is>
      </c>
      <c r="AF474" s="9" t="n"/>
      <c r="AG474" s="9" t="n"/>
    </row>
    <row r="475">
      <c r="A475" s="9" t="inlineStr">
        <is>
          <t>THANADOS</t>
        </is>
      </c>
      <c r="B475" s="9" t="inlineStr">
        <is>
          <t>An open source, web application for the presentation of archaeological data especially for burial studies.</t>
        </is>
      </c>
      <c r="C475" s="10" t="inlineStr">
        <is>
          <t>https://github.com/stefaneichert/thanados</t>
        </is>
      </c>
      <c r="D475" s="9" t="n"/>
      <c r="E475" s="9" t="n"/>
      <c r="F475" s="9" t="n"/>
      <c r="G475" s="9" t="n"/>
      <c r="H475" s="9" t="n"/>
      <c r="I475" s="9" t="n"/>
      <c r="J475" s="9" t="n"/>
      <c r="K475" s="9" t="n"/>
      <c r="L475" s="9" t="n"/>
      <c r="M475" s="9" t="n"/>
      <c r="N475" s="10" t="inlineStr">
        <is>
          <t>https://thanados.net/</t>
        </is>
      </c>
      <c r="O475" s="9" t="n"/>
      <c r="P475" s="9" t="n"/>
      <c r="Q475" s="9" t="inlineStr">
        <is>
          <t>stefaneichert</t>
        </is>
      </c>
      <c r="R475" s="9" t="n"/>
      <c r="S475" s="9" t="n"/>
      <c r="T475" s="9" t="n"/>
      <c r="U475" s="9" t="n"/>
      <c r="V475" s="9" t="n"/>
      <c r="W475" s="9" t="inlineStr">
        <is>
          <t>Standalone software</t>
        </is>
      </c>
      <c r="X475" s="9" t="n"/>
      <c r="Y475" s="9" t="inlineStr">
        <is>
          <t>API interfaces and web scrapers</t>
        </is>
      </c>
      <c r="Z475" s="9" t="inlineStr">
        <is>
          <t>Data management</t>
        </is>
      </c>
      <c r="AA475" s="9" t="n"/>
      <c r="AB475" s="9" t="n"/>
      <c r="AC475" s="9" t="n"/>
      <c r="AD475" s="9" t="n"/>
      <c r="AE475" s="10" t="inlineStr">
        <is>
          <t>https://archive.org/details/github.com-stefaneichert-thanados_-_2021-06-29_09-29-29</t>
        </is>
      </c>
      <c r="AF475" s="9" t="n"/>
      <c r="AG475" s="9" t="n"/>
    </row>
    <row r="476">
      <c r="A476" s="9" t="inlineStr">
        <is>
          <t>The ABM in Archaeology Bibliography</t>
        </is>
      </c>
      <c r="B476" s="9" t="inlineStr">
        <is>
          <t>A selected yet comprehensive list of literature and resources on Agent Based Models (ABM) in Archaeology.</t>
        </is>
      </c>
      <c r="C476" s="10" t="inlineStr">
        <is>
          <t>https://github.com/ArchoLen/The-ABM-in-Archaeology-Bibliography</t>
        </is>
      </c>
      <c r="D476" s="9" t="n"/>
      <c r="E476" s="9" t="n"/>
      <c r="F476" s="9" t="n"/>
      <c r="G476" s="9" t="n"/>
      <c r="H476" s="9" t="n"/>
      <c r="I476" s="9" t="n"/>
      <c r="J476" s="9" t="n"/>
      <c r="K476" s="9" t="n"/>
      <c r="L476" s="9" t="n"/>
      <c r="M476" s="9" t="n"/>
      <c r="N476" s="9" t="n"/>
      <c r="O476" s="9" t="n"/>
      <c r="P476" s="9" t="n"/>
      <c r="Q476" s="9" t="inlineStr">
        <is>
          <t>izaromanowska</t>
        </is>
      </c>
      <c r="R476" s="9" t="inlineStr">
        <is>
          <t>ArchoLen</t>
        </is>
      </c>
      <c r="S476" s="9" t="n"/>
      <c r="T476" s="9" t="n"/>
      <c r="U476" s="9" t="n"/>
      <c r="V476" s="9" t="n"/>
      <c r="W476" s="9" t="inlineStr">
        <is>
          <t>Lists and datasets</t>
        </is>
      </c>
      <c r="X476" s="9" t="n"/>
      <c r="Y476" s="9" t="inlineStr">
        <is>
          <t>Bibliography</t>
        </is>
      </c>
      <c r="Z476" s="9" t="n"/>
      <c r="AA476" s="9" t="n"/>
      <c r="AB476" s="9" t="n"/>
      <c r="AC476" s="9" t="n"/>
      <c r="AD476" s="9" t="n"/>
      <c r="AE476" s="10" t="inlineStr">
        <is>
          <t>https://archive.org/details/github.com-ArchoLen-The-ABM-in-Archaeology-Bibliography_-_2021-01-20_09-41-35</t>
        </is>
      </c>
      <c r="AF476" s="9" t="n"/>
      <c r="AG476" s="9" t="n"/>
    </row>
    <row r="477">
      <c r="A477" s="9" t="inlineStr">
        <is>
          <t>The AWOL Index</t>
        </is>
      </c>
      <c r="B477" s="9" t="inlineStr">
        <is>
          <t>This publication systematically describes ancient-world information resources on the world-wide web. The bibliographic data presented herein has been programmatically extracted from the content of AWOL - The Ancient World Online (ISSN 2156-2253) and formatted in accordance with a structured data model.</t>
        </is>
      </c>
      <c r="C477" s="9" t="n"/>
      <c r="D477" s="9" t="n"/>
      <c r="E477" s="9" t="n"/>
      <c r="F477" s="9" t="n"/>
      <c r="G477" s="9" t="n"/>
      <c r="H477" s="9" t="n"/>
      <c r="I477" s="9" t="n"/>
      <c r="J477" s="9" t="n"/>
      <c r="K477" s="9" t="n"/>
      <c r="L477" s="9" t="n"/>
      <c r="M477" s="9" t="n"/>
      <c r="N477" s="10" t="inlineStr">
        <is>
          <t>http://isaw.nyu.edu/publications/awol-index/</t>
        </is>
      </c>
      <c r="O477" s="9" t="n"/>
      <c r="P477" s="9" t="n"/>
      <c r="Q477" s="9" t="inlineStr">
        <is>
          <t>Charles E. Jones</t>
        </is>
      </c>
      <c r="R477" s="9" t="inlineStr">
        <is>
          <t>Tom Elliott</t>
        </is>
      </c>
      <c r="S477" s="9" t="n"/>
      <c r="T477" s="9" t="n"/>
      <c r="U477" s="9" t="n"/>
      <c r="V477" s="9" t="n"/>
      <c r="W477" s="9" t="inlineStr">
        <is>
          <t>Lists and datasets</t>
        </is>
      </c>
      <c r="X477" s="9" t="n"/>
      <c r="Y477" s="9" t="inlineStr">
        <is>
          <t>Lists</t>
        </is>
      </c>
      <c r="Z477" s="9" t="n"/>
      <c r="AA477" s="9" t="n"/>
      <c r="AB477" s="9" t="n"/>
      <c r="AC477" s="9" t="n"/>
      <c r="AD477" s="9" t="n"/>
      <c r="AE477" s="9" t="n"/>
      <c r="AF477" s="9" t="n"/>
      <c r="AG477" s="9" t="n"/>
    </row>
    <row r="478">
      <c r="A478" s="9" t="inlineStr">
        <is>
          <t>The Southwestern Taphonomic Protocol</t>
        </is>
      </c>
      <c r="B478" s="9" t="inlineStr">
        <is>
          <t>A set of analyses to control for variable taphonomic impacts on archaeological faunal datasets.</t>
        </is>
      </c>
      <c r="C478" s="10" t="inlineStr">
        <is>
          <t>https://github.com/bocinsky/swtp</t>
        </is>
      </c>
      <c r="D478" s="9" t="n"/>
      <c r="E478" s="9" t="n"/>
      <c r="F478" s="9" t="n"/>
      <c r="G478" s="9" t="n"/>
      <c r="H478" s="9" t="n"/>
      <c r="I478" s="9" t="n"/>
      <c r="J478" s="9" t="n"/>
      <c r="K478" s="9" t="n"/>
      <c r="L478" s="9" t="n"/>
      <c r="M478" s="9" t="n"/>
      <c r="N478" s="9" t="n"/>
      <c r="O478" s="9" t="n"/>
      <c r="P478" s="9" t="inlineStr">
        <is>
          <t>10.5281/zenodo.4301001</t>
        </is>
      </c>
      <c r="Q478" s="9" t="inlineStr">
        <is>
          <t>bocinsky</t>
        </is>
      </c>
      <c r="R478" s="9" t="n"/>
      <c r="S478" s="9" t="n"/>
      <c r="T478" s="9" t="n"/>
      <c r="U478" s="9" t="n"/>
      <c r="V478" s="9" t="n"/>
      <c r="W478" s="9" t="inlineStr">
        <is>
          <t>Packages and libraries</t>
        </is>
      </c>
      <c r="X478" s="9" t="inlineStr">
        <is>
          <t>R</t>
        </is>
      </c>
      <c r="Y478" s="9" t="inlineStr">
        <is>
          <t>Schemas and ontologies</t>
        </is>
      </c>
      <c r="Z478" s="9" t="inlineStr">
        <is>
          <t>API interfaces and web scrapers</t>
        </is>
      </c>
      <c r="AA478" s="9" t="n"/>
      <c r="AB478" s="9" t="n"/>
      <c r="AC478" s="9" t="n"/>
      <c r="AD478" s="9" t="n"/>
      <c r="AE478" s="10" t="inlineStr">
        <is>
          <t>https://archive.org/details/github.com-bocinsky-swtp_-_2020-12-11_04-18-38</t>
        </is>
      </c>
      <c r="AF478" s="9" t="n"/>
      <c r="AG478" s="9" t="n"/>
    </row>
    <row r="479">
      <c r="A479" s="9" t="inlineStr">
        <is>
          <t>tidypaleo</t>
        </is>
      </c>
      <c r="B479" s="9" t="inlineStr">
        <is>
          <t>This package simplifies a few workflows when working with multi-proxy paleo-archive data</t>
        </is>
      </c>
      <c r="C479" s="10" t="inlineStr">
        <is>
          <t>https://github.com/paleolimbot/tidypaleo</t>
        </is>
      </c>
      <c r="D479" s="9" t="n"/>
      <c r="E479" s="9" t="n"/>
      <c r="F479" s="9" t="n"/>
      <c r="G479" s="9" t="n"/>
      <c r="H479" s="9" t="n"/>
      <c r="I479" s="9" t="n"/>
      <c r="J479" s="9" t="n"/>
      <c r="K479" s="9" t="n"/>
      <c r="L479" s="9" t="n"/>
      <c r="M479" s="9" t="n"/>
      <c r="N479" s="9" t="n"/>
      <c r="O479" s="9" t="n"/>
      <c r="P479" s="9" t="n"/>
      <c r="Q479" s="9" t="inlineStr">
        <is>
          <t>paleolimbot</t>
        </is>
      </c>
      <c r="R479" s="9" t="n"/>
      <c r="S479" s="9" t="n"/>
      <c r="T479" s="9" t="n"/>
      <c r="U479" s="9" t="n"/>
      <c r="V479" s="9" t="n"/>
      <c r="W479" s="9" t="inlineStr">
        <is>
          <t>Packages and libraries</t>
        </is>
      </c>
      <c r="X479" s="9" t="inlineStr">
        <is>
          <t>R</t>
        </is>
      </c>
      <c r="Y479" s="9" t="inlineStr">
        <is>
          <t>Data management</t>
        </is>
      </c>
      <c r="Z479" s="9" t="inlineStr">
        <is>
          <t>Palaeoclimate modelling</t>
        </is>
      </c>
      <c r="AA479" s="9" t="n"/>
      <c r="AB479" s="9" t="n"/>
      <c r="AC479" s="9" t="n"/>
      <c r="AD479" s="9" t="n"/>
      <c r="AE479" s="10" t="inlineStr">
        <is>
          <t>https://archive.org/details/github.com-paleolimbot-tidypaleo_-_2020-12-30_14-14-17</t>
        </is>
      </c>
      <c r="AF479" s="9" t="n"/>
      <c r="AG479" s="9" t="n"/>
    </row>
    <row r="480">
      <c r="A480" s="9" t="inlineStr">
        <is>
          <t>timeperiod2daterange</t>
        </is>
      </c>
      <c r="B480" s="9" t="inlineStr">
        <is>
          <t>Converts time period entities to standardised date ranges.</t>
        </is>
      </c>
      <c r="C480" s="10" t="inlineStr">
        <is>
          <t>https://github.com/alexbrandsen/timeperiod2daterange</t>
        </is>
      </c>
      <c r="D480" s="9" t="n"/>
      <c r="E480" s="9" t="n"/>
      <c r="F480" s="9" t="n"/>
      <c r="G480" s="9" t="n"/>
      <c r="H480" s="9" t="n"/>
      <c r="I480" s="9" t="n"/>
      <c r="J480" s="9" t="n"/>
      <c r="K480" s="9" t="n"/>
      <c r="L480" s="9" t="n"/>
      <c r="M480" s="9" t="n"/>
      <c r="N480" s="9" t="n"/>
      <c r="O480" s="9" t="n"/>
      <c r="P480" s="9" t="n"/>
      <c r="Q480" s="9" t="inlineStr">
        <is>
          <t>alexbrandsen</t>
        </is>
      </c>
      <c r="R480" s="9" t="n"/>
      <c r="S480" s="9" t="n"/>
      <c r="T480" s="9" t="n"/>
      <c r="U480" s="9" t="n"/>
      <c r="V480" s="9" t="n"/>
      <c r="W480" s="9" t="inlineStr">
        <is>
          <t>Scripts</t>
        </is>
      </c>
      <c r="X480" s="9" t="inlineStr">
        <is>
          <t>Python</t>
        </is>
      </c>
      <c r="Y480" s="9" t="inlineStr">
        <is>
          <t>Chronological modelling</t>
        </is>
      </c>
      <c r="Z480" s="9" t="inlineStr">
        <is>
          <t>Bits and bobs</t>
        </is>
      </c>
      <c r="AA480" s="9" t="n"/>
      <c r="AB480" s="9" t="n"/>
      <c r="AC480" s="9" t="n"/>
      <c r="AD480" s="9" t="n"/>
      <c r="AE480" s="9" t="n"/>
      <c r="AF480" s="9" t="n"/>
      <c r="AG480" s="9" t="n"/>
    </row>
    <row r="481">
      <c r="A481" s="9" t="inlineStr">
        <is>
          <t>tipom</t>
        </is>
      </c>
      <c r="B481" s="9" t="inlineStr">
        <is>
          <t>TIPOM is based on a methodology that was developed in the 1960s by Bernardino Bagolini. The basic idea is to use the three simple dimensions of length, width and thickness of each lithic artefact to classify them in discrete groups and infer their function.</t>
        </is>
      </c>
      <c r="C481" s="9" t="n"/>
      <c r="D481" s="9" t="n"/>
      <c r="E481" s="9" t="n"/>
      <c r="F481" s="9" t="n"/>
      <c r="G481" s="9" t="n"/>
      <c r="H481" s="9" t="n"/>
      <c r="I481" s="9" t="n"/>
      <c r="J481" s="9" t="n"/>
      <c r="K481" s="10" t="inlineStr">
        <is>
          <t>https://cran.r-project.org/package=tipom</t>
        </is>
      </c>
      <c r="L481" s="9" t="n"/>
      <c r="M481" s="10" t="inlineStr">
        <is>
          <t>https://codeberg.org/steko/tipom</t>
        </is>
      </c>
      <c r="N481" s="9" t="n"/>
      <c r="O481" s="9" t="n"/>
      <c r="P481" s="9" t="n"/>
      <c r="Q481" s="9" t="inlineStr">
        <is>
          <t>iosa</t>
        </is>
      </c>
      <c r="R481" s="9" t="n"/>
      <c r="S481" s="9" t="n"/>
      <c r="T481" s="9" t="n"/>
      <c r="U481" s="9" t="n"/>
      <c r="V481" s="9" t="n"/>
      <c r="W481" s="9" t="inlineStr">
        <is>
          <t>Packages and libraries</t>
        </is>
      </c>
      <c r="X481" s="9" t="inlineStr">
        <is>
          <t>R</t>
        </is>
      </c>
      <c r="Y481" s="9" t="inlineStr">
        <is>
          <t>Artefact morphology</t>
        </is>
      </c>
      <c r="Z481" s="9" t="n"/>
      <c r="AA481" s="9" t="n"/>
      <c r="AB481" s="9" t="n"/>
      <c r="AC481" s="9" t="n"/>
      <c r="AD481" s="9" t="n"/>
      <c r="AE481" s="9" t="n"/>
      <c r="AF481" s="9" t="n"/>
      <c r="AG481" s="9" t="n"/>
    </row>
    <row r="482">
      <c r="A482" s="9" t="inlineStr">
        <is>
          <t>Tldating</t>
        </is>
      </c>
      <c r="B482" s="9" t="inlineStr">
        <is>
          <t>R package for TL dating</t>
        </is>
      </c>
      <c r="C482" s="10" t="inlineStr">
        <is>
          <t>https://github.com/dstreble/TLdating</t>
        </is>
      </c>
      <c r="D482" s="9" t="n"/>
      <c r="E482" s="9" t="n"/>
      <c r="F482" s="9" t="n"/>
      <c r="G482" s="9" t="n"/>
      <c r="H482" s="9" t="n"/>
      <c r="I482" s="9" t="n"/>
      <c r="J482" s="9" t="n"/>
      <c r="K482" s="9" t="n"/>
      <c r="L482" s="9" t="n"/>
      <c r="M482" s="9" t="n"/>
      <c r="N482" s="9" t="n"/>
      <c r="O482" s="9" t="n"/>
      <c r="P482" s="9" t="n"/>
      <c r="Q482" s="9" t="inlineStr">
        <is>
          <t>dstreble</t>
        </is>
      </c>
      <c r="R482" s="9" t="n"/>
      <c r="S482" s="9" t="n"/>
      <c r="T482" s="9" t="n"/>
      <c r="U482" s="9" t="n"/>
      <c r="V482" s="9" t="n"/>
      <c r="W482" s="9" t="inlineStr">
        <is>
          <t>Packages and libraries</t>
        </is>
      </c>
      <c r="X482" s="9" t="inlineStr">
        <is>
          <t>R</t>
        </is>
      </c>
      <c r="Y482" s="9" t="inlineStr">
        <is>
          <t>Luminescence dating</t>
        </is>
      </c>
      <c r="Z482" s="9" t="n"/>
      <c r="AA482" s="9" t="n"/>
      <c r="AB482" s="9" t="n"/>
      <c r="AC482" s="9" t="n"/>
      <c r="AD482" s="9" t="n"/>
      <c r="AE482" s="10" t="inlineStr">
        <is>
          <t>https://archive.org/details/github.com-dstreble-TLdating_-_2017-09-06_14-41-46</t>
        </is>
      </c>
      <c r="AF482" s="9" t="n"/>
      <c r="AG482" s="9" t="n"/>
    </row>
    <row r="483">
      <c r="A483" s="9" t="inlineStr">
        <is>
          <t>Tools for Quantitative Archaeology</t>
        </is>
      </c>
      <c r="B483" s="9" t="inlineStr">
        <is>
          <t>Keith KintighTools for Quantitative Archaeology TFQA, is a package of more than 45 PC programs developed to satisfy several unusual analytical needs of archaeologists.</t>
        </is>
      </c>
      <c r="C483" s="9" t="n"/>
      <c r="D483" s="9" t="n"/>
      <c r="E483" s="9" t="n"/>
      <c r="F483" s="9" t="n"/>
      <c r="G483" s="9" t="n"/>
      <c r="H483" s="9" t="n"/>
      <c r="I483" s="9" t="n"/>
      <c r="J483" s="9" t="n"/>
      <c r="K483" s="9" t="n"/>
      <c r="L483" s="9" t="n"/>
      <c r="M483" s="9" t="n"/>
      <c r="N483" s="10" t="inlineStr">
        <is>
          <t>http://tfqa.com/</t>
        </is>
      </c>
      <c r="O483" s="9" t="n"/>
      <c r="P483" s="9" t="n"/>
      <c r="Q483" s="9" t="inlineStr">
        <is>
          <t>kintigh</t>
        </is>
      </c>
      <c r="R483" s="9" t="n"/>
      <c r="S483" s="9" t="n"/>
      <c r="T483" s="9" t="n"/>
      <c r="U483" s="9" t="n"/>
      <c r="V483" s="9" t="n"/>
      <c r="W483" s="9" t="inlineStr">
        <is>
          <t>Lists and datasets</t>
        </is>
      </c>
      <c r="X483" s="9" t="n"/>
      <c r="Y483" s="9" t="inlineStr">
        <is>
          <t>Lists</t>
        </is>
      </c>
      <c r="Z483" s="9" t="n"/>
      <c r="AA483" s="9" t="n"/>
      <c r="AB483" s="9" t="n"/>
      <c r="AC483" s="9" t="n"/>
      <c r="AD483" s="9" t="n"/>
      <c r="AE483" s="9" t="n"/>
      <c r="AF483" s="9" t="n"/>
      <c r="AG483" s="9" t="n"/>
    </row>
    <row r="484">
      <c r="A484" s="9" t="inlineStr">
        <is>
          <t>tosca</t>
        </is>
      </c>
      <c r="B484" s="9" t="inlineStr">
        <is>
          <t>Tool for Online Seriation and Correspondence Analysis.</t>
        </is>
      </c>
      <c r="C484" s="10" t="inlineStr">
        <is>
          <t>https://github.com/ISAAKiel/tosca</t>
        </is>
      </c>
      <c r="D484" s="9" t="n"/>
      <c r="E484" s="9" t="n"/>
      <c r="F484" s="9" t="n"/>
      <c r="G484" s="9" t="n"/>
      <c r="H484" s="9" t="n"/>
      <c r="I484" s="9" t="n"/>
      <c r="J484" s="9" t="n"/>
      <c r="K484" s="9" t="n"/>
      <c r="L484" s="9" t="n"/>
      <c r="M484" s="9" t="n"/>
      <c r="N484" s="9" t="n"/>
      <c r="O484" s="9" t="n"/>
      <c r="P484" s="9" t="n"/>
      <c r="Q484" s="9" t="inlineStr">
        <is>
          <t>ISAAKiel</t>
        </is>
      </c>
      <c r="R484" s="9" t="n"/>
      <c r="S484" s="9" t="n"/>
      <c r="T484" s="9" t="n"/>
      <c r="U484" s="9" t="n"/>
      <c r="V484" s="9" t="n"/>
      <c r="W484" s="9" t="inlineStr">
        <is>
          <t>Scripts</t>
        </is>
      </c>
      <c r="X484" s="9" t="inlineStr">
        <is>
          <t>R</t>
        </is>
      </c>
      <c r="Y484" s="9" t="inlineStr">
        <is>
          <t>Statistical analysis</t>
        </is>
      </c>
      <c r="Z484" s="9" t="n"/>
      <c r="AA484" s="9" t="n"/>
      <c r="AB484" s="9" t="n"/>
      <c r="AC484" s="9" t="n"/>
      <c r="AD484" s="9" t="n"/>
      <c r="AE484" s="9" t="n"/>
      <c r="AF484" s="9" t="n"/>
      <c r="AG484" s="9" t="n"/>
    </row>
    <row r="485">
      <c r="A485" s="9" t="inlineStr">
        <is>
          <t>total-station-manuals</t>
        </is>
      </c>
      <c r="B485" s="9" t="inlineStr">
        <is>
          <t>Manuals for total stations</t>
        </is>
      </c>
      <c r="C485" s="9" t="n"/>
      <c r="D485" s="9" t="n"/>
      <c r="E485" s="9" t="n"/>
      <c r="F485" s="9" t="n"/>
      <c r="G485" s="9" t="n"/>
      <c r="H485" s="9" t="n"/>
      <c r="I485" s="9" t="n"/>
      <c r="J485" s="9" t="n"/>
      <c r="K485" s="9" t="n"/>
      <c r="L485" s="9" t="n"/>
      <c r="M485" s="10" t="inlineStr">
        <is>
          <t>https://codeberg.org/steko/total-station-manuals</t>
        </is>
      </c>
      <c r="N485" s="9" t="n"/>
      <c r="O485" s="9" t="n"/>
      <c r="P485" s="9" t="n"/>
      <c r="Q485" s="9" t="inlineStr">
        <is>
          <t>steko</t>
        </is>
      </c>
      <c r="R485" s="9" t="n"/>
      <c r="S485" s="9" t="n"/>
      <c r="T485" s="9" t="n"/>
      <c r="U485" s="9" t="n"/>
      <c r="V485" s="9" t="n"/>
      <c r="W485" s="9" t="inlineStr">
        <is>
          <t>Guides</t>
        </is>
      </c>
      <c r="X485" s="9" t="n"/>
      <c r="Y485" s="9" t="inlineStr">
        <is>
          <t>Drivers and IO</t>
        </is>
      </c>
      <c r="Z485" s="9" t="n"/>
      <c r="AA485" s="9" t="n"/>
      <c r="AB485" s="9" t="n"/>
      <c r="AC485" s="9" t="n"/>
      <c r="AD485" s="9" t="n"/>
      <c r="AE485" s="10" t="inlineStr">
        <is>
          <t>https://archive.org/details/codeberg.org-steko-total-station-manuals_-_2020-04-18_22-50-09</t>
        </is>
      </c>
      <c r="AF485" s="9" t="n"/>
      <c r="AG485" s="9" t="n"/>
    </row>
    <row r="486">
      <c r="A486" s="9" t="inlineStr">
        <is>
          <t>totalopenstation</t>
        </is>
      </c>
      <c r="B486" s="9" t="inlineStr">
        <is>
          <t>Total Open Station downloads and exports survey data from your total station.</t>
        </is>
      </c>
      <c r="C486" s="10" t="inlineStr">
        <is>
          <t>https://github.com/steko/totalopenstation</t>
        </is>
      </c>
      <c r="D486" s="9" t="n"/>
      <c r="E486" s="9" t="n"/>
      <c r="F486" s="9" t="n"/>
      <c r="G486" s="9" t="n"/>
      <c r="H486" s="9" t="n"/>
      <c r="I486" s="9" t="n"/>
      <c r="J486" s="9" t="n"/>
      <c r="K486" s="9" t="n"/>
      <c r="L486" s="9" t="n"/>
      <c r="M486" s="9" t="n"/>
      <c r="N486" s="10" t="inlineStr">
        <is>
          <t>https://tops.iosa.it/</t>
        </is>
      </c>
      <c r="O486" s="9" t="n"/>
      <c r="P486" s="9" t="n"/>
      <c r="Q486" s="9" t="inlineStr">
        <is>
          <t>steko</t>
        </is>
      </c>
      <c r="R486" s="9" t="n"/>
      <c r="S486" s="9" t="n"/>
      <c r="T486" s="9" t="n"/>
      <c r="U486" s="9" t="n"/>
      <c r="V486" s="9" t="n"/>
      <c r="W486" s="9" t="inlineStr">
        <is>
          <t>Standalone software</t>
        </is>
      </c>
      <c r="X486" s="9" t="n"/>
      <c r="Y486" s="9" t="inlineStr">
        <is>
          <t>Drivers and IO</t>
        </is>
      </c>
      <c r="Z486" s="9" t="n"/>
      <c r="AA486" s="9" t="n"/>
      <c r="AB486" s="9" t="n"/>
      <c r="AC486" s="9" t="n"/>
      <c r="AD486" s="9" t="n"/>
      <c r="AE486" s="10" t="inlineStr">
        <is>
          <t>https://archive.org/details/github.com-steko-totalopenstation_-_2020-11-18_11-12-29</t>
        </is>
      </c>
      <c r="AF486" s="9" t="n"/>
      <c r="AG486" s="9" t="n"/>
    </row>
    <row r="487">
      <c r="A487" s="9" t="inlineStr">
        <is>
          <t>totalopenstationToQgis</t>
        </is>
      </c>
      <c r="B487" s="9" t="inlineStr">
        <is>
          <t>A plugin to connect with totalopenstation software developed as part of the IOSA project.</t>
        </is>
      </c>
      <c r="C487" s="10" t="inlineStr">
        <is>
          <t>https://github.com/enzococca/totalopenstationToQgis</t>
        </is>
      </c>
      <c r="D487" s="9" t="n"/>
      <c r="E487" s="9" t="n"/>
      <c r="F487" s="9" t="n"/>
      <c r="G487" s="9" t="n"/>
      <c r="H487" s="9" t="n"/>
      <c r="I487" s="9" t="n"/>
      <c r="J487" s="9" t="n"/>
      <c r="K487" s="9" t="n"/>
      <c r="L487" s="9" t="n"/>
      <c r="M487" s="9" t="n"/>
      <c r="N487" s="9" t="n"/>
      <c r="O487" s="9" t="n"/>
      <c r="P487" s="9" t="n"/>
      <c r="Q487" s="9" t="inlineStr">
        <is>
          <t>enzococca</t>
        </is>
      </c>
      <c r="R487" s="9" t="n"/>
      <c r="S487" s="9" t="n"/>
      <c r="T487" s="9" t="n"/>
      <c r="U487" s="9" t="n"/>
      <c r="V487" s="9" t="n"/>
      <c r="W487" s="9" t="inlineStr">
        <is>
          <t>Packages and libraries</t>
        </is>
      </c>
      <c r="X487" s="9" t="inlineStr">
        <is>
          <t>QGIS</t>
        </is>
      </c>
      <c r="Y487" s="9" t="inlineStr">
        <is>
          <t>Drivers and IO</t>
        </is>
      </c>
      <c r="Z487" s="9" t="inlineStr">
        <is>
          <t>Spatial analysis</t>
        </is>
      </c>
      <c r="AA487" s="9" t="n"/>
      <c r="AB487" s="9" t="n"/>
      <c r="AC487" s="9" t="n"/>
      <c r="AD487" s="9" t="n"/>
      <c r="AE487" s="9" t="n"/>
      <c r="AF487" s="9" t="n"/>
      <c r="AG487" s="9" t="n"/>
    </row>
    <row r="488">
      <c r="A488" s="9" t="inlineStr">
        <is>
          <t>totalstation-tools</t>
        </is>
      </c>
      <c r="B488" s="9" t="inlineStr">
        <is>
          <t>Tools to use and manipulate total station data</t>
        </is>
      </c>
      <c r="C488" s="10" t="inlineStr">
        <is>
          <t>https://github.com/WiseLabCMU/totalstation-tools</t>
        </is>
      </c>
      <c r="D488" s="9" t="n"/>
      <c r="E488" s="9" t="n"/>
      <c r="F488" s="9" t="n"/>
      <c r="G488" s="9" t="n"/>
      <c r="H488" s="9" t="n"/>
      <c r="I488" s="9" t="n"/>
      <c r="J488" s="9" t="n"/>
      <c r="K488" s="9" t="n"/>
      <c r="L488" s="9" t="n"/>
      <c r="M488" s="9" t="n"/>
      <c r="N488" s="9" t="n"/>
      <c r="O488" s="9" t="n"/>
      <c r="P488" s="9" t="n"/>
      <c r="Q488" s="9" t="inlineStr">
        <is>
          <t>WiseLabCMU</t>
        </is>
      </c>
      <c r="R488" s="9" t="n"/>
      <c r="S488" s="9" t="n"/>
      <c r="T488" s="9" t="n"/>
      <c r="U488" s="9" t="n"/>
      <c r="V488" s="9" t="n"/>
      <c r="W488" s="9" t="inlineStr">
        <is>
          <t>Packages and libraries</t>
        </is>
      </c>
      <c r="X488" s="9" t="inlineStr">
        <is>
          <t>Python</t>
        </is>
      </c>
      <c r="Y488" s="9" t="inlineStr">
        <is>
          <t>Drivers and IO</t>
        </is>
      </c>
      <c r="Z488" s="9" t="n"/>
      <c r="AA488" s="9" t="n"/>
      <c r="AB488" s="9" t="n"/>
      <c r="AC488" s="9" t="n"/>
      <c r="AD488" s="9" t="n"/>
      <c r="AE488" s="10" t="inlineStr">
        <is>
          <t>https://archive.org/details/github.com-WiseLabCMU-totalstation-tools_-_2018-03-10_20-40-09</t>
        </is>
      </c>
      <c r="AF488" s="9" t="n"/>
      <c r="AG488" s="9" t="n"/>
    </row>
    <row r="489">
      <c r="A489" s="9" t="inlineStr">
        <is>
          <t>TPQ-Composer</t>
        </is>
      </c>
      <c r="B489" s="9" t="inlineStr">
        <is>
          <t>Utility for graphically displaying a set of termini post quem induced from stratified archaeological artifacts.</t>
        </is>
      </c>
      <c r="C489" s="10" t="inlineStr">
        <is>
          <t>https://github.com/Eythan31/TPQ-Composer</t>
        </is>
      </c>
      <c r="D489" s="9" t="n"/>
      <c r="E489" s="9" t="n"/>
      <c r="F489" s="9" t="n"/>
      <c r="G489" s="9" t="n"/>
      <c r="H489" s="9" t="n"/>
      <c r="I489" s="9" t="n"/>
      <c r="J489" s="9" t="n"/>
      <c r="K489" s="9" t="n"/>
      <c r="L489" s="9" t="n"/>
      <c r="M489" s="9" t="n"/>
      <c r="N489" s="9" t="n"/>
      <c r="O489" s="9" t="n"/>
      <c r="P489" s="9" t="n"/>
      <c r="Q489" s="9" t="inlineStr">
        <is>
          <t>Eythan31</t>
        </is>
      </c>
      <c r="R489" s="9" t="n"/>
      <c r="S489" s="9" t="n"/>
      <c r="T489" s="9" t="n"/>
      <c r="U489" s="9" t="n"/>
      <c r="V489" s="9" t="n"/>
      <c r="W489" s="9" t="inlineStr">
        <is>
          <t>Packages and libraries</t>
        </is>
      </c>
      <c r="X489" s="9" t="inlineStr">
        <is>
          <t>Python</t>
        </is>
      </c>
      <c r="Y489" s="9" t="inlineStr">
        <is>
          <t>Chronological modelling</t>
        </is>
      </c>
      <c r="Z489" s="9" t="n"/>
      <c r="AA489" s="9" t="n"/>
      <c r="AB489" s="9" t="n"/>
      <c r="AC489" s="9" t="n"/>
      <c r="AD489" s="9" t="n"/>
      <c r="AE489" s="9" t="n"/>
      <c r="AF489" s="9" t="n"/>
      <c r="AG489" s="9" t="n"/>
    </row>
    <row r="490">
      <c r="A490" s="9" t="inlineStr">
        <is>
          <t>TRANSIT</t>
        </is>
      </c>
      <c r="B490" s="9" t="inlineStr">
        <is>
          <t>GIS toolbox for estimating the duration of ancient sail-powered navigation.</t>
        </is>
      </c>
      <c r="C490" s="10" t="inlineStr">
        <is>
          <t>https://github.com/gianmarcoalberti/TRANSIT</t>
        </is>
      </c>
      <c r="D490" s="9" t="n"/>
      <c r="E490" s="9" t="n"/>
      <c r="F490" s="9" t="n"/>
      <c r="G490" s="9" t="n"/>
      <c r="H490" s="9" t="n"/>
      <c r="I490" s="9" t="n"/>
      <c r="J490" s="9" t="n"/>
      <c r="K490" s="9" t="n"/>
      <c r="L490" s="9" t="n"/>
      <c r="M490" s="9" t="n"/>
      <c r="N490" s="9" t="n"/>
      <c r="O490" s="9" t="n"/>
      <c r="P490" s="9" t="n"/>
      <c r="Q490" s="9" t="inlineStr">
        <is>
          <t>gianmarcoalberti</t>
        </is>
      </c>
      <c r="R490" s="9" t="n"/>
      <c r="S490" s="9" t="n"/>
      <c r="T490" s="9" t="n"/>
      <c r="U490" s="9" t="n"/>
      <c r="V490" s="9" t="n"/>
      <c r="W490" s="9" t="inlineStr">
        <is>
          <t>Packages and libraries</t>
        </is>
      </c>
      <c r="X490" s="9" t="inlineStr">
        <is>
          <t>ArcGIS</t>
        </is>
      </c>
      <c r="Y490" s="9" t="inlineStr">
        <is>
          <t>Spatial analysis</t>
        </is>
      </c>
      <c r="Z490" s="9" t="n"/>
      <c r="AA490" s="9" t="n"/>
      <c r="AB490" s="9" t="n"/>
      <c r="AC490" s="9" t="n"/>
      <c r="AD490" s="9" t="n"/>
      <c r="AE490" s="10" t="inlineStr">
        <is>
          <t>https://archive.org/details/github.com-gianmarcoalberti-TRANSIT_-_2017-12-17_09-17-29</t>
        </is>
      </c>
      <c r="AF490" s="9" t="n"/>
      <c r="AG490" s="9" t="n"/>
    </row>
    <row r="491">
      <c r="A491" s="9" t="inlineStr">
        <is>
          <t>TransmissionBias</t>
        </is>
      </c>
      <c r="B491" s="9" t="inlineStr">
        <is>
          <t>Includes an agent-based model (ABM) of cultural transmission that simulates the three main forms of transmission bias: content bias, frequency bias, and demonstrator bias.</t>
        </is>
      </c>
      <c r="C491" s="10" t="inlineStr">
        <is>
          <t>https://github.com/masonyoungblood/TransmissionBias</t>
        </is>
      </c>
      <c r="D491" s="9" t="n"/>
      <c r="E491" s="9" t="n"/>
      <c r="F491" s="9" t="n"/>
      <c r="G491" s="9" t="n"/>
      <c r="H491" s="9" t="n"/>
      <c r="I491" s="9" t="n"/>
      <c r="J491" s="9" t="n"/>
      <c r="K491" s="9" t="n"/>
      <c r="L491" s="9" t="n"/>
      <c r="M491" s="9" t="n"/>
      <c r="N491" s="9" t="n"/>
      <c r="O491" s="9" t="n"/>
      <c r="P491" s="9" t="n"/>
      <c r="Q491" s="9" t="inlineStr">
        <is>
          <t>masonyoungblood</t>
        </is>
      </c>
      <c r="R491" s="9" t="n"/>
      <c r="S491" s="9" t="n"/>
      <c r="T491" s="9" t="n"/>
      <c r="U491" s="9" t="n"/>
      <c r="V491" s="9" t="n"/>
      <c r="W491" s="9" t="inlineStr">
        <is>
          <t>Packages and libraries</t>
        </is>
      </c>
      <c r="X491" s="9" t="inlineStr">
        <is>
          <t>R</t>
        </is>
      </c>
      <c r="Y491" s="9" t="inlineStr">
        <is>
          <t>Simulation</t>
        </is>
      </c>
      <c r="Z491" s="9" t="inlineStr">
        <is>
          <t>Cultural evolution</t>
        </is>
      </c>
      <c r="AA491" s="9" t="n"/>
      <c r="AB491" s="9" t="n"/>
      <c r="AC491" s="9" t="n"/>
      <c r="AD491" s="9" t="n"/>
      <c r="AE491" s="10" t="inlineStr">
        <is>
          <t>https://archive.org/details/github.com-masonyoungblood-TransmissionBias_-_2021-07-01_11-24-26</t>
        </is>
      </c>
      <c r="AF491" s="9" t="n"/>
      <c r="AG491" s="9" t="n"/>
    </row>
    <row r="492">
      <c r="A492" s="9" t="inlineStr">
        <is>
          <t>tRauma</t>
        </is>
      </c>
      <c r="B492" s="9" t="inlineStr">
        <is>
          <t>Interactive graphical user interface to aid in the interpretation of blunt-force rib trauma in forensic anthropology casework.</t>
        </is>
      </c>
      <c r="C492" s="10" t="inlineStr">
        <is>
          <t>https://github.com/ElaineYChu/tRauma</t>
        </is>
      </c>
      <c r="D492" s="9" t="n"/>
      <c r="E492" s="9" t="n"/>
      <c r="F492" s="9" t="n"/>
      <c r="G492" s="9" t="n"/>
      <c r="H492" s="9" t="n"/>
      <c r="I492" s="9" t="n"/>
      <c r="J492" s="9" t="n"/>
      <c r="K492" s="9" t="n"/>
      <c r="L492" s="9" t="n"/>
      <c r="M492" s="9" t="n"/>
      <c r="N492" s="9" t="n"/>
      <c r="O492" s="9" t="n"/>
      <c r="P492" s="9" t="n"/>
      <c r="Q492" s="9" t="inlineStr">
        <is>
          <t>ElaineYChu</t>
        </is>
      </c>
      <c r="R492" s="9" t="n"/>
      <c r="S492" s="9" t="n"/>
      <c r="T492" s="9" t="n"/>
      <c r="U492" s="9" t="n"/>
      <c r="V492" s="9" t="n"/>
      <c r="W492" s="9" t="inlineStr">
        <is>
          <t>Scripts</t>
        </is>
      </c>
      <c r="X492" s="9" t="inlineStr">
        <is>
          <t>R</t>
        </is>
      </c>
      <c r="Y492" s="9" t="inlineStr">
        <is>
          <t>Biological anthropology</t>
        </is>
      </c>
      <c r="Z492" s="9" t="n"/>
      <c r="AA492" s="9" t="n"/>
      <c r="AB492" s="9" t="n"/>
      <c r="AC492" s="9" t="n"/>
      <c r="AD492" s="9" t="n"/>
      <c r="AE492" s="9" t="n"/>
      <c r="AF492" s="9" t="n"/>
      <c r="AG492" s="9" t="n"/>
    </row>
    <row r="493">
      <c r="A493" s="9" t="inlineStr">
        <is>
          <t>trenchdrawer</t>
        </is>
      </c>
      <c r="B493" s="9" t="inlineStr">
        <is>
          <t>Plugin for drawing trenches.</t>
        </is>
      </c>
      <c r="C493" s="10" t="inlineStr">
        <is>
          <t>https://github.com/MikeJJohnson/trenchdrawer</t>
        </is>
      </c>
      <c r="D493" s="9" t="n"/>
      <c r="E493" s="9" t="n"/>
      <c r="F493" s="9" t="n"/>
      <c r="G493" s="9" t="n"/>
      <c r="H493" s="9" t="n"/>
      <c r="I493" s="9" t="n"/>
      <c r="J493" s="9" t="n"/>
      <c r="K493" s="9" t="n"/>
      <c r="L493" s="9" t="n"/>
      <c r="M493" s="9" t="n"/>
      <c r="N493" s="9" t="n"/>
      <c r="O493" s="9" t="n"/>
      <c r="P493" s="9" t="n"/>
      <c r="Q493" s="9" t="inlineStr">
        <is>
          <t>MikeJJohnson</t>
        </is>
      </c>
      <c r="R493" s="9" t="n"/>
      <c r="S493" s="9" t="n"/>
      <c r="T493" s="9" t="n"/>
      <c r="U493" s="9" t="n"/>
      <c r="V493" s="9" t="n"/>
      <c r="W493" s="9" t="inlineStr">
        <is>
          <t>Packages and libraries</t>
        </is>
      </c>
      <c r="X493" s="9" t="inlineStr">
        <is>
          <t>QGIS</t>
        </is>
      </c>
      <c r="Y493" s="9" t="inlineStr">
        <is>
          <t>Site mapping</t>
        </is>
      </c>
      <c r="Z493" s="9" t="n"/>
      <c r="AA493" s="9" t="n"/>
      <c r="AB493" s="9" t="n"/>
      <c r="AC493" s="9" t="n"/>
      <c r="AD493" s="9" t="n"/>
      <c r="AE493" s="10" t="inlineStr">
        <is>
          <t>https://archive.org/details/github.com-MikeJJohnson-trenchdrawer_-_2016-05-10_08-42-06</t>
        </is>
      </c>
      <c r="AF493" s="9" t="n"/>
      <c r="AG493" s="9" t="n"/>
    </row>
    <row r="494">
      <c r="A494" s="9" t="inlineStr">
        <is>
          <t>tridas</t>
        </is>
      </c>
      <c r="B494" s="9" t="inlineStr">
        <is>
          <t>TRiDaS is a universal data exchange standard for the dendrochronology community. This project contains the data standard itself as well as libraries and tools useful for reading, writing and converting dendro data files.</t>
        </is>
      </c>
      <c r="C494" s="9" t="n"/>
      <c r="D494" s="9" t="n"/>
      <c r="E494" s="9" t="n"/>
      <c r="F494" s="9" t="n"/>
      <c r="G494" s="9" t="n"/>
      <c r="H494" s="9" t="n"/>
      <c r="I494" s="9" t="n"/>
      <c r="J494" s="9" t="n"/>
      <c r="K494" s="9" t="n"/>
      <c r="L494" s="9" t="n"/>
      <c r="M494" s="10" t="inlineStr">
        <is>
          <t>https://codeberg.org/steko/tridas</t>
        </is>
      </c>
      <c r="N494" s="10" t="inlineStr">
        <is>
          <t>https://sourceforge.net/projects/tridas/</t>
        </is>
      </c>
      <c r="O494" s="9" t="n"/>
      <c r="P494" s="9" t="n"/>
      <c r="Q494" s="9" t="inlineStr">
        <is>
          <t>steko</t>
        </is>
      </c>
      <c r="R494" s="9" t="n"/>
      <c r="S494" s="9" t="n"/>
      <c r="T494" s="9" t="n"/>
      <c r="U494" s="9" t="n"/>
      <c r="V494" s="9" t="n"/>
      <c r="W494" s="9" t="inlineStr">
        <is>
          <t>Specifications, protocols and schemas</t>
        </is>
      </c>
      <c r="X494" s="9" t="n"/>
      <c r="Y494" s="9" t="inlineStr">
        <is>
          <t>Schemas and ontologies</t>
        </is>
      </c>
      <c r="Z494" s="9" t="inlineStr">
        <is>
          <t>Dendrochronology</t>
        </is>
      </c>
      <c r="AA494" s="9" t="n"/>
      <c r="AB494" s="9" t="n"/>
      <c r="AC494" s="9" t="n"/>
      <c r="AD494" s="9" t="n"/>
      <c r="AE494" s="10" t="inlineStr">
        <is>
          <t>https://archive.org/details/codeberg.org-steko-tridas_-_2020-02-10_16-10-11</t>
        </is>
      </c>
      <c r="AF494" s="9" t="n"/>
      <c r="AG494" s="9" t="n"/>
    </row>
    <row r="495">
      <c r="A495" s="9" t="inlineStr">
        <is>
          <t>tutorial-autocad2018</t>
        </is>
      </c>
      <c r="B495" s="9" t="inlineStr">
        <is>
          <t>AutoCAD tutotial for archaeologists.</t>
        </is>
      </c>
      <c r="C495" s="10" t="inlineStr">
        <is>
          <t>https://github.com/chrinne/tutorial-autocad2018</t>
        </is>
      </c>
      <c r="D495" s="9" t="n"/>
      <c r="E495" s="9" t="n"/>
      <c r="F495" s="9" t="n"/>
      <c r="G495" s="9" t="n"/>
      <c r="H495" s="9" t="n"/>
      <c r="I495" s="9" t="n"/>
      <c r="J495" s="9" t="n"/>
      <c r="K495" s="9" t="n"/>
      <c r="L495" s="9" t="n"/>
      <c r="M495" s="9" t="n"/>
      <c r="N495" s="9" t="n"/>
      <c r="O495" s="9" t="n"/>
      <c r="P495" s="9" t="n"/>
      <c r="Q495" s="9" t="inlineStr">
        <is>
          <t>chrinne</t>
        </is>
      </c>
      <c r="R495" s="9" t="n"/>
      <c r="S495" s="9" t="n"/>
      <c r="T495" s="9" t="n"/>
      <c r="U495" s="9" t="n"/>
      <c r="V495" s="9" t="n"/>
      <c r="W495" s="9" t="inlineStr">
        <is>
          <t>Guides</t>
        </is>
      </c>
      <c r="X495" s="9" t="n"/>
      <c r="Y495" s="9" t="inlineStr">
        <is>
          <t>Educational resources and practical guides</t>
        </is>
      </c>
      <c r="Z495" s="9" t="inlineStr">
        <is>
          <t>3D modelling</t>
        </is>
      </c>
      <c r="AA495" s="9" t="n"/>
      <c r="AB495" s="9" t="n"/>
      <c r="AC495" s="9" t="n"/>
      <c r="AD495" s="9" t="n"/>
      <c r="AE495" s="9" t="n"/>
      <c r="AF495" s="9" t="n"/>
      <c r="AG495" s="9" t="n"/>
    </row>
    <row r="496">
      <c r="A496" s="9" t="inlineStr">
        <is>
          <t>tutorials</t>
        </is>
      </c>
      <c r="B496" s="9" t="inlineStr">
        <is>
          <t>Tutorials on quantitative archaeology.</t>
        </is>
      </c>
      <c r="C496" s="9" t="n"/>
      <c r="D496" s="9" t="n"/>
      <c r="E496" s="10" t="inlineStr">
        <is>
          <t>https://gitlab.com/oliver.nakoinz/tutorials</t>
        </is>
      </c>
      <c r="F496" s="9" t="n"/>
      <c r="G496" s="9" t="n"/>
      <c r="H496" s="9" t="n"/>
      <c r="I496" s="9" t="n"/>
      <c r="J496" s="9" t="n"/>
      <c r="K496" s="9" t="n"/>
      <c r="L496" s="9" t="n"/>
      <c r="M496" s="9" t="n"/>
      <c r="N496" s="9" t="n"/>
      <c r="O496" s="9" t="n"/>
      <c r="P496" s="9" t="n"/>
      <c r="Q496" s="9" t="inlineStr">
        <is>
          <t>oliver.nakoinz</t>
        </is>
      </c>
      <c r="R496" s="9" t="n"/>
      <c r="S496" s="9" t="n"/>
      <c r="T496" s="9" t="n"/>
      <c r="U496" s="9" t="n"/>
      <c r="V496" s="9" t="n"/>
      <c r="W496" s="9" t="inlineStr">
        <is>
          <t>Guides</t>
        </is>
      </c>
      <c r="X496" s="9" t="n"/>
      <c r="Y496" s="9" t="inlineStr">
        <is>
          <t>Educational resources and practical guides</t>
        </is>
      </c>
      <c r="Z496" s="9" t="inlineStr">
        <is>
          <t>Statistical analysis</t>
        </is>
      </c>
      <c r="AA496" s="9" t="n"/>
      <c r="AB496" s="9" t="n"/>
      <c r="AC496" s="9" t="n"/>
      <c r="AD496" s="9" t="n"/>
      <c r="AE496" s="9" t="n"/>
      <c r="AF496" s="9" t="n"/>
      <c r="AG496" s="9" t="n"/>
    </row>
    <row r="497">
      <c r="A497" s="9" t="inlineStr">
        <is>
          <t>tweet-edits-to-archaeology-articles.R</t>
        </is>
      </c>
      <c r="B497" s="9" t="inlineStr">
        <is>
          <t>Using R with wikipedia for various things</t>
        </is>
      </c>
      <c r="C497" s="9" t="n"/>
      <c r="D497" s="10" t="inlineStr">
        <is>
          <t>https://gist.github.com/benmarwick/ac394fd61f481393b0ae</t>
        </is>
      </c>
      <c r="E497" s="9" t="n"/>
      <c r="F497" s="9" t="n"/>
      <c r="G497" s="9" t="n"/>
      <c r="H497" s="9" t="n"/>
      <c r="I497" s="9" t="n"/>
      <c r="J497" s="9" t="n"/>
      <c r="K497" s="9" t="n"/>
      <c r="L497" s="9" t="n"/>
      <c r="M497" s="9" t="n"/>
      <c r="N497" s="9" t="n"/>
      <c r="O497" s="9" t="n"/>
      <c r="P497" s="9" t="n"/>
      <c r="Q497" s="9" t="inlineStr">
        <is>
          <t>benmarwick</t>
        </is>
      </c>
      <c r="R497" s="9" t="n"/>
      <c r="S497" s="9" t="n"/>
      <c r="T497" s="9" t="n"/>
      <c r="U497" s="9" t="n"/>
      <c r="V497" s="9" t="n"/>
      <c r="W497" s="9" t="inlineStr">
        <is>
          <t>Products</t>
        </is>
      </c>
      <c r="X497" s="9" t="n"/>
      <c r="Y497" s="9" t="inlineStr">
        <is>
          <t>Public archaeology</t>
        </is>
      </c>
      <c r="Z497" s="9" t="n"/>
      <c r="AA497" s="9" t="n"/>
      <c r="AB497" s="9" t="n"/>
      <c r="AC497" s="9" t="n"/>
      <c r="AD497" s="9" t="n"/>
      <c r="AE497" s="10" t="inlineStr">
        <is>
          <t>https://archive.org/details/gist.github.com-ac394fd61f481393b0ae_-_2020-06-14_18-15-41</t>
        </is>
      </c>
      <c r="AF497" s="9" t="n"/>
      <c r="AG497" s="9" t="n"/>
    </row>
    <row r="498">
      <c r="A498" s="9" t="inlineStr">
        <is>
          <t>UnconstrainedClustering</t>
        </is>
      </c>
      <c r="B498" s="9" t="inlineStr">
        <is>
          <t>Unconstrained Clustering.</t>
        </is>
      </c>
      <c r="C498" s="9" t="n"/>
      <c r="D498" s="9" t="n"/>
      <c r="E498" s="9" t="n"/>
      <c r="F498" s="9" t="n"/>
      <c r="G498" s="9" t="n"/>
      <c r="H498" s="9" t="n"/>
      <c r="I498" s="9" t="n"/>
      <c r="J498" s="9" t="n"/>
      <c r="K498" s="9" t="n"/>
      <c r="L498" s="9" t="n"/>
      <c r="M498" s="9" t="n"/>
      <c r="N498" s="10" t="inlineStr">
        <is>
          <t>http://www.mattpeeples.net/modules/UnconstrainedClustering.html</t>
        </is>
      </c>
      <c r="O498" s="9" t="n"/>
      <c r="P498" s="9" t="n"/>
      <c r="Q498" s="9" t="inlineStr">
        <is>
          <t>mpeeples2008</t>
        </is>
      </c>
      <c r="R498" s="9" t="n"/>
      <c r="S498" s="9" t="n"/>
      <c r="T498" s="9" t="n"/>
      <c r="U498" s="9" t="n"/>
      <c r="V498" s="9" t="n"/>
      <c r="W498" s="9" t="inlineStr">
        <is>
          <t>Scripts</t>
        </is>
      </c>
      <c r="X498" s="9" t="inlineStr">
        <is>
          <t>R</t>
        </is>
      </c>
      <c r="Y498" s="9" t="inlineStr">
        <is>
          <t>Statistical analysis</t>
        </is>
      </c>
      <c r="Z498" s="9" t="n"/>
      <c r="AA498" s="9" t="n"/>
      <c r="AB498" s="9" t="n"/>
      <c r="AC498" s="9" t="n"/>
      <c r="AD498" s="9" t="n"/>
      <c r="AE498" s="9" t="n"/>
      <c r="AF498" s="9" t="n"/>
      <c r="AG498" s="9" t="n"/>
    </row>
    <row r="499">
      <c r="A499" s="9" t="inlineStr">
        <is>
          <t>UniformProbabilityDensityAnalysis</t>
        </is>
      </c>
      <c r="B499" s="9" t="inlineStr">
        <is>
          <t>R implementation of the Uniform Probability Density Analysis approach</t>
        </is>
      </c>
      <c r="C499" s="10" t="inlineStr">
        <is>
          <t>https://github.com/mpeeples2008/UniformProbabilityDensityAnalysis</t>
        </is>
      </c>
      <c r="D499" s="9" t="n"/>
      <c r="E499" s="9" t="n"/>
      <c r="F499" s="9" t="n"/>
      <c r="G499" s="9" t="n"/>
      <c r="H499" s="9" t="n"/>
      <c r="I499" s="9" t="n"/>
      <c r="J499" s="9" t="n"/>
      <c r="K499" s="9" t="n"/>
      <c r="L499" s="9" t="n"/>
      <c r="M499" s="9" t="n"/>
      <c r="N499" s="9" t="n"/>
      <c r="O499" s="9" t="n"/>
      <c r="P499" s="9" t="n"/>
      <c r="Q499" s="9" t="inlineStr">
        <is>
          <t>mpeeples2008</t>
        </is>
      </c>
      <c r="R499" s="9" t="n"/>
      <c r="S499" s="9" t="n"/>
      <c r="T499" s="9" t="n"/>
      <c r="U499" s="9" t="n"/>
      <c r="V499" s="9" t="n"/>
      <c r="W499" s="9" t="inlineStr">
        <is>
          <t>Packages and libraries</t>
        </is>
      </c>
      <c r="X499" s="9" t="inlineStr">
        <is>
          <t>R</t>
        </is>
      </c>
      <c r="Y499" s="9" t="inlineStr">
        <is>
          <t>Statistical analysis</t>
        </is>
      </c>
      <c r="Z499" s="9" t="inlineStr">
        <is>
          <t>Spatial analysis</t>
        </is>
      </c>
      <c r="AA499" s="9" t="n"/>
      <c r="AB499" s="9" t="n"/>
      <c r="AC499" s="9" t="n"/>
      <c r="AD499" s="9" t="n"/>
      <c r="AE499" s="9" t="n"/>
      <c r="AF499" s="9" t="n"/>
      <c r="AG499" s="9" t="n"/>
    </row>
    <row r="500">
      <c r="A500" s="9" t="inlineStr">
        <is>
          <t>unstruwwel</t>
        </is>
      </c>
      <c r="B500" s="9" t="inlineStr">
        <is>
          <t>Detect and Parse Historic Dates in R.</t>
        </is>
      </c>
      <c r="C500" s="10" t="inlineStr">
        <is>
          <t>https://github.com/stefanieschneider/unstruwwel</t>
        </is>
      </c>
      <c r="D500" s="9" t="n"/>
      <c r="E500" s="9" t="n"/>
      <c r="F500" s="9" t="n"/>
      <c r="G500" s="9" t="n"/>
      <c r="H500" s="9" t="n"/>
      <c r="I500" s="9" t="n"/>
      <c r="J500" s="9" t="n"/>
      <c r="K500" s="9" t="n"/>
      <c r="L500" s="9" t="n"/>
      <c r="M500" s="9" t="n"/>
      <c r="N500" s="9" t="n"/>
      <c r="O500" s="9" t="n"/>
      <c r="P500" s="9" t="n"/>
      <c r="Q500" s="9" t="inlineStr">
        <is>
          <t>stefanieschneider</t>
        </is>
      </c>
      <c r="R500" s="9" t="n"/>
      <c r="S500" s="9" t="n"/>
      <c r="T500" s="9" t="n"/>
      <c r="U500" s="9" t="n"/>
      <c r="V500" s="9" t="n"/>
      <c r="W500" s="9" t="inlineStr">
        <is>
          <t>Packages and libraries</t>
        </is>
      </c>
      <c r="X500" s="9" t="inlineStr">
        <is>
          <t>R</t>
        </is>
      </c>
      <c r="Y500" s="9" t="inlineStr">
        <is>
          <t>Chronological modelling</t>
        </is>
      </c>
      <c r="Z500" s="9" t="n"/>
      <c r="AA500" s="9" t="n"/>
      <c r="AB500" s="9" t="n"/>
      <c r="AC500" s="9" t="n"/>
      <c r="AD500" s="9" t="n"/>
      <c r="AE500" s="10" t="inlineStr">
        <is>
          <t>https://archive.org/details/github.com-stefanieschneider-unstruwwel_-_2021-01-20_07-46-30</t>
        </is>
      </c>
      <c r="AF500" s="9" t="n"/>
      <c r="AG500" s="9" t="n"/>
    </row>
    <row r="501">
      <c r="A501" s="9" t="inlineStr">
        <is>
          <t>UThwigl</t>
        </is>
      </c>
      <c r="B501" s="9" t="inlineStr">
        <is>
          <t>Compute closed- and open-system uranium-thorium (U-Th) ages of geological and archaeological samples.</t>
        </is>
      </c>
      <c r="C501" s="10" t="inlineStr">
        <is>
          <t>https://github.com/tonydoss/UThwigl</t>
        </is>
      </c>
      <c r="D501" s="9" t="n"/>
      <c r="E501" s="9" t="n"/>
      <c r="F501" s="9" t="n"/>
      <c r="G501" s="9" t="n"/>
      <c r="H501" s="9" t="n"/>
      <c r="I501" s="9" t="n"/>
      <c r="J501" s="9" t="n"/>
      <c r="K501" s="9" t="n"/>
      <c r="L501" s="9" t="n"/>
      <c r="M501" s="9" t="n"/>
      <c r="N501" s="9" t="n"/>
      <c r="O501" s="9" t="n"/>
      <c r="P501" s="9" t="n"/>
      <c r="Q501" s="9" t="inlineStr">
        <is>
          <t>tonydoss</t>
        </is>
      </c>
      <c r="R501" s="9" t="n"/>
      <c r="S501" s="9" t="n"/>
      <c r="T501" s="9" t="n"/>
      <c r="U501" s="9" t="n"/>
      <c r="V501" s="9" t="n"/>
      <c r="W501" s="9" t="inlineStr">
        <is>
          <t>Packages and libraries</t>
        </is>
      </c>
      <c r="X501" s="9" t="inlineStr">
        <is>
          <t>R</t>
        </is>
      </c>
      <c r="Y501" s="9" t="inlineStr">
        <is>
          <t>Stable isotope analysis</t>
        </is>
      </c>
      <c r="Z501" s="9" t="inlineStr">
        <is>
          <t>Chronological modelling</t>
        </is>
      </c>
      <c r="AA501" s="9" t="n"/>
      <c r="AB501" s="9" t="n"/>
      <c r="AC501" s="9" t="n"/>
      <c r="AD501" s="9" t="n"/>
      <c r="AE501" s="9" t="n"/>
      <c r="AF501" s="9" t="n"/>
      <c r="AG501" s="9" t="n"/>
    </row>
    <row r="502">
      <c r="A502" s="9" t="inlineStr">
        <is>
          <t>Vessel-Measuring-Tool</t>
        </is>
      </c>
      <c r="B502" s="9" t="inlineStr">
        <is>
          <t>Digitize archeological drawings of vessels in order to calculate their capacity and weight.</t>
        </is>
      </c>
      <c r="C502" s="10" t="inlineStr">
        <is>
          <t>https://github.com/alessandrobattisti/Vessel-Measuring-Tool</t>
        </is>
      </c>
      <c r="D502" s="9" t="n"/>
      <c r="E502" s="9" t="n"/>
      <c r="F502" s="9" t="n"/>
      <c r="G502" s="9" t="n"/>
      <c r="H502" s="9" t="n"/>
      <c r="I502" s="9" t="n"/>
      <c r="J502" s="9" t="n"/>
      <c r="K502" s="9" t="n"/>
      <c r="L502" s="9" t="n"/>
      <c r="M502" s="9" t="n"/>
      <c r="N502" s="10" t="inlineStr">
        <is>
          <t>https://alessandrobattisti.github.io/Vessel-Measuring-Tool/#/</t>
        </is>
      </c>
      <c r="O502" s="9" t="n"/>
      <c r="P502" s="9" t="n"/>
      <c r="Q502" s="9" t="inlineStr">
        <is>
          <t>alessandrobattisti</t>
        </is>
      </c>
      <c r="R502" s="9" t="n"/>
      <c r="S502" s="9" t="n"/>
      <c r="T502" s="9" t="n"/>
      <c r="U502" s="9" t="n"/>
      <c r="V502" s="9" t="n"/>
      <c r="W502" s="9" t="inlineStr">
        <is>
          <t>Standalone software</t>
        </is>
      </c>
      <c r="X502" s="9" t="n"/>
      <c r="Y502" s="9" t="inlineStr">
        <is>
          <t>Artefact morphology</t>
        </is>
      </c>
      <c r="Z502" s="9" t="n"/>
      <c r="AA502" s="9" t="n"/>
      <c r="AB502" s="9" t="n"/>
      <c r="AC502" s="9" t="n"/>
      <c r="AD502" s="9" t="n"/>
      <c r="AE502" s="10" t="inlineStr">
        <is>
          <t>https://archive.org/details/github.com-alessandrobattisti-Vessel-Measuring-Tool_-_2020-01-09_10-32-30</t>
        </is>
      </c>
      <c r="AF502" s="9" t="n"/>
      <c r="AG502" s="9" t="n"/>
    </row>
    <row r="503">
      <c r="A503" s="10" t="inlineStr">
        <is>
          <t>vici.org</t>
        </is>
      </c>
      <c r="B503" s="9" t="inlineStr">
        <is>
          <t>A community driven archaeological map of classical antiquity, inspired by and modelled after Wikipedia.</t>
        </is>
      </c>
      <c r="C503" s="10" t="inlineStr">
        <is>
          <t>https://github.com/renevoorburg/vici.org</t>
        </is>
      </c>
      <c r="D503" s="9" t="n"/>
      <c r="E503" s="9" t="n"/>
      <c r="F503" s="9" t="n"/>
      <c r="G503" s="9" t="n"/>
      <c r="H503" s="9" t="n"/>
      <c r="I503" s="9" t="n"/>
      <c r="J503" s="9" t="n"/>
      <c r="K503" s="9" t="n"/>
      <c r="L503" s="9" t="n"/>
      <c r="M503" s="9" t="n"/>
      <c r="N503" s="10" t="inlineStr">
        <is>
          <t>https://vici.org</t>
        </is>
      </c>
      <c r="O503" s="9" t="n"/>
      <c r="P503" s="9" t="n"/>
      <c r="Q503" s="9" t="inlineStr">
        <is>
          <t>renevoorburg</t>
        </is>
      </c>
      <c r="R503" s="9" t="n"/>
      <c r="S503" s="9" t="n"/>
      <c r="T503" s="9" t="n"/>
      <c r="U503" s="9" t="n"/>
      <c r="V503" s="9" t="n"/>
      <c r="W503" s="9" t="inlineStr">
        <is>
          <t>Standalone software</t>
        </is>
      </c>
      <c r="X503" s="9" t="n"/>
      <c r="Y503" s="9" t="inlineStr">
        <is>
          <t>Public archaeology</t>
        </is>
      </c>
      <c r="Z503" s="9" t="inlineStr">
        <is>
          <t>Spatial analysis</t>
        </is>
      </c>
      <c r="AA503" s="9" t="inlineStr">
        <is>
          <t>Datasets</t>
        </is>
      </c>
      <c r="AB503" s="9" t="n"/>
      <c r="AC503" s="9" t="n"/>
      <c r="AD503" s="9" t="n"/>
      <c r="AE503" s="9" t="n"/>
      <c r="AF503" s="9" t="n"/>
      <c r="AG503" s="9" t="n"/>
    </row>
    <row r="504">
      <c r="A504" s="9" t="inlineStr">
        <is>
          <t>vitutr</t>
        </is>
      </c>
      <c r="B504" s="9" t="inlineStr">
        <is>
          <t>A page for video tutorials on R, specifically for archaeology</t>
        </is>
      </c>
      <c r="C504" s="10" t="inlineStr">
        <is>
          <t>https://github.com/MartinHinz/vitutr</t>
        </is>
      </c>
      <c r="D504" s="9" t="n"/>
      <c r="E504" s="9" t="n"/>
      <c r="F504" s="9" t="n"/>
      <c r="G504" s="9" t="n"/>
      <c r="H504" s="9" t="n"/>
      <c r="I504" s="9" t="n"/>
      <c r="J504" s="9" t="n"/>
      <c r="K504" s="9" t="n"/>
      <c r="L504" s="9" t="n"/>
      <c r="M504" s="9" t="n"/>
      <c r="N504" s="9" t="n"/>
      <c r="O504" s="9" t="n"/>
      <c r="P504" s="9" t="n"/>
      <c r="Q504" s="9" t="inlineStr">
        <is>
          <t>MartinHinz</t>
        </is>
      </c>
      <c r="R504" s="9" t="n"/>
      <c r="S504" s="9" t="n"/>
      <c r="T504" s="9" t="n"/>
      <c r="U504" s="9" t="n"/>
      <c r="V504" s="9" t="n"/>
      <c r="W504" s="9" t="inlineStr">
        <is>
          <t>Guides</t>
        </is>
      </c>
      <c r="X504" s="9" t="n"/>
      <c r="Y504" s="9" t="inlineStr">
        <is>
          <t>Educational resources and practical guides</t>
        </is>
      </c>
      <c r="Z504" s="9" t="n"/>
      <c r="AA504" s="9" t="n"/>
      <c r="AB504" s="9" t="n"/>
      <c r="AC504" s="9" t="n"/>
      <c r="AD504" s="9" t="n"/>
      <c r="AE504" s="10" t="inlineStr">
        <is>
          <t>https://archive.org/details/github.com-MartinHinz-vitutr_-_2019-07-10_07-18-25</t>
        </is>
      </c>
      <c r="AF504" s="9" t="n"/>
      <c r="AG504" s="9" t="n"/>
    </row>
    <row r="505">
      <c r="A505" s="9" t="inlineStr">
        <is>
          <t>web_geochemistry</t>
        </is>
      </c>
      <c r="B505" s="9" t="inlineStr">
        <is>
          <t>Visualizing XRF and NAA geochemistry concentrations.</t>
        </is>
      </c>
      <c r="C505" s="10" t="inlineStr">
        <is>
          <t>https://github.com/arf-berkeley/web_geochemistry</t>
        </is>
      </c>
      <c r="D505" s="9" t="n"/>
      <c r="E505" s="9" t="n"/>
      <c r="F505" s="9" t="n"/>
      <c r="G505" s="9" t="n"/>
      <c r="H505" s="9" t="n"/>
      <c r="I505" s="9" t="n"/>
      <c r="J505" s="9" t="n"/>
      <c r="K505" s="9" t="n"/>
      <c r="L505" s="9" t="n"/>
      <c r="M505" s="9" t="n"/>
      <c r="N505" s="9" t="n"/>
      <c r="O505" s="9" t="n"/>
      <c r="P505" s="9" t="n"/>
      <c r="Q505" s="9" t="inlineStr">
        <is>
          <t>arf-berkeley</t>
        </is>
      </c>
      <c r="R505" s="9" t="n"/>
      <c r="S505" s="9" t="n"/>
      <c r="T505" s="9" t="n"/>
      <c r="U505" s="9" t="n"/>
      <c r="V505" s="9" t="n"/>
      <c r="W505" s="9" t="inlineStr">
        <is>
          <t>Packages and libraries</t>
        </is>
      </c>
      <c r="X505" s="9" t="inlineStr">
        <is>
          <t>R</t>
        </is>
      </c>
      <c r="Y505" s="9" t="inlineStr">
        <is>
          <t>X-Ray Fluorescence</t>
        </is>
      </c>
      <c r="Z505" s="9" t="inlineStr">
        <is>
          <t>Instrumental Neutron activation analysis</t>
        </is>
      </c>
      <c r="AA505" s="9" t="n"/>
      <c r="AB505" s="9" t="n"/>
      <c r="AC505" s="9" t="n"/>
      <c r="AD505" s="9" t="n"/>
      <c r="AE505" s="9" t="n"/>
      <c r="AF505" s="9" t="n"/>
      <c r="AG505" s="9" t="n"/>
    </row>
    <row r="506">
      <c r="A506" s="9" t="inlineStr">
        <is>
          <t>WeedEco</t>
        </is>
      </c>
      <c r="B506" s="9" t="inlineStr">
        <is>
          <t>Classification of unknown cases (e.g. archaeobotanical data or other modern weed survey data) using linear discriminant analysis to understand farming regimes.</t>
        </is>
      </c>
      <c r="C506" s="10" t="inlineStr">
        <is>
          <t>https://github.com/WeedEco/WeedEco</t>
        </is>
      </c>
      <c r="D506" s="9" t="n"/>
      <c r="E506" s="9" t="n"/>
      <c r="F506" s="9" t="n"/>
      <c r="G506" s="9" t="n"/>
      <c r="H506" s="9" t="n"/>
      <c r="I506" s="9" t="n"/>
      <c r="J506" s="9" t="n"/>
      <c r="K506" s="9" t="n"/>
      <c r="L506" s="9" t="n"/>
      <c r="M506" s="9" t="n"/>
      <c r="N506" s="9" t="n"/>
      <c r="O506" s="9" t="n"/>
      <c r="P506" s="9" t="n"/>
      <c r="Q506" s="9" t="inlineStr">
        <is>
          <t>WeedEco</t>
        </is>
      </c>
      <c r="R506" s="9" t="n"/>
      <c r="S506" s="9" t="n"/>
      <c r="T506" s="9" t="n"/>
      <c r="U506" s="9" t="n"/>
      <c r="V506" s="9" t="n"/>
      <c r="W506" s="9" t="inlineStr">
        <is>
          <t>Packages and libraries</t>
        </is>
      </c>
      <c r="X506" s="9" t="inlineStr">
        <is>
          <t>R</t>
        </is>
      </c>
      <c r="Y506" s="9" t="inlineStr">
        <is>
          <t>Palaeobotany</t>
        </is>
      </c>
      <c r="Z506" s="9" t="n"/>
      <c r="AA506" s="9" t="n"/>
      <c r="AB506" s="9" t="n"/>
      <c r="AC506" s="9" t="n"/>
      <c r="AD506" s="9" t="n"/>
      <c r="AE506" s="9" t="n"/>
      <c r="AF506" s="9" t="n"/>
      <c r="AG506" s="9" t="n"/>
    </row>
    <row r="507">
      <c r="A507" s="9" t="inlineStr">
        <is>
          <t>xDateR</t>
        </is>
      </c>
      <c r="B507" s="9" t="inlineStr">
        <is>
          <t>Shiny app for interactive crossdating of tree-ring data.</t>
        </is>
      </c>
      <c r="C507" s="10" t="inlineStr">
        <is>
          <t>https://github.com/AndyBunn/xDateR</t>
        </is>
      </c>
      <c r="D507" s="9" t="n"/>
      <c r="E507" s="9" t="n"/>
      <c r="F507" s="9" t="n"/>
      <c r="G507" s="9" t="n"/>
      <c r="H507" s="9" t="n"/>
      <c r="I507" s="9" t="n"/>
      <c r="J507" s="9" t="n"/>
      <c r="K507" s="9" t="n"/>
      <c r="L507" s="9" t="n"/>
      <c r="M507" s="9" t="n"/>
      <c r="N507" s="9" t="n"/>
      <c r="O507" s="9" t="n"/>
      <c r="P507" s="9" t="n"/>
      <c r="Q507" s="9" t="inlineStr">
        <is>
          <t>AndyBunn</t>
        </is>
      </c>
      <c r="R507" s="9" t="n"/>
      <c r="S507" s="9" t="n"/>
      <c r="T507" s="9" t="n"/>
      <c r="U507" s="9" t="n"/>
      <c r="V507" s="9" t="n"/>
      <c r="W507" s="9" t="inlineStr">
        <is>
          <t>Packages and libraries</t>
        </is>
      </c>
      <c r="X507" s="9" t="inlineStr">
        <is>
          <t>R</t>
        </is>
      </c>
      <c r="Y507" s="9" t="inlineStr">
        <is>
          <t>Dendrochronology</t>
        </is>
      </c>
      <c r="Z507" s="9" t="inlineStr">
        <is>
          <t>Chronological modelling</t>
        </is>
      </c>
      <c r="AA507" s="9" t="n"/>
      <c r="AB507" s="9" t="n"/>
      <c r="AC507" s="9" t="n"/>
      <c r="AD507" s="9" t="n"/>
      <c r="AE507" s="9" t="n"/>
      <c r="AF507" s="9" t="n"/>
      <c r="AG507" s="9" t="n"/>
    </row>
    <row r="508">
      <c r="A508" s="9" t="inlineStr">
        <is>
          <t>xrf</t>
        </is>
      </c>
      <c r="B508" s="9" t="inlineStr">
        <is>
          <t>The goal of xrf is to provide tools to read, plot, and interpret X-Ray fluorescence spectra</t>
        </is>
      </c>
      <c r="C508" s="10" t="inlineStr">
        <is>
          <t>https://github.com/paleolimbot/xrftools</t>
        </is>
      </c>
      <c r="D508" s="9" t="n"/>
      <c r="E508" s="9" t="n"/>
      <c r="F508" s="9" t="n"/>
      <c r="G508" s="9" t="n"/>
      <c r="H508" s="9" t="n"/>
      <c r="I508" s="9" t="n"/>
      <c r="J508" s="9" t="n"/>
      <c r="K508" s="9" t="n"/>
      <c r="L508" s="9" t="n"/>
      <c r="M508" s="9" t="n"/>
      <c r="N508" s="9" t="n"/>
      <c r="O508" s="9" t="n"/>
      <c r="P508" s="9" t="n"/>
      <c r="Q508" s="9" t="inlineStr">
        <is>
          <t>paleolimbot</t>
        </is>
      </c>
      <c r="R508" s="9" t="n"/>
      <c r="S508" s="9" t="n"/>
      <c r="T508" s="9" t="n"/>
      <c r="U508" s="9" t="n"/>
      <c r="V508" s="9" t="n"/>
      <c r="W508" s="9" t="inlineStr">
        <is>
          <t>Packages and libraries</t>
        </is>
      </c>
      <c r="X508" s="9" t="inlineStr">
        <is>
          <t>R</t>
        </is>
      </c>
      <c r="Y508" s="9" t="inlineStr">
        <is>
          <t>X-Ray Fluorescence</t>
        </is>
      </c>
      <c r="Z508" s="9" t="n"/>
      <c r="AA508" s="9" t="n"/>
      <c r="AB508" s="9" t="n"/>
      <c r="AC508" s="9" t="n"/>
      <c r="AD508" s="9" t="n"/>
      <c r="AE508" s="10" t="inlineStr">
        <is>
          <t>https://archive.org/details/github.com-paleolimbot-xrftools_-_2020-07-14_14-17-56</t>
        </is>
      </c>
      <c r="AF508" s="9" t="n"/>
      <c r="AG508" s="9" t="n"/>
    </row>
    <row r="509">
      <c r="A509" s="9" t="inlineStr">
        <is>
          <t>xronos.R</t>
        </is>
      </c>
      <c r="B509" s="9" t="inlineStr">
        <is>
          <t>A worldwide database of chronological information from archaeological contexts, including radiocarbon and dendrochronological data.</t>
        </is>
      </c>
      <c r="C509" s="10" t="inlineStr">
        <is>
          <t>https://github.com/xronos-ch/xronos.R</t>
        </is>
      </c>
      <c r="D509" s="9" t="n"/>
      <c r="E509" s="9" t="n"/>
      <c r="F509" s="9" t="n"/>
      <c r="G509" s="9" t="n"/>
      <c r="H509" s="9" t="n"/>
      <c r="I509" s="9" t="n"/>
      <c r="J509" s="9" t="n"/>
      <c r="K509" s="9" t="n"/>
      <c r="L509" s="9" t="n"/>
      <c r="M509" s="9" t="n"/>
      <c r="N509" s="10" t="inlineStr">
        <is>
          <t>https://xronos.ch</t>
        </is>
      </c>
      <c r="O509" s="9" t="n"/>
      <c r="P509" s="9" t="n"/>
      <c r="Q509" s="9" t="inlineStr">
        <is>
          <t>xronos-ch</t>
        </is>
      </c>
      <c r="R509" s="9" t="n"/>
      <c r="S509" s="9" t="n"/>
      <c r="T509" s="9" t="n"/>
      <c r="U509" s="9" t="n"/>
      <c r="V509" s="9" t="n"/>
      <c r="W509" s="9" t="inlineStr">
        <is>
          <t>Packages and libraries</t>
        </is>
      </c>
      <c r="X509" s="9" t="inlineStr">
        <is>
          <t>R</t>
        </is>
      </c>
      <c r="Y509" s="9" t="inlineStr">
        <is>
          <t>Radiocarbon dating, calibration and sequencing</t>
        </is>
      </c>
      <c r="Z509" s="9" t="inlineStr">
        <is>
          <t>Datasets</t>
        </is>
      </c>
      <c r="AA509" s="9" t="n"/>
      <c r="AB509" s="9" t="n"/>
      <c r="AC509" s="9" t="n"/>
      <c r="AD509" s="9" t="n"/>
      <c r="AE509" s="9" t="n"/>
      <c r="AF509" s="9" t="n"/>
      <c r="AG509" s="9" t="n"/>
    </row>
    <row r="510">
      <c r="A510" s="9" t="inlineStr">
        <is>
          <t>yada</t>
        </is>
      </c>
      <c r="B510" s="9" t="inlineStr">
        <is>
          <t>yada, which stands for Yet Another Demographic Analysis package, supports a variety of demographic tasks, with most applications drawn from forensic anthroplogy and archaeology.</t>
        </is>
      </c>
      <c r="C510" s="10" t="inlineStr">
        <is>
          <t>https://github.com/eehh-stanford/yada</t>
        </is>
      </c>
      <c r="D510" s="9" t="n"/>
      <c r="E510" s="9" t="n"/>
      <c r="F510" s="9" t="n"/>
      <c r="G510" s="9" t="n"/>
      <c r="H510" s="9" t="n"/>
      <c r="I510" s="9" t="n"/>
      <c r="J510" s="9" t="n"/>
      <c r="K510" s="9" t="n"/>
      <c r="L510" s="9" t="n"/>
      <c r="M510" s="9" t="n"/>
      <c r="N510" s="10" t="inlineStr">
        <is>
          <t>https://eehh-stanford.github.io/yada/</t>
        </is>
      </c>
      <c r="O510" s="9" t="n"/>
      <c r="P510" s="9" t="n"/>
      <c r="Q510" s="9" t="inlineStr">
        <is>
          <t>MichaelHoltonPrice</t>
        </is>
      </c>
      <c r="R510" s="9" t="n"/>
      <c r="S510" s="9" t="n"/>
      <c r="T510" s="9" t="n"/>
      <c r="U510" s="9" t="n"/>
      <c r="V510" s="9" t="n"/>
      <c r="W510" s="9" t="inlineStr">
        <is>
          <t>Packages and libraries</t>
        </is>
      </c>
      <c r="X510" s="9" t="inlineStr">
        <is>
          <t>R</t>
        </is>
      </c>
      <c r="Y510" s="9" t="inlineStr">
        <is>
          <t>Archaeogenetics</t>
        </is>
      </c>
      <c r="Z510" s="9" t="n"/>
      <c r="AA510" s="9" t="n"/>
      <c r="AB510" s="9" t="n"/>
      <c r="AC510" s="9" t="n"/>
      <c r="AD510" s="9" t="n"/>
      <c r="AE510" s="10" t="inlineStr">
        <is>
          <t>https://archive.org/details/github.com-eehh-stanford-yada_-_2020-06-15_00-23-18</t>
        </is>
      </c>
      <c r="AF510" s="9" t="n"/>
      <c r="AG510" s="9" t="n"/>
    </row>
    <row r="511">
      <c r="A511" s="9" t="inlineStr">
        <is>
          <t>zooaRch</t>
        </is>
      </c>
      <c r="B511" s="9" t="inlineStr">
        <is>
          <t>The zooaRch package provides analytical tools to make inferences on zooarchaeological data.</t>
        </is>
      </c>
      <c r="C511" s="9" t="n"/>
      <c r="D511" s="9" t="n"/>
      <c r="E511" s="9" t="n"/>
      <c r="F511" s="9" t="n"/>
      <c r="G511" s="9" t="n"/>
      <c r="H511" s="9" t="n"/>
      <c r="I511" s="9" t="n"/>
      <c r="J511" s="9" t="n"/>
      <c r="K511" s="10" t="inlineStr">
        <is>
          <t>https://cran.r-project.org/package=zooaRch</t>
        </is>
      </c>
      <c r="L511" s="9" t="n"/>
      <c r="M511" s="9" t="n"/>
      <c r="N511" s="9" t="n"/>
      <c r="O511" s="9" t="n"/>
      <c r="P511" s="9" t="n"/>
      <c r="Q511" s="9" t="inlineStr">
        <is>
          <t>Erik Otarola-Castillo</t>
        </is>
      </c>
      <c r="R511" s="9" t="inlineStr">
        <is>
          <t>Jesse Wolfhagen</t>
        </is>
      </c>
      <c r="S511" s="9" t="inlineStr">
        <is>
          <t>Max D. Price</t>
        </is>
      </c>
      <c r="T511" s="9" t="inlineStr">
        <is>
          <t>zooaRch</t>
        </is>
      </c>
      <c r="U511" s="9" t="n"/>
      <c r="V511" s="9" t="n"/>
      <c r="W511" s="9" t="inlineStr">
        <is>
          <t>Packages and libraries</t>
        </is>
      </c>
      <c r="X511" s="9" t="inlineStr">
        <is>
          <t>R</t>
        </is>
      </c>
      <c r="Y511" s="9" t="inlineStr">
        <is>
          <t>Zooarchaeology</t>
        </is>
      </c>
      <c r="Z511" s="9" t="n"/>
      <c r="AA511" s="9" t="n"/>
      <c r="AB511" s="9" t="n"/>
      <c r="AC511" s="9" t="n"/>
      <c r="AD511" s="9" t="n"/>
      <c r="AE511" s="9" t="n"/>
      <c r="AF511" s="9" t="n"/>
      <c r="AG511" s="9" t="n"/>
    </row>
    <row r="512">
      <c r="A512" s="9" t="inlineStr">
        <is>
          <t>zooaRchGUI</t>
        </is>
      </c>
      <c r="B512" s="9" t="inlineStr">
        <is>
          <t>The zooaRchGUI package provides a Graphical User Interface (GUI) to analytical tools for zooarchaeological data in the R package.</t>
        </is>
      </c>
      <c r="C512" s="10" t="inlineStr">
        <is>
          <t>https://github.com/zooaRchGUI/zooaRchGUI</t>
        </is>
      </c>
      <c r="D512" s="9" t="n"/>
      <c r="E512" s="9" t="n"/>
      <c r="F512" s="9" t="n"/>
      <c r="G512" s="9" t="n"/>
      <c r="H512" s="9" t="n"/>
      <c r="I512" s="9" t="n"/>
      <c r="J512" s="9" t="n"/>
      <c r="K512" s="9" t="n"/>
      <c r="L512" s="9" t="n"/>
      <c r="M512" s="9" t="n"/>
      <c r="N512" s="10" t="inlineStr">
        <is>
          <t>http://www.zooarchgui.org/</t>
        </is>
      </c>
      <c r="O512" s="9" t="n"/>
      <c r="P512" s="9" t="n"/>
      <c r="Q512" s="9" t="inlineStr">
        <is>
          <t>zooaRchGUI</t>
        </is>
      </c>
      <c r="R512" s="9" t="n"/>
      <c r="S512" s="9" t="n"/>
      <c r="T512" s="9" t="n"/>
      <c r="U512" s="9" t="n"/>
      <c r="V512" s="9" t="n"/>
      <c r="W512" s="9" t="inlineStr">
        <is>
          <t>Packages and libraries</t>
        </is>
      </c>
      <c r="X512" s="9" t="inlineStr">
        <is>
          <t>R</t>
        </is>
      </c>
      <c r="Y512" s="9" t="inlineStr">
        <is>
          <t>Zooarchaeology</t>
        </is>
      </c>
      <c r="Z512" s="9" t="n"/>
      <c r="AA512" s="9" t="n"/>
      <c r="AB512" s="9" t="n"/>
      <c r="AC512" s="9" t="n"/>
      <c r="AD512" s="9" t="n"/>
      <c r="AE512" s="10" t="inlineStr">
        <is>
          <t>https://archive.org/details/github.com-zooaRchGUI-zooaRchGUI_-_2019-05-20_20-51-27</t>
        </is>
      </c>
      <c r="AF512" s="9" t="n"/>
      <c r="AG512" s="9" t="n"/>
    </row>
    <row r="513">
      <c r="A513" s="9" t="inlineStr">
        <is>
          <t>ZooarchMixMod</t>
        </is>
      </c>
      <c r="B513" s="9" t="inlineStr">
        <is>
          <t>Produce mixture models of zooarchaeological measurement data to estimate the proportion of immature, adult-sized female, and adult-sized male specimens in an assemblage.</t>
        </is>
      </c>
      <c r="C513" s="10" t="inlineStr">
        <is>
          <t>https://github.com/wolfhagenj/ZooarchMixMod</t>
        </is>
      </c>
      <c r="D513" s="9" t="n"/>
      <c r="E513" s="9" t="n"/>
      <c r="F513" s="9" t="n"/>
      <c r="G513" s="9" t="n"/>
      <c r="H513" s="9" t="n"/>
      <c r="I513" s="9" t="n"/>
      <c r="J513" s="9" t="n"/>
      <c r="K513" s="9" t="n"/>
      <c r="L513" s="9" t="n"/>
      <c r="M513" s="9" t="n"/>
      <c r="N513" s="9" t="n"/>
      <c r="O513" s="9" t="n"/>
      <c r="P513" s="9" t="inlineStr">
        <is>
          <t>10.1007/s10816-023-09611-y</t>
        </is>
      </c>
      <c r="Q513" s="9" t="inlineStr">
        <is>
          <t>wolfhagenj</t>
        </is>
      </c>
      <c r="R513" s="9" t="n"/>
      <c r="S513" s="9" t="n"/>
      <c r="T513" s="9" t="n"/>
      <c r="U513" s="9" t="n"/>
      <c r="V513" s="9" t="n"/>
      <c r="W513" s="9" t="inlineStr">
        <is>
          <t>Packages and libraries</t>
        </is>
      </c>
      <c r="X513" s="9" t="inlineStr">
        <is>
          <t>R</t>
        </is>
      </c>
      <c r="Y513" s="9" t="inlineStr">
        <is>
          <t>Zooarchaeology</t>
        </is>
      </c>
      <c r="Z513" s="9" t="n"/>
      <c r="AA513" s="9" t="n"/>
      <c r="AB513" s="9" t="n"/>
      <c r="AC513" s="9" t="n"/>
      <c r="AD513" s="9" t="n"/>
      <c r="AE513" s="9" t="n"/>
      <c r="AF513" s="9" t="n"/>
      <c r="AG513" s="9" t="n"/>
    </row>
    <row r="514">
      <c r="A514" s="9" t="inlineStr">
        <is>
          <t>zoolog</t>
        </is>
      </c>
      <c r="B514" s="9" t="inlineStr">
        <is>
          <t>Manipulate log-ratios (also known as log size index (LSI) values) from measurements obtained on zooarchaeological material.</t>
        </is>
      </c>
      <c r="C514" s="10" t="inlineStr">
        <is>
          <t>https://github.com/josempozo/zoolog</t>
        </is>
      </c>
      <c r="D514" s="9" t="n"/>
      <c r="E514" s="9" t="n"/>
      <c r="F514" s="9" t="n"/>
      <c r="G514" s="9" t="n"/>
      <c r="H514" s="9" t="n"/>
      <c r="I514" s="9" t="n"/>
      <c r="J514" s="9" t="n"/>
      <c r="K514" s="10" t="inlineStr">
        <is>
          <t>https://cran.r-project.org/package=zoolog</t>
        </is>
      </c>
      <c r="L514" s="9" t="n"/>
      <c r="M514" s="9" t="n"/>
      <c r="N514" s="10" t="inlineStr">
        <is>
          <t>https://josempozo.github.io/zoolog/</t>
        </is>
      </c>
      <c r="O514" s="9" t="n"/>
      <c r="P514" s="9" t="n"/>
      <c r="Q514" s="9" t="inlineStr">
        <is>
          <t>josempozo</t>
        </is>
      </c>
      <c r="R514" s="9" t="inlineStr">
        <is>
          <t>Silvia Valenzuela-Lamas</t>
        </is>
      </c>
      <c r="S514" s="9" t="inlineStr">
        <is>
          <t>Angela Trentacoste</t>
        </is>
      </c>
      <c r="T514" s="9" t="inlineStr">
        <is>
          <t>Ariadne Nieto-Espinet</t>
        </is>
      </c>
      <c r="U514" s="9" t="inlineStr">
        <is>
          <t>Silvia Guimarães Chiarelli</t>
        </is>
      </c>
      <c r="V514" s="9" t="n"/>
      <c r="W514" s="9" t="inlineStr">
        <is>
          <t>Packages and libraries</t>
        </is>
      </c>
      <c r="X514" s="9" t="inlineStr">
        <is>
          <t>R</t>
        </is>
      </c>
      <c r="Y514" s="9" t="inlineStr">
        <is>
          <t>Zooarchaeology</t>
        </is>
      </c>
      <c r="Z514" s="9" t="n"/>
      <c r="AA514" s="9" t="n"/>
      <c r="AB514" s="9" t="n"/>
      <c r="AC514" s="9" t="n"/>
      <c r="AD514" s="9" t="n"/>
      <c r="AE514" s="10" t="inlineStr">
        <is>
          <t>https://archive.org/details/github.com-josempozo-zoolog_-_2021-02-25_14-11-16</t>
        </is>
      </c>
      <c r="AF514" s="9" t="n"/>
      <c r="AG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9" t="n"/>
      <c r="AD515" s="9" t="n"/>
      <c r="AE515" s="9" t="n"/>
      <c r="AF515" s="9" t="n"/>
      <c r="AG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9" t="n"/>
      <c r="AD516" s="9" t="n"/>
      <c r="AE516" s="9" t="n"/>
      <c r="AF516" s="9" t="n"/>
      <c r="AG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9" t="n"/>
      <c r="AD518" s="9" t="n"/>
      <c r="AE518" s="9" t="n"/>
      <c r="AF518" s="9" t="n"/>
      <c r="AG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9" t="n"/>
      <c r="AD520" s="9" t="n"/>
      <c r="AE520" s="9" t="n"/>
      <c r="AF520" s="9" t="n"/>
      <c r="AG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9" t="n"/>
      <c r="AD521" s="9" t="n"/>
      <c r="AE521" s="9" t="n"/>
      <c r="AF521" s="9" t="n"/>
      <c r="AG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9" t="n"/>
      <c r="AD522" s="9" t="n"/>
      <c r="AE522" s="9" t="n"/>
      <c r="AF522" s="9" t="n"/>
      <c r="AG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9" t="n"/>
      <c r="AD523" s="9" t="n"/>
      <c r="AE523" s="9" t="n"/>
      <c r="AF523" s="9" t="n"/>
      <c r="AG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9" t="n"/>
      <c r="AD524" s="9" t="n"/>
      <c r="AE524" s="9" t="n"/>
      <c r="AF524" s="9" t="n"/>
      <c r="AG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9" t="n"/>
      <c r="AD525" s="9" t="n"/>
      <c r="AE525" s="9" t="n"/>
      <c r="AF525" s="9" t="n"/>
      <c r="AG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9" t="n"/>
      <c r="AD526" s="9" t="n"/>
      <c r="AE526" s="9" t="n"/>
      <c r="AF526" s="9" t="n"/>
      <c r="AG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9" t="n"/>
      <c r="AD527" s="9" t="n"/>
      <c r="AE527" s="9" t="n"/>
      <c r="AF527" s="9" t="n"/>
      <c r="AG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9" t="n"/>
      <c r="AD528" s="9" t="n"/>
      <c r="AE528" s="9" t="n"/>
      <c r="AF528" s="9" t="n"/>
      <c r="AG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9" t="n"/>
      <c r="AD529" s="9" t="n"/>
      <c r="AE529" s="9" t="n"/>
      <c r="AF529" s="9" t="n"/>
      <c r="AG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9" t="n"/>
      <c r="AD531" s="9" t="n"/>
      <c r="AE531" s="9" t="n"/>
      <c r="AF531" s="9" t="n"/>
      <c r="AG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9" t="n"/>
      <c r="AD533" s="9" t="n"/>
      <c r="AE533" s="9" t="n"/>
      <c r="AF533" s="9" t="n"/>
      <c r="AG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9" t="n"/>
      <c r="AD534" s="9" t="n"/>
      <c r="AE534" s="9" t="n"/>
      <c r="AF534" s="9" t="n"/>
      <c r="AG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9" t="n"/>
      <c r="AD535" s="9" t="n"/>
      <c r="AE535" s="9" t="n"/>
      <c r="AF535" s="9" t="n"/>
      <c r="AG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9" t="n"/>
      <c r="AD536" s="9" t="n"/>
      <c r="AE536" s="9" t="n"/>
      <c r="AF536" s="9" t="n"/>
      <c r="AG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9" t="n"/>
      <c r="AD537" s="9" t="n"/>
      <c r="AE537" s="9" t="n"/>
      <c r="AF537" s="9" t="n"/>
      <c r="AG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9" t="n"/>
      <c r="AD538" s="9" t="n"/>
      <c r="AE538" s="9" t="n"/>
      <c r="AF538" s="9" t="n"/>
      <c r="AG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9" t="n"/>
      <c r="AD539" s="9" t="n"/>
      <c r="AE539" s="9" t="n"/>
      <c r="AF539" s="9" t="n"/>
      <c r="AG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9" t="n"/>
      <c r="AD540" s="9" t="n"/>
      <c r="AE540" s="9" t="n"/>
      <c r="AF540" s="9" t="n"/>
      <c r="AG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9" t="n"/>
      <c r="AD541" s="9" t="n"/>
      <c r="AE541" s="9" t="n"/>
      <c r="AF541" s="9" t="n"/>
      <c r="AG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9" t="n"/>
      <c r="AD542" s="9" t="n"/>
      <c r="AE542" s="9" t="n"/>
      <c r="AF542" s="9" t="n"/>
      <c r="AG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9" t="n"/>
      <c r="AD544" s="9" t="n"/>
      <c r="AE544" s="9" t="n"/>
      <c r="AF544" s="9" t="n"/>
      <c r="AG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9" t="n"/>
      <c r="AD546" s="9" t="n"/>
      <c r="AE546" s="9" t="n"/>
      <c r="AF546" s="9" t="n"/>
      <c r="AG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9" t="n"/>
      <c r="AD547" s="9" t="n"/>
      <c r="AE547" s="9" t="n"/>
      <c r="AF547" s="9" t="n"/>
      <c r="AG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9" t="n"/>
      <c r="AD548" s="9" t="n"/>
      <c r="AE548" s="9" t="n"/>
      <c r="AF548" s="9" t="n"/>
      <c r="AG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9" t="n"/>
      <c r="AD549" s="9" t="n"/>
      <c r="AE549" s="9" t="n"/>
      <c r="AF549" s="9" t="n"/>
      <c r="AG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9" t="n"/>
      <c r="AD550" s="9" t="n"/>
      <c r="AE550" s="9" t="n"/>
      <c r="AF550" s="9" t="n"/>
      <c r="AG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9" t="n"/>
      <c r="AD551" s="9" t="n"/>
      <c r="AE551" s="9" t="n"/>
      <c r="AF551" s="9" t="n"/>
      <c r="AG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9" t="n"/>
      <c r="AD552" s="9" t="n"/>
      <c r="AE552" s="9" t="n"/>
      <c r="AF552" s="9" t="n"/>
      <c r="AG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9" t="n"/>
      <c r="AD553" s="9" t="n"/>
      <c r="AE553" s="9" t="n"/>
      <c r="AF553" s="9" t="n"/>
      <c r="AG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9" t="n"/>
      <c r="AD554" s="9" t="n"/>
      <c r="AE554" s="9" t="n"/>
      <c r="AF554" s="9" t="n"/>
      <c r="AG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9" t="n"/>
      <c r="AD555" s="9" t="n"/>
      <c r="AE555" s="9" t="n"/>
      <c r="AF555" s="9" t="n"/>
      <c r="AG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9" t="n"/>
      <c r="AD557" s="9" t="n"/>
      <c r="AE557" s="9" t="n"/>
      <c r="AF557" s="9" t="n"/>
      <c r="AG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9" t="n"/>
      <c r="AD559" s="9" t="n"/>
      <c r="AE559" s="9" t="n"/>
      <c r="AF559" s="9" t="n"/>
      <c r="AG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9" t="n"/>
      <c r="AD560" s="9" t="n"/>
      <c r="AE560" s="9" t="n"/>
      <c r="AF560" s="9" t="n"/>
      <c r="AG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9" t="n"/>
      <c r="AD561" s="9" t="n"/>
      <c r="AE561" s="9" t="n"/>
      <c r="AF561" s="9" t="n"/>
      <c r="AG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9" t="n"/>
      <c r="AD562" s="9" t="n"/>
      <c r="AE562" s="9" t="n"/>
      <c r="AF562" s="9" t="n"/>
      <c r="AG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9" t="n"/>
      <c r="AD563" s="9" t="n"/>
      <c r="AE563" s="9" t="n"/>
      <c r="AF563" s="9" t="n"/>
      <c r="AG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9" t="n"/>
      <c r="AD564" s="9" t="n"/>
      <c r="AE564" s="9" t="n"/>
      <c r="AF564" s="9" t="n"/>
      <c r="AG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9" t="n"/>
      <c r="AD565" s="9" t="n"/>
      <c r="AE565" s="9" t="n"/>
      <c r="AF565" s="9" t="n"/>
      <c r="AG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9" t="n"/>
      <c r="AD566" s="9" t="n"/>
      <c r="AE566" s="9" t="n"/>
      <c r="AF566" s="9" t="n"/>
      <c r="AG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9" t="n"/>
      <c r="AD567" s="9" t="n"/>
      <c r="AE567" s="9" t="n"/>
      <c r="AF567" s="9" t="n"/>
      <c r="AG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9" t="n"/>
      <c r="AD568" s="9" t="n"/>
      <c r="AE568" s="9" t="n"/>
      <c r="AF568" s="9" t="n"/>
      <c r="AG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9" t="n"/>
      <c r="AD570" s="9" t="n"/>
      <c r="AE570" s="9" t="n"/>
      <c r="AF570" s="9" t="n"/>
      <c r="AG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9" t="n"/>
      <c r="AD572" s="9" t="n"/>
      <c r="AE572" s="9" t="n"/>
      <c r="AF572" s="9" t="n"/>
      <c r="AG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9" t="n"/>
      <c r="AD573" s="9" t="n"/>
      <c r="AE573" s="9" t="n"/>
      <c r="AF573" s="9" t="n"/>
      <c r="AG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9" t="n"/>
      <c r="AD574" s="9" t="n"/>
      <c r="AE574" s="9" t="n"/>
      <c r="AF574" s="9" t="n"/>
      <c r="AG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9" t="n"/>
      <c r="AD575" s="9" t="n"/>
      <c r="AE575" s="9" t="n"/>
      <c r="AF575" s="9" t="n"/>
      <c r="AG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9" t="n"/>
      <c r="AD576" s="9" t="n"/>
      <c r="AE576" s="9" t="n"/>
      <c r="AF576" s="9" t="n"/>
      <c r="AG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9" t="n"/>
      <c r="AD577" s="9" t="n"/>
      <c r="AE577" s="9" t="n"/>
      <c r="AF577" s="9" t="n"/>
      <c r="AG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9" t="n"/>
      <c r="AD578" s="9" t="n"/>
      <c r="AE578" s="9" t="n"/>
      <c r="AF578" s="9" t="n"/>
      <c r="AG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9" t="n"/>
      <c r="AD579" s="9" t="n"/>
      <c r="AE579" s="9" t="n"/>
      <c r="AF579" s="9" t="n"/>
      <c r="AG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9" t="n"/>
      <c r="AD580" s="9" t="n"/>
      <c r="AE580" s="9" t="n"/>
      <c r="AF580" s="9" t="n"/>
      <c r="AG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9" t="n"/>
      <c r="AD581" s="9" t="n"/>
      <c r="AE581" s="9" t="n"/>
      <c r="AF581" s="9" t="n"/>
      <c r="AG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9" t="n"/>
      <c r="AD583" s="9" t="n"/>
      <c r="AE583" s="9" t="n"/>
      <c r="AF583" s="9" t="n"/>
      <c r="AG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9" t="n"/>
      <c r="AD585" s="9" t="n"/>
      <c r="AE585" s="9" t="n"/>
      <c r="AF585" s="9" t="n"/>
      <c r="AG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9" t="n"/>
      <c r="AD586" s="9" t="n"/>
      <c r="AE586" s="9" t="n"/>
      <c r="AF586" s="9" t="n"/>
      <c r="AG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9" t="n"/>
      <c r="AD587" s="9" t="n"/>
      <c r="AE587" s="9" t="n"/>
      <c r="AF587" s="9" t="n"/>
      <c r="AG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9" t="n"/>
      <c r="AD588" s="9" t="n"/>
      <c r="AE588" s="9" t="n"/>
      <c r="AF588" s="9" t="n"/>
      <c r="AG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9" t="n"/>
      <c r="AD589" s="9" t="n"/>
      <c r="AE589" s="9" t="n"/>
      <c r="AF589" s="9" t="n"/>
      <c r="AG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9" t="n"/>
      <c r="AD590" s="9" t="n"/>
      <c r="AE590" s="9" t="n"/>
      <c r="AF590" s="9" t="n"/>
      <c r="AG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9" t="n"/>
      <c r="AD591" s="9" t="n"/>
      <c r="AE591" s="9" t="n"/>
      <c r="AF591" s="9" t="n"/>
      <c r="AG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9" t="n"/>
      <c r="AD592" s="9" t="n"/>
      <c r="AE592" s="9" t="n"/>
      <c r="AF592" s="9" t="n"/>
      <c r="AG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9" t="n"/>
      <c r="AD593" s="9" t="n"/>
      <c r="AE593" s="9" t="n"/>
      <c r="AF593" s="9" t="n"/>
      <c r="AG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9" t="n"/>
      <c r="AD594" s="9" t="n"/>
      <c r="AE594" s="9" t="n"/>
      <c r="AF594" s="9" t="n"/>
      <c r="AG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9" t="n"/>
      <c r="AD595" s="9" t="n"/>
      <c r="AE595" s="9" t="n"/>
      <c r="AF595" s="9" t="n"/>
      <c r="AG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9" t="n"/>
      <c r="AD596" s="9" t="n"/>
      <c r="AE596" s="9" t="n"/>
      <c r="AF596" s="9" t="n"/>
      <c r="AG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9" t="n"/>
      <c r="AD597" s="9" t="n"/>
      <c r="AE597" s="9" t="n"/>
      <c r="AF597" s="9" t="n"/>
      <c r="AG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9" t="n"/>
      <c r="AD598" s="9" t="n"/>
      <c r="AE598" s="9" t="n"/>
      <c r="AF598" s="9" t="n"/>
      <c r="AG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9" t="n"/>
      <c r="AD599" s="9" t="n"/>
      <c r="AE599" s="9" t="n"/>
      <c r="AF599" s="9" t="n"/>
      <c r="AG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9" t="n"/>
      <c r="AD600" s="9" t="n"/>
      <c r="AE600" s="9" t="n"/>
      <c r="AF600" s="9" t="n"/>
      <c r="AG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9" t="n"/>
      <c r="AD601" s="9" t="n"/>
      <c r="AE601" s="9" t="n"/>
      <c r="AF601" s="9" t="n"/>
      <c r="AG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9" t="n"/>
      <c r="AD602" s="9" t="n"/>
      <c r="AE602" s="9" t="n"/>
      <c r="AF602" s="9" t="n"/>
      <c r="AG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9" t="n"/>
      <c r="AD603" s="9" t="n"/>
      <c r="AE603" s="9" t="n"/>
      <c r="AF603" s="9" t="n"/>
      <c r="AG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9" t="n"/>
      <c r="AD604" s="9" t="n"/>
      <c r="AE604" s="9" t="n"/>
      <c r="AF604" s="9" t="n"/>
      <c r="AG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9" t="n"/>
      <c r="AD605" s="9" t="n"/>
      <c r="AE605" s="9" t="n"/>
      <c r="AF605" s="9" t="n"/>
      <c r="AG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9" t="n"/>
      <c r="AD606" s="9" t="n"/>
      <c r="AE606" s="9" t="n"/>
      <c r="AF606" s="9" t="n"/>
      <c r="AG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9" t="n"/>
      <c r="AD607" s="9" t="n"/>
      <c r="AE607" s="9" t="n"/>
      <c r="AF607" s="9" t="n"/>
      <c r="AG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9" t="n"/>
      <c r="AD608" s="9" t="n"/>
      <c r="AE608" s="9" t="n"/>
      <c r="AF608" s="9" t="n"/>
      <c r="AG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9" t="n"/>
      <c r="AD609" s="9" t="n"/>
      <c r="AE609" s="9" t="n"/>
      <c r="AF609" s="9" t="n"/>
      <c r="AG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9" t="n"/>
      <c r="AD610" s="9" t="n"/>
      <c r="AE610" s="9" t="n"/>
      <c r="AF610" s="9" t="n"/>
      <c r="AG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9" t="n"/>
      <c r="AD611" s="9" t="n"/>
      <c r="AE611" s="9" t="n"/>
      <c r="AF611" s="9" t="n"/>
      <c r="AG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9" t="n"/>
      <c r="AD612" s="9" t="n"/>
      <c r="AE612" s="9" t="n"/>
      <c r="AF612" s="9" t="n"/>
      <c r="AG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9" t="n"/>
      <c r="AD613" s="9" t="n"/>
      <c r="AE613" s="9" t="n"/>
      <c r="AF613" s="9" t="n"/>
      <c r="AG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9" t="n"/>
      <c r="AD614" s="9" t="n"/>
      <c r="AE614" s="9" t="n"/>
      <c r="AF614" s="9" t="n"/>
      <c r="AG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9" t="n"/>
      <c r="AD615" s="9" t="n"/>
      <c r="AE615" s="9" t="n"/>
      <c r="AF615" s="9" t="n"/>
      <c r="AG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9" t="n"/>
      <c r="AD616" s="9" t="n"/>
      <c r="AE616" s="9" t="n"/>
      <c r="AF616" s="9" t="n"/>
      <c r="AG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9" t="n"/>
      <c r="AD617" s="9" t="n"/>
      <c r="AE617" s="9" t="n"/>
      <c r="AF617" s="9" t="n"/>
      <c r="AG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9" t="n"/>
      <c r="AD618" s="9" t="n"/>
      <c r="AE618" s="9" t="n"/>
      <c r="AF618" s="9" t="n"/>
      <c r="AG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9" t="n"/>
      <c r="AD619" s="9" t="n"/>
      <c r="AE619" s="9" t="n"/>
      <c r="AF619" s="9" t="n"/>
      <c r="AG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9" t="n"/>
      <c r="AD620" s="9" t="n"/>
      <c r="AE620" s="9" t="n"/>
      <c r="AF620" s="9" t="n"/>
      <c r="AG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9" t="n"/>
      <c r="AD621" s="9" t="n"/>
      <c r="AE621" s="9" t="n"/>
      <c r="AF621" s="9" t="n"/>
      <c r="AG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9" t="n"/>
      <c r="AD622" s="9" t="n"/>
      <c r="AE622" s="9" t="n"/>
      <c r="AF622" s="9" t="n"/>
      <c r="AG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9" t="n"/>
      <c r="AD623" s="9" t="n"/>
      <c r="AE623" s="9" t="n"/>
      <c r="AF623" s="9" t="n"/>
      <c r="AG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9" t="n"/>
      <c r="AD624" s="9" t="n"/>
      <c r="AE624" s="9" t="n"/>
      <c r="AF624" s="9" t="n"/>
      <c r="AG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9" t="n"/>
      <c r="AD625" s="9" t="n"/>
      <c r="AE625" s="9" t="n"/>
      <c r="AF625" s="9" t="n"/>
      <c r="AG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9" t="n"/>
      <c r="AD626" s="9" t="n"/>
      <c r="AE626" s="9" t="n"/>
      <c r="AF626" s="9" t="n"/>
      <c r="AG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9" t="n"/>
      <c r="AD627" s="9" t="n"/>
      <c r="AE627" s="9" t="n"/>
      <c r="AF627" s="9" t="n"/>
      <c r="AG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9" t="n"/>
      <c r="AD628" s="9" t="n"/>
      <c r="AE628" s="9" t="n"/>
      <c r="AF628" s="9" t="n"/>
      <c r="AG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9" t="n"/>
      <c r="AD629" s="9" t="n"/>
      <c r="AE629" s="9" t="n"/>
      <c r="AF629" s="9" t="n"/>
      <c r="AG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9" t="n"/>
      <c r="AD630" s="9" t="n"/>
      <c r="AE630" s="9" t="n"/>
      <c r="AF630" s="9" t="n"/>
      <c r="AG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9" t="n"/>
      <c r="AD631" s="9" t="n"/>
      <c r="AE631" s="9" t="n"/>
      <c r="AF631" s="9" t="n"/>
      <c r="AG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9" t="n"/>
      <c r="AD632" s="9" t="n"/>
      <c r="AE632" s="9" t="n"/>
      <c r="AF632" s="9" t="n"/>
      <c r="AG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9" t="n"/>
      <c r="AD633" s="9" t="n"/>
      <c r="AE633" s="9" t="n"/>
      <c r="AF633" s="9" t="n"/>
      <c r="AG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9" t="n"/>
      <c r="AD634" s="9" t="n"/>
      <c r="AE634" s="9" t="n"/>
      <c r="AF634" s="9" t="n"/>
      <c r="AG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9" t="n"/>
      <c r="AD635" s="9" t="n"/>
      <c r="AE635" s="9" t="n"/>
      <c r="AF635" s="9" t="n"/>
      <c r="AG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9" t="n"/>
      <c r="AD636" s="9" t="n"/>
      <c r="AE636" s="9" t="n"/>
      <c r="AF636" s="9" t="n"/>
      <c r="AG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9" t="n"/>
      <c r="AD637" s="9" t="n"/>
      <c r="AE637" s="9" t="n"/>
      <c r="AF637" s="9" t="n"/>
      <c r="AG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9" t="n"/>
      <c r="AD638" s="9" t="n"/>
      <c r="AE638" s="9" t="n"/>
      <c r="AF638" s="9" t="n"/>
      <c r="AG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9" t="n"/>
      <c r="AD639" s="9" t="n"/>
      <c r="AE639" s="9" t="n"/>
      <c r="AF639" s="9" t="n"/>
      <c r="AG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9" t="n"/>
      <c r="AD640" s="9" t="n"/>
      <c r="AE640" s="9" t="n"/>
      <c r="AF640" s="9" t="n"/>
      <c r="AG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9" t="n"/>
      <c r="AD641" s="9" t="n"/>
      <c r="AE641" s="9" t="n"/>
      <c r="AF641" s="9" t="n"/>
      <c r="AG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9" t="n"/>
      <c r="AD642" s="9" t="n"/>
      <c r="AE642" s="9" t="n"/>
      <c r="AF642" s="9" t="n"/>
      <c r="AG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9" t="n"/>
      <c r="AD643" s="9" t="n"/>
      <c r="AE643" s="9" t="n"/>
      <c r="AF643" s="9" t="n"/>
      <c r="AG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9" t="n"/>
      <c r="AD644" s="9" t="n"/>
      <c r="AE644" s="9" t="n"/>
      <c r="AF644" s="9" t="n"/>
      <c r="AG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9" t="n"/>
      <c r="AD645" s="9" t="n"/>
      <c r="AE645" s="9" t="n"/>
      <c r="AF645" s="9" t="n"/>
      <c r="AG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9" t="n"/>
      <c r="AD646" s="9" t="n"/>
      <c r="AE646" s="9" t="n"/>
      <c r="AF646" s="9" t="n"/>
      <c r="AG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9" t="n"/>
      <c r="AD647" s="9" t="n"/>
      <c r="AE647" s="9" t="n"/>
      <c r="AF647" s="9" t="n"/>
      <c r="AG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9" t="n"/>
      <c r="AD648" s="9" t="n"/>
      <c r="AE648" s="9" t="n"/>
      <c r="AF648" s="9" t="n"/>
      <c r="AG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9" t="n"/>
      <c r="AD649" s="9" t="n"/>
      <c r="AE649" s="9" t="n"/>
      <c r="AF649" s="9" t="n"/>
      <c r="AG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9" t="n"/>
      <c r="AD650" s="9" t="n"/>
      <c r="AE650" s="9" t="n"/>
      <c r="AF650" s="9" t="n"/>
      <c r="AG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9" t="n"/>
      <c r="AD651" s="9" t="n"/>
      <c r="AE651" s="9" t="n"/>
      <c r="AF651" s="9" t="n"/>
      <c r="AG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9" t="n"/>
      <c r="AD652" s="9" t="n"/>
      <c r="AE652" s="9" t="n"/>
      <c r="AF652" s="9" t="n"/>
      <c r="AG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9" t="n"/>
      <c r="AD653" s="9" t="n"/>
      <c r="AE653" s="9" t="n"/>
      <c r="AF653" s="9" t="n"/>
      <c r="AG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9" t="n"/>
      <c r="AD654" s="9" t="n"/>
      <c r="AE654" s="9" t="n"/>
      <c r="AF654" s="9" t="n"/>
      <c r="AG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9" t="n"/>
      <c r="AD655" s="9" t="n"/>
      <c r="AE655" s="9" t="n"/>
      <c r="AF655" s="9" t="n"/>
      <c r="AG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9" t="n"/>
      <c r="AD656" s="9" t="n"/>
      <c r="AE656" s="9" t="n"/>
      <c r="AF656" s="9" t="n"/>
      <c r="AG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9" t="n"/>
      <c r="AD657" s="9" t="n"/>
      <c r="AE657" s="9" t="n"/>
      <c r="AF657" s="9" t="n"/>
      <c r="AG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9" t="n"/>
      <c r="AD658" s="9" t="n"/>
      <c r="AE658" s="9" t="n"/>
      <c r="AF658" s="9" t="n"/>
      <c r="AG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9" t="n"/>
      <c r="AD659" s="9" t="n"/>
      <c r="AE659" s="9" t="n"/>
      <c r="AF659" s="9" t="n"/>
      <c r="AG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9" t="n"/>
      <c r="AD660" s="9" t="n"/>
      <c r="AE660" s="9" t="n"/>
      <c r="AF660" s="9" t="n"/>
      <c r="AG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9" t="n"/>
      <c r="AD661" s="9" t="n"/>
      <c r="AE661" s="9" t="n"/>
      <c r="AF661" s="9" t="n"/>
      <c r="AG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9" t="n"/>
      <c r="AD662" s="9" t="n"/>
      <c r="AE662" s="9" t="n"/>
      <c r="AF662" s="9" t="n"/>
      <c r="AG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9" t="n"/>
      <c r="AD663" s="9" t="n"/>
      <c r="AE663" s="9" t="n"/>
      <c r="AF663" s="9" t="n"/>
      <c r="AG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9" t="n"/>
      <c r="AD664" s="9" t="n"/>
      <c r="AE664" s="9" t="n"/>
      <c r="AF664" s="9" t="n"/>
      <c r="AG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9" t="n"/>
      <c r="AD665" s="9" t="n"/>
      <c r="AE665" s="9" t="n"/>
      <c r="AF665" s="9" t="n"/>
      <c r="AG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9" t="n"/>
      <c r="AD666" s="9" t="n"/>
      <c r="AE666" s="9" t="n"/>
      <c r="AF666" s="9" t="n"/>
      <c r="AG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9" t="n"/>
      <c r="AD667" s="9" t="n"/>
      <c r="AE667" s="9" t="n"/>
      <c r="AF667" s="9" t="n"/>
      <c r="AG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9" t="n"/>
      <c r="AD668" s="9" t="n"/>
      <c r="AE668" s="9" t="n"/>
      <c r="AF668" s="9" t="n"/>
      <c r="AG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9" t="n"/>
      <c r="AD669" s="9" t="n"/>
      <c r="AE669" s="9" t="n"/>
      <c r="AF669" s="9" t="n"/>
      <c r="AG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9" t="n"/>
      <c r="AD670" s="9" t="n"/>
      <c r="AE670" s="9" t="n"/>
      <c r="AF670" s="9" t="n"/>
      <c r="AG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9" t="n"/>
      <c r="AD671" s="9" t="n"/>
      <c r="AE671" s="9" t="n"/>
      <c r="AF671" s="9" t="n"/>
      <c r="AG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9" t="n"/>
      <c r="AD672" s="9" t="n"/>
      <c r="AE672" s="9" t="n"/>
      <c r="AF672" s="9" t="n"/>
      <c r="AG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9" t="n"/>
      <c r="AD673" s="9" t="n"/>
      <c r="AE673" s="9" t="n"/>
      <c r="AF673" s="9" t="n"/>
      <c r="AG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9" t="n"/>
      <c r="AD674" s="9" t="n"/>
      <c r="AE674" s="9" t="n"/>
      <c r="AF674" s="9" t="n"/>
      <c r="AG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9" t="n"/>
      <c r="AD675" s="9" t="n"/>
      <c r="AE675" s="9" t="n"/>
      <c r="AF675" s="9" t="n"/>
      <c r="AG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9" t="n"/>
      <c r="AD676" s="9" t="n"/>
      <c r="AE676" s="9" t="n"/>
      <c r="AF676" s="9" t="n"/>
      <c r="AG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9" t="n"/>
      <c r="AD677" s="9" t="n"/>
      <c r="AE677" s="9" t="n"/>
      <c r="AF677" s="9" t="n"/>
      <c r="AG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9" t="n"/>
      <c r="AD678" s="9" t="n"/>
      <c r="AE678" s="9" t="n"/>
      <c r="AF678" s="9" t="n"/>
      <c r="AG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9" t="n"/>
      <c r="AD679" s="9" t="n"/>
      <c r="AE679" s="9" t="n"/>
      <c r="AF679" s="9" t="n"/>
      <c r="AG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9" t="n"/>
      <c r="AD680" s="9" t="n"/>
      <c r="AE680" s="9" t="n"/>
      <c r="AF680" s="9" t="n"/>
      <c r="AG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9" t="n"/>
      <c r="AD681" s="9" t="n"/>
      <c r="AE681" s="9" t="n"/>
      <c r="AF681" s="9" t="n"/>
      <c r="AG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9" t="n"/>
      <c r="AD682" s="9" t="n"/>
      <c r="AE682" s="9" t="n"/>
      <c r="AF682" s="9" t="n"/>
      <c r="AG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9" t="n"/>
      <c r="AD683" s="9" t="n"/>
      <c r="AE683" s="9" t="n"/>
      <c r="AF683" s="9" t="n"/>
      <c r="AG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9" t="n"/>
      <c r="AD684" s="9" t="n"/>
      <c r="AE684" s="9" t="n"/>
      <c r="AF684" s="9" t="n"/>
      <c r="AG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9" t="n"/>
      <c r="AD685" s="9" t="n"/>
      <c r="AE685" s="9" t="n"/>
      <c r="AF685" s="9" t="n"/>
      <c r="AG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9" t="n"/>
      <c r="AD686" s="9" t="n"/>
      <c r="AE686" s="9" t="n"/>
      <c r="AF686" s="9" t="n"/>
      <c r="AG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9" t="n"/>
      <c r="AD687" s="9" t="n"/>
      <c r="AE687" s="9" t="n"/>
      <c r="AF687" s="9" t="n"/>
      <c r="AG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9" t="n"/>
      <c r="AD688" s="9" t="n"/>
      <c r="AE688" s="9" t="n"/>
      <c r="AF688" s="9" t="n"/>
      <c r="AG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9" t="n"/>
      <c r="AD689" s="9" t="n"/>
      <c r="AE689" s="9" t="n"/>
      <c r="AF689" s="9" t="n"/>
      <c r="AG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9" t="n"/>
      <c r="AD690" s="9" t="n"/>
      <c r="AE690" s="9" t="n"/>
      <c r="AF690" s="9" t="n"/>
      <c r="AG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9" t="n"/>
      <c r="AD691" s="9" t="n"/>
      <c r="AE691" s="9" t="n"/>
      <c r="AF691" s="9" t="n"/>
      <c r="AG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9" t="n"/>
      <c r="AD692" s="9" t="n"/>
      <c r="AE692" s="9" t="n"/>
      <c r="AF692" s="9" t="n"/>
      <c r="AG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9" t="n"/>
      <c r="AD693" s="9" t="n"/>
      <c r="AE693" s="9" t="n"/>
      <c r="AF693" s="9" t="n"/>
      <c r="AG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9" t="n"/>
      <c r="AD694" s="9" t="n"/>
      <c r="AE694" s="9" t="n"/>
      <c r="AF694" s="9" t="n"/>
      <c r="AG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9" t="n"/>
      <c r="AD695" s="9" t="n"/>
      <c r="AE695" s="9" t="n"/>
      <c r="AF695" s="9" t="n"/>
      <c r="AG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9" t="n"/>
      <c r="AD696" s="9" t="n"/>
      <c r="AE696" s="9" t="n"/>
      <c r="AF696" s="9" t="n"/>
      <c r="AG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9" t="n"/>
      <c r="AD697" s="9" t="n"/>
      <c r="AE697" s="9" t="n"/>
      <c r="AF697" s="9" t="n"/>
      <c r="AG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9" t="n"/>
      <c r="AD698" s="9" t="n"/>
      <c r="AE698" s="9" t="n"/>
      <c r="AF698" s="9" t="n"/>
      <c r="AG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9" t="n"/>
      <c r="AD699" s="9" t="n"/>
      <c r="AE699" s="9" t="n"/>
      <c r="AF699" s="9" t="n"/>
      <c r="AG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9" t="n"/>
      <c r="AD700" s="9" t="n"/>
      <c r="AE700" s="9" t="n"/>
      <c r="AF700" s="9" t="n"/>
      <c r="AG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9" t="n"/>
      <c r="AD701" s="9" t="n"/>
      <c r="AE701" s="9" t="n"/>
      <c r="AF701" s="9" t="n"/>
      <c r="AG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9" t="n"/>
      <c r="AD702" s="9" t="n"/>
      <c r="AE702" s="9" t="n"/>
      <c r="AF702" s="9" t="n"/>
      <c r="AG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9" t="n"/>
      <c r="AD703" s="9" t="n"/>
      <c r="AE703" s="9" t="n"/>
      <c r="AF703" s="9" t="n"/>
      <c r="AG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9" t="n"/>
      <c r="AD704" s="9" t="n"/>
      <c r="AE704" s="9" t="n"/>
      <c r="AF704" s="9" t="n"/>
      <c r="AG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9" t="n"/>
      <c r="AD705" s="9" t="n"/>
      <c r="AE705" s="9" t="n"/>
      <c r="AF705" s="9" t="n"/>
      <c r="AG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9" t="n"/>
      <c r="AD706" s="9" t="n"/>
      <c r="AE706" s="9" t="n"/>
      <c r="AF706" s="9" t="n"/>
      <c r="AG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9" t="n"/>
      <c r="AD707" s="9" t="n"/>
      <c r="AE707" s="9" t="n"/>
      <c r="AF707" s="9" t="n"/>
      <c r="AG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9" t="n"/>
      <c r="AD708" s="9" t="n"/>
      <c r="AE708" s="9" t="n"/>
      <c r="AF708" s="9" t="n"/>
      <c r="AG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9" t="n"/>
      <c r="AD709" s="9" t="n"/>
      <c r="AE709" s="9" t="n"/>
      <c r="AF709" s="9" t="n"/>
      <c r="AG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9" t="n"/>
      <c r="AD710" s="9" t="n"/>
      <c r="AE710" s="9" t="n"/>
      <c r="AF710" s="9" t="n"/>
      <c r="AG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9" t="n"/>
      <c r="AD711" s="9" t="n"/>
      <c r="AE711" s="9" t="n"/>
      <c r="AF711" s="9" t="n"/>
      <c r="AG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9" t="n"/>
      <c r="AD712" s="9" t="n"/>
      <c r="AE712" s="9" t="n"/>
      <c r="AF712" s="9" t="n"/>
      <c r="AG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9" t="n"/>
      <c r="AD713" s="9" t="n"/>
      <c r="AE713" s="9" t="n"/>
      <c r="AF713" s="9" t="n"/>
      <c r="AG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9" t="n"/>
      <c r="AD714" s="9" t="n"/>
      <c r="AE714" s="9" t="n"/>
      <c r="AF714" s="9" t="n"/>
      <c r="AG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9" t="n"/>
      <c r="AD715" s="9" t="n"/>
      <c r="AE715" s="9" t="n"/>
      <c r="AF715" s="9" t="n"/>
      <c r="AG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9" t="n"/>
      <c r="AD716" s="9" t="n"/>
      <c r="AE716" s="9" t="n"/>
      <c r="AF716" s="9" t="n"/>
      <c r="AG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9" t="n"/>
      <c r="AD717" s="9" t="n"/>
      <c r="AE717" s="9" t="n"/>
      <c r="AF717" s="9" t="n"/>
      <c r="AG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9" t="n"/>
      <c r="AD718" s="9" t="n"/>
      <c r="AE718" s="9" t="n"/>
      <c r="AF718" s="9" t="n"/>
      <c r="AG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9" t="n"/>
      <c r="AD719" s="9" t="n"/>
      <c r="AE719" s="9" t="n"/>
      <c r="AF719" s="9" t="n"/>
      <c r="AG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9" t="n"/>
      <c r="AD720" s="9" t="n"/>
      <c r="AE720" s="9" t="n"/>
      <c r="AF720" s="9" t="n"/>
      <c r="AG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9" t="n"/>
      <c r="AD721" s="9" t="n"/>
      <c r="AE721" s="9" t="n"/>
      <c r="AF721" s="9" t="n"/>
      <c r="AG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9" t="n"/>
      <c r="AD722" s="9" t="n"/>
      <c r="AE722" s="9" t="n"/>
      <c r="AF722" s="9" t="n"/>
      <c r="AG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9" t="n"/>
      <c r="AD723" s="9" t="n"/>
      <c r="AE723" s="9" t="n"/>
      <c r="AF723" s="9" t="n"/>
      <c r="AG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9" t="n"/>
      <c r="AD724" s="9" t="n"/>
      <c r="AE724" s="9" t="n"/>
      <c r="AF724" s="9" t="n"/>
      <c r="AG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9" t="n"/>
      <c r="AD725" s="9" t="n"/>
      <c r="AE725" s="9" t="n"/>
      <c r="AF725" s="9" t="n"/>
      <c r="AG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9" t="n"/>
      <c r="AD726" s="9" t="n"/>
      <c r="AE726" s="9" t="n"/>
      <c r="AF726" s="9" t="n"/>
      <c r="AG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9" t="n"/>
      <c r="AD727" s="9" t="n"/>
      <c r="AE727" s="9" t="n"/>
      <c r="AF727" s="9" t="n"/>
      <c r="AG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9" t="n"/>
      <c r="AD728" s="9" t="n"/>
      <c r="AE728" s="9" t="n"/>
      <c r="AF728" s="9" t="n"/>
      <c r="AG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9" t="n"/>
      <c r="AD729" s="9" t="n"/>
      <c r="AE729" s="9" t="n"/>
      <c r="AF729" s="9" t="n"/>
      <c r="AG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9" t="n"/>
      <c r="AD730" s="9" t="n"/>
      <c r="AE730" s="9" t="n"/>
      <c r="AF730" s="9" t="n"/>
      <c r="AG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9" t="n"/>
      <c r="AD731" s="9" t="n"/>
      <c r="AE731" s="9" t="n"/>
      <c r="AF731" s="9" t="n"/>
      <c r="AG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9" t="n"/>
      <c r="AD732" s="9" t="n"/>
      <c r="AE732" s="9" t="n"/>
      <c r="AF732" s="9" t="n"/>
      <c r="AG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9" t="n"/>
      <c r="AD733" s="9" t="n"/>
      <c r="AE733" s="9" t="n"/>
      <c r="AF733" s="9" t="n"/>
      <c r="AG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9" t="n"/>
      <c r="AD734" s="9" t="n"/>
      <c r="AE734" s="9" t="n"/>
      <c r="AF734" s="9" t="n"/>
      <c r="AG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9" t="n"/>
      <c r="AD735" s="9" t="n"/>
      <c r="AE735" s="9" t="n"/>
      <c r="AF735" s="9" t="n"/>
      <c r="AG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9" t="n"/>
      <c r="AD736" s="9" t="n"/>
      <c r="AE736" s="9" t="n"/>
      <c r="AF736" s="9" t="n"/>
      <c r="AG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9" t="n"/>
      <c r="AD737" s="9" t="n"/>
      <c r="AE737" s="9" t="n"/>
      <c r="AF737" s="9" t="n"/>
      <c r="AG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9" t="n"/>
      <c r="AD738" s="9" t="n"/>
      <c r="AE738" s="9" t="n"/>
      <c r="AF738" s="9" t="n"/>
      <c r="AG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9" t="n"/>
      <c r="AD739" s="9" t="n"/>
      <c r="AE739" s="9" t="n"/>
      <c r="AF739" s="9" t="n"/>
      <c r="AG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9" t="n"/>
      <c r="AD740" s="9" t="n"/>
      <c r="AE740" s="9" t="n"/>
      <c r="AF740" s="9" t="n"/>
      <c r="AG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9" t="n"/>
      <c r="AD741" s="9" t="n"/>
      <c r="AE741" s="9" t="n"/>
      <c r="AF741" s="9" t="n"/>
      <c r="AG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9" t="n"/>
      <c r="AD742" s="9" t="n"/>
      <c r="AE742" s="9" t="n"/>
      <c r="AF742" s="9" t="n"/>
      <c r="AG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9" t="n"/>
      <c r="AD743" s="9" t="n"/>
      <c r="AE743" s="9" t="n"/>
      <c r="AF743" s="9" t="n"/>
      <c r="AG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9" t="n"/>
      <c r="AD744" s="9" t="n"/>
      <c r="AE744" s="9" t="n"/>
      <c r="AF744" s="9" t="n"/>
      <c r="AG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9" t="n"/>
      <c r="AD745" s="9" t="n"/>
      <c r="AE745" s="9" t="n"/>
      <c r="AF745" s="9" t="n"/>
      <c r="AG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9" t="n"/>
      <c r="AD746" s="9" t="n"/>
      <c r="AE746" s="9" t="n"/>
      <c r="AF746" s="9" t="n"/>
      <c r="AG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9" t="n"/>
      <c r="AD747" s="9" t="n"/>
      <c r="AE747" s="9" t="n"/>
      <c r="AF747" s="9" t="n"/>
      <c r="AG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9" t="n"/>
      <c r="AD748" s="9" t="n"/>
      <c r="AE748" s="9" t="n"/>
      <c r="AF748" s="9" t="n"/>
      <c r="AG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9" t="n"/>
      <c r="AD749" s="9" t="n"/>
      <c r="AE749" s="9" t="n"/>
      <c r="AF749" s="9" t="n"/>
      <c r="AG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9" t="n"/>
      <c r="AD750" s="9" t="n"/>
      <c r="AE750" s="9" t="n"/>
      <c r="AF750" s="9" t="n"/>
      <c r="AG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9" t="n"/>
      <c r="AD751" s="9" t="n"/>
      <c r="AE751" s="9" t="n"/>
      <c r="AF751" s="9" t="n"/>
      <c r="AG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9" t="n"/>
      <c r="AD752" s="9" t="n"/>
      <c r="AE752" s="9" t="n"/>
      <c r="AF752" s="9" t="n"/>
      <c r="AG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9" t="n"/>
      <c r="AD753" s="9" t="n"/>
      <c r="AE753" s="9" t="n"/>
      <c r="AF753" s="9" t="n"/>
      <c r="AG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9" t="n"/>
      <c r="AD754" s="9" t="n"/>
      <c r="AE754" s="9" t="n"/>
      <c r="AF754" s="9" t="n"/>
      <c r="AG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9" t="n"/>
      <c r="AD755" s="9" t="n"/>
      <c r="AE755" s="9" t="n"/>
      <c r="AF755" s="9" t="n"/>
      <c r="AG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9" t="n"/>
      <c r="AD756" s="9" t="n"/>
      <c r="AE756" s="9" t="n"/>
      <c r="AF756" s="9" t="n"/>
      <c r="AG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9" t="n"/>
      <c r="AD757" s="9" t="n"/>
      <c r="AE757" s="9" t="n"/>
      <c r="AF757" s="9" t="n"/>
      <c r="AG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9" t="n"/>
      <c r="AD758" s="9" t="n"/>
      <c r="AE758" s="9" t="n"/>
      <c r="AF758" s="9" t="n"/>
      <c r="AG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9" t="n"/>
      <c r="AD759" s="9" t="n"/>
      <c r="AE759" s="9" t="n"/>
      <c r="AF759" s="9" t="n"/>
      <c r="AG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9" t="n"/>
      <c r="AD760" s="9" t="n"/>
      <c r="AE760" s="9" t="n"/>
      <c r="AF760" s="9" t="n"/>
      <c r="AG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9" t="n"/>
      <c r="AD761" s="9" t="n"/>
      <c r="AE761" s="9" t="n"/>
      <c r="AF761" s="9" t="n"/>
      <c r="AG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9" t="n"/>
      <c r="AD762" s="9" t="n"/>
      <c r="AE762" s="9" t="n"/>
      <c r="AF762" s="9" t="n"/>
      <c r="AG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9" t="n"/>
      <c r="AD763" s="9" t="n"/>
      <c r="AE763" s="9" t="n"/>
      <c r="AF763" s="9" t="n"/>
      <c r="AG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9" t="n"/>
      <c r="AD764" s="9" t="n"/>
      <c r="AE764" s="9" t="n"/>
      <c r="AF764" s="9" t="n"/>
      <c r="AG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9" t="n"/>
      <c r="AD765" s="9" t="n"/>
      <c r="AE765" s="9" t="n"/>
      <c r="AF765" s="9" t="n"/>
      <c r="AG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9" t="n"/>
      <c r="AD766" s="9" t="n"/>
      <c r="AE766" s="9" t="n"/>
      <c r="AF766" s="9" t="n"/>
      <c r="AG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9" t="n"/>
      <c r="AD767" s="9" t="n"/>
      <c r="AE767" s="9" t="n"/>
      <c r="AF767" s="9" t="n"/>
      <c r="AG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9" t="n"/>
      <c r="AD768" s="9" t="n"/>
      <c r="AE768" s="9" t="n"/>
      <c r="AF768" s="9" t="n"/>
      <c r="AG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9" t="n"/>
      <c r="AD769" s="9" t="n"/>
      <c r="AE769" s="9" t="n"/>
      <c r="AF769" s="9" t="n"/>
      <c r="AG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9" t="n"/>
      <c r="AD770" s="9" t="n"/>
      <c r="AE770" s="9" t="n"/>
      <c r="AF770" s="9" t="n"/>
      <c r="AG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9" t="n"/>
      <c r="AD771" s="9" t="n"/>
      <c r="AE771" s="9" t="n"/>
      <c r="AF771" s="9" t="n"/>
      <c r="AG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9" t="n"/>
      <c r="AD772" s="9" t="n"/>
      <c r="AE772" s="9" t="n"/>
      <c r="AF772" s="9" t="n"/>
      <c r="AG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9" t="n"/>
      <c r="AD773" s="9" t="n"/>
      <c r="AE773" s="9" t="n"/>
      <c r="AF773" s="9" t="n"/>
      <c r="AG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9" t="n"/>
      <c r="AD774" s="9" t="n"/>
      <c r="AE774" s="9" t="n"/>
      <c r="AF774" s="9" t="n"/>
      <c r="AG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9" t="n"/>
      <c r="AD775" s="9" t="n"/>
      <c r="AE775" s="9" t="n"/>
      <c r="AF775" s="9" t="n"/>
      <c r="AG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9" t="n"/>
      <c r="AD776" s="9" t="n"/>
      <c r="AE776" s="9" t="n"/>
      <c r="AF776" s="9" t="n"/>
      <c r="AG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9" t="n"/>
      <c r="AD777" s="9" t="n"/>
      <c r="AE777" s="9" t="n"/>
      <c r="AF777" s="9" t="n"/>
      <c r="AG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9" t="n"/>
      <c r="AD778" s="9" t="n"/>
      <c r="AE778" s="9" t="n"/>
      <c r="AF778" s="9" t="n"/>
      <c r="AG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9" t="n"/>
      <c r="AD779" s="9" t="n"/>
      <c r="AE779" s="9" t="n"/>
      <c r="AF779" s="9" t="n"/>
      <c r="AG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9" t="n"/>
      <c r="AD780" s="9" t="n"/>
      <c r="AE780" s="9" t="n"/>
      <c r="AF780" s="9" t="n"/>
      <c r="AG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9" t="n"/>
      <c r="AD781" s="9" t="n"/>
      <c r="AE781" s="9" t="n"/>
      <c r="AF781" s="9" t="n"/>
      <c r="AG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9" t="n"/>
      <c r="AD782" s="9" t="n"/>
      <c r="AE782" s="9" t="n"/>
      <c r="AF782" s="9" t="n"/>
      <c r="AG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9" t="n"/>
      <c r="AD783" s="9" t="n"/>
      <c r="AE783" s="9" t="n"/>
      <c r="AF783" s="9" t="n"/>
      <c r="AG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9" t="n"/>
      <c r="AD784" s="9" t="n"/>
      <c r="AE784" s="9" t="n"/>
      <c r="AF784" s="9" t="n"/>
      <c r="AG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9" t="n"/>
      <c r="AD785" s="9" t="n"/>
      <c r="AE785" s="9" t="n"/>
      <c r="AF785" s="9" t="n"/>
      <c r="AG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9" t="n"/>
      <c r="AD786" s="9" t="n"/>
      <c r="AE786" s="9" t="n"/>
      <c r="AF786" s="9" t="n"/>
      <c r="AG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9" t="n"/>
      <c r="AD787" s="9" t="n"/>
      <c r="AE787" s="9" t="n"/>
      <c r="AF787" s="9" t="n"/>
      <c r="AG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9" t="n"/>
      <c r="AD788" s="9" t="n"/>
      <c r="AE788" s="9" t="n"/>
      <c r="AF788" s="9" t="n"/>
      <c r="AG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9" t="n"/>
      <c r="AD789" s="9" t="n"/>
      <c r="AE789" s="9" t="n"/>
      <c r="AF789" s="9" t="n"/>
      <c r="AG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9" t="n"/>
      <c r="AD790" s="9" t="n"/>
      <c r="AE790" s="9" t="n"/>
      <c r="AF790" s="9" t="n"/>
      <c r="AG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9" t="n"/>
      <c r="AD791" s="9" t="n"/>
      <c r="AE791" s="9" t="n"/>
      <c r="AF791" s="9" t="n"/>
      <c r="AG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9" t="n"/>
      <c r="AD792" s="9" t="n"/>
      <c r="AE792" s="9" t="n"/>
      <c r="AF792" s="9" t="n"/>
      <c r="AG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9" t="n"/>
      <c r="AD793" s="9" t="n"/>
      <c r="AE793" s="9" t="n"/>
      <c r="AF793" s="9" t="n"/>
      <c r="AG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9" t="n"/>
      <c r="AD794" s="9" t="n"/>
      <c r="AE794" s="9" t="n"/>
      <c r="AF794" s="9" t="n"/>
      <c r="AG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9" t="n"/>
      <c r="AD795" s="9" t="n"/>
      <c r="AE795" s="9" t="n"/>
      <c r="AF795" s="9" t="n"/>
      <c r="AG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9" t="n"/>
      <c r="AD796" s="9" t="n"/>
      <c r="AE796" s="9" t="n"/>
      <c r="AF796" s="9" t="n"/>
      <c r="AG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9" t="n"/>
      <c r="AD797" s="9" t="n"/>
      <c r="AE797" s="9" t="n"/>
      <c r="AF797" s="9" t="n"/>
      <c r="AG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9" t="n"/>
      <c r="AD798" s="9" t="n"/>
      <c r="AE798" s="9" t="n"/>
      <c r="AF798" s="9" t="n"/>
      <c r="AG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9" t="n"/>
      <c r="AD799" s="9" t="n"/>
      <c r="AE799" s="9" t="n"/>
      <c r="AF799" s="9" t="n"/>
      <c r="AG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9" t="n"/>
      <c r="AD800" s="9" t="n"/>
      <c r="AE800" s="9" t="n"/>
      <c r="AF800" s="9" t="n"/>
      <c r="AG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9" t="n"/>
      <c r="AD801" s="9" t="n"/>
      <c r="AE801" s="9" t="n"/>
      <c r="AF801" s="9" t="n"/>
      <c r="AG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9" t="n"/>
      <c r="AD802" s="9" t="n"/>
      <c r="AE802" s="9" t="n"/>
      <c r="AF802" s="9" t="n"/>
      <c r="AG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9" t="n"/>
      <c r="AD803" s="9" t="n"/>
      <c r="AE803" s="9" t="n"/>
      <c r="AF803" s="9" t="n"/>
      <c r="AG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9" t="n"/>
      <c r="AD804" s="9" t="n"/>
      <c r="AE804" s="9" t="n"/>
      <c r="AF804" s="9" t="n"/>
      <c r="AG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9" t="n"/>
      <c r="AD805" s="9" t="n"/>
      <c r="AE805" s="9" t="n"/>
      <c r="AF805" s="9" t="n"/>
      <c r="AG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9" t="n"/>
      <c r="AD806" s="9" t="n"/>
      <c r="AE806" s="9" t="n"/>
      <c r="AF806" s="9" t="n"/>
      <c r="AG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9" t="n"/>
      <c r="AD807" s="9" t="n"/>
      <c r="AE807" s="9" t="n"/>
      <c r="AF807" s="9" t="n"/>
      <c r="AG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9" t="n"/>
      <c r="AD808" s="9" t="n"/>
      <c r="AE808" s="9" t="n"/>
      <c r="AF808" s="9" t="n"/>
      <c r="AG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9" t="n"/>
      <c r="AD809" s="9" t="n"/>
      <c r="AE809" s="9" t="n"/>
      <c r="AF809" s="9" t="n"/>
      <c r="AG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9" t="n"/>
      <c r="AD810" s="9" t="n"/>
      <c r="AE810" s="9" t="n"/>
      <c r="AF810" s="9" t="n"/>
      <c r="AG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9" t="n"/>
      <c r="AD811" s="9" t="n"/>
      <c r="AE811" s="9" t="n"/>
      <c r="AF811" s="9" t="n"/>
      <c r="AG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9" t="n"/>
      <c r="AD812" s="9" t="n"/>
      <c r="AE812" s="9" t="n"/>
      <c r="AF812" s="9" t="n"/>
      <c r="AG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9" t="n"/>
      <c r="AD813" s="9" t="n"/>
      <c r="AE813" s="9" t="n"/>
      <c r="AF813" s="9" t="n"/>
      <c r="AG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9" t="n"/>
      <c r="AD814" s="9" t="n"/>
      <c r="AE814" s="9" t="n"/>
      <c r="AF814" s="9" t="n"/>
      <c r="AG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9" t="n"/>
      <c r="AD815" s="9" t="n"/>
      <c r="AE815" s="9" t="n"/>
      <c r="AF815" s="9" t="n"/>
      <c r="AG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9" t="n"/>
      <c r="AD816" s="9" t="n"/>
      <c r="AE816" s="9" t="n"/>
      <c r="AF816" s="9" t="n"/>
      <c r="AG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9" t="n"/>
      <c r="AD817" s="9" t="n"/>
      <c r="AE817" s="9" t="n"/>
      <c r="AF817" s="9" t="n"/>
      <c r="AG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9" t="n"/>
      <c r="AD818" s="9" t="n"/>
      <c r="AE818" s="9" t="n"/>
      <c r="AF818" s="9" t="n"/>
      <c r="AG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9" t="n"/>
      <c r="AD819" s="9" t="n"/>
      <c r="AE819" s="9" t="n"/>
      <c r="AF819" s="9" t="n"/>
      <c r="AG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9" t="n"/>
      <c r="AD820" s="9" t="n"/>
      <c r="AE820" s="9" t="n"/>
      <c r="AF820" s="9" t="n"/>
      <c r="AG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9" t="n"/>
      <c r="AD821" s="9" t="n"/>
      <c r="AE821" s="9" t="n"/>
      <c r="AF821" s="9" t="n"/>
      <c r="AG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9" t="n"/>
      <c r="AD822" s="9" t="n"/>
      <c r="AE822" s="9" t="n"/>
      <c r="AF822" s="9" t="n"/>
      <c r="AG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9" t="n"/>
      <c r="AD823" s="9" t="n"/>
      <c r="AE823" s="9" t="n"/>
      <c r="AF823" s="9" t="n"/>
      <c r="AG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9" t="n"/>
      <c r="AD824" s="9" t="n"/>
      <c r="AE824" s="9" t="n"/>
      <c r="AF824" s="9" t="n"/>
      <c r="AG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9" t="n"/>
      <c r="AD825" s="9" t="n"/>
      <c r="AE825" s="9" t="n"/>
      <c r="AF825" s="9" t="n"/>
      <c r="AG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9" t="n"/>
      <c r="AD826" s="9" t="n"/>
      <c r="AE826" s="9" t="n"/>
      <c r="AF826" s="9" t="n"/>
      <c r="AG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9" t="n"/>
      <c r="AD827" s="9" t="n"/>
      <c r="AE827" s="9" t="n"/>
      <c r="AF827" s="9" t="n"/>
      <c r="AG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9" t="n"/>
      <c r="AD828" s="9" t="n"/>
      <c r="AE828" s="9" t="n"/>
      <c r="AF828" s="9" t="n"/>
      <c r="AG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9" t="n"/>
      <c r="AD829" s="9" t="n"/>
      <c r="AE829" s="9" t="n"/>
      <c r="AF829" s="9" t="n"/>
      <c r="AG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9" t="n"/>
      <c r="AD830" s="9" t="n"/>
      <c r="AE830" s="9" t="n"/>
      <c r="AF830" s="9" t="n"/>
      <c r="AG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9" t="n"/>
      <c r="AD831" s="9" t="n"/>
      <c r="AE831" s="9" t="n"/>
      <c r="AF831" s="9" t="n"/>
      <c r="AG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9" t="n"/>
      <c r="AD832" s="9" t="n"/>
      <c r="AE832" s="9" t="n"/>
      <c r="AF832" s="9" t="n"/>
      <c r="AG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9" t="n"/>
      <c r="AD833" s="9" t="n"/>
      <c r="AE833" s="9" t="n"/>
      <c r="AF833" s="9" t="n"/>
      <c r="AG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9" t="n"/>
      <c r="AD834" s="9" t="n"/>
      <c r="AE834" s="9" t="n"/>
      <c r="AF834" s="9" t="n"/>
      <c r="AG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9" t="n"/>
      <c r="AD835" s="9" t="n"/>
      <c r="AE835" s="9" t="n"/>
      <c r="AF835" s="9" t="n"/>
      <c r="AG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9" t="n"/>
      <c r="AD836" s="9" t="n"/>
      <c r="AE836" s="9" t="n"/>
      <c r="AF836" s="9" t="n"/>
      <c r="AG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9" t="n"/>
      <c r="AD837" s="9" t="n"/>
      <c r="AE837" s="9" t="n"/>
      <c r="AF837" s="9" t="n"/>
      <c r="AG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9" t="n"/>
      <c r="AD838" s="9" t="n"/>
      <c r="AE838" s="9" t="n"/>
      <c r="AF838" s="9" t="n"/>
      <c r="AG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9" t="n"/>
      <c r="AD839" s="9" t="n"/>
      <c r="AE839" s="9" t="n"/>
      <c r="AF839" s="9" t="n"/>
      <c r="AG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9" t="n"/>
      <c r="AD840" s="9" t="n"/>
      <c r="AE840" s="9" t="n"/>
      <c r="AF840" s="9" t="n"/>
      <c r="AG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9" t="n"/>
      <c r="AD841" s="9" t="n"/>
      <c r="AE841" s="9" t="n"/>
      <c r="AF841" s="9" t="n"/>
      <c r="AG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9" t="n"/>
      <c r="AD842" s="9" t="n"/>
      <c r="AE842" s="9" t="n"/>
      <c r="AF842" s="9" t="n"/>
      <c r="AG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9" t="n"/>
      <c r="AD843" s="9" t="n"/>
      <c r="AE843" s="9" t="n"/>
      <c r="AF843" s="9" t="n"/>
      <c r="AG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9" t="n"/>
      <c r="AD844" s="9" t="n"/>
      <c r="AE844" s="9" t="n"/>
      <c r="AF844" s="9" t="n"/>
      <c r="AG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9" t="n"/>
      <c r="AD845" s="9" t="n"/>
      <c r="AE845" s="9" t="n"/>
      <c r="AF845" s="9" t="n"/>
      <c r="AG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9" t="n"/>
      <c r="AD846" s="9" t="n"/>
      <c r="AE846" s="9" t="n"/>
      <c r="AF846" s="9" t="n"/>
      <c r="AG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9" t="n"/>
      <c r="AD847" s="9" t="n"/>
      <c r="AE847" s="9" t="n"/>
      <c r="AF847" s="9" t="n"/>
      <c r="AG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9" t="n"/>
      <c r="AD848" s="9" t="n"/>
      <c r="AE848" s="9" t="n"/>
      <c r="AF848" s="9" t="n"/>
      <c r="AG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9" t="n"/>
      <c r="AD849" s="9" t="n"/>
      <c r="AE849" s="9" t="n"/>
      <c r="AF849" s="9" t="n"/>
      <c r="AG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9" t="n"/>
      <c r="AD850" s="9" t="n"/>
      <c r="AE850" s="9" t="n"/>
      <c r="AF850" s="9" t="n"/>
      <c r="AG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9" t="n"/>
      <c r="AD851" s="9" t="n"/>
      <c r="AE851" s="9" t="n"/>
      <c r="AF851" s="9" t="n"/>
      <c r="AG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9" t="n"/>
      <c r="AD852" s="9" t="n"/>
      <c r="AE852" s="9" t="n"/>
      <c r="AF852" s="9" t="n"/>
      <c r="AG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9" t="n"/>
      <c r="AD853" s="9" t="n"/>
      <c r="AE853" s="9" t="n"/>
      <c r="AF853" s="9" t="n"/>
      <c r="AG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9" t="n"/>
      <c r="AD854" s="9" t="n"/>
      <c r="AE854" s="9" t="n"/>
      <c r="AF854" s="9" t="n"/>
      <c r="AG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9" t="n"/>
      <c r="AD855" s="9" t="n"/>
      <c r="AE855" s="9" t="n"/>
      <c r="AF855" s="9" t="n"/>
      <c r="AG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9" t="n"/>
      <c r="AD856" s="9" t="n"/>
      <c r="AE856" s="9" t="n"/>
      <c r="AF856" s="9" t="n"/>
      <c r="AG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9" t="n"/>
      <c r="AD857" s="9" t="n"/>
      <c r="AE857" s="9" t="n"/>
      <c r="AF857" s="9" t="n"/>
      <c r="AG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9" t="n"/>
      <c r="AD858" s="9" t="n"/>
      <c r="AE858" s="9" t="n"/>
      <c r="AF858" s="9" t="n"/>
      <c r="AG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9" t="n"/>
      <c r="AD859" s="9" t="n"/>
      <c r="AE859" s="9" t="n"/>
      <c r="AF859" s="9" t="n"/>
      <c r="AG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9" t="n"/>
      <c r="AD860" s="9" t="n"/>
      <c r="AE860" s="9" t="n"/>
      <c r="AF860" s="9" t="n"/>
      <c r="AG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9" t="n"/>
      <c r="AD861" s="9" t="n"/>
      <c r="AE861" s="9" t="n"/>
      <c r="AF861" s="9" t="n"/>
      <c r="AG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9" t="n"/>
      <c r="AD862" s="9" t="n"/>
      <c r="AE862" s="9" t="n"/>
      <c r="AF862" s="9" t="n"/>
      <c r="AG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9" t="n"/>
      <c r="AD863" s="9" t="n"/>
      <c r="AE863" s="9" t="n"/>
      <c r="AF863" s="9" t="n"/>
      <c r="AG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9" t="n"/>
      <c r="AD864" s="9" t="n"/>
      <c r="AE864" s="9" t="n"/>
      <c r="AF864" s="9" t="n"/>
      <c r="AG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9" t="n"/>
      <c r="AD865" s="9" t="n"/>
      <c r="AE865" s="9" t="n"/>
      <c r="AF865" s="9" t="n"/>
      <c r="AG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9" t="n"/>
      <c r="AD866" s="9" t="n"/>
      <c r="AE866" s="9" t="n"/>
      <c r="AF866" s="9" t="n"/>
      <c r="AG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9" t="n"/>
      <c r="AD867" s="9" t="n"/>
      <c r="AE867" s="9" t="n"/>
      <c r="AF867" s="9" t="n"/>
      <c r="AG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9" t="n"/>
      <c r="AD868" s="9" t="n"/>
      <c r="AE868" s="9" t="n"/>
      <c r="AF868" s="9" t="n"/>
      <c r="AG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9" t="n"/>
      <c r="AD869" s="9" t="n"/>
      <c r="AE869" s="9" t="n"/>
      <c r="AF869" s="9" t="n"/>
      <c r="AG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9" t="n"/>
      <c r="AD870" s="9" t="n"/>
      <c r="AE870" s="9" t="n"/>
      <c r="AF870" s="9" t="n"/>
      <c r="AG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9" t="n"/>
      <c r="AD871" s="9" t="n"/>
      <c r="AE871" s="9" t="n"/>
      <c r="AF871" s="9" t="n"/>
      <c r="AG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9" t="n"/>
      <c r="AD872" s="9" t="n"/>
      <c r="AE872" s="9" t="n"/>
      <c r="AF872" s="9" t="n"/>
      <c r="AG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9" t="n"/>
      <c r="AD873" s="9" t="n"/>
      <c r="AE873" s="9" t="n"/>
      <c r="AF873" s="9" t="n"/>
      <c r="AG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9" t="n"/>
      <c r="AD874" s="9" t="n"/>
      <c r="AE874" s="9" t="n"/>
      <c r="AF874" s="9" t="n"/>
      <c r="AG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9" t="n"/>
      <c r="AD875" s="9" t="n"/>
      <c r="AE875" s="9" t="n"/>
      <c r="AF875" s="9" t="n"/>
      <c r="AG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9" t="n"/>
      <c r="AD876" s="9" t="n"/>
      <c r="AE876" s="9" t="n"/>
      <c r="AF876" s="9" t="n"/>
      <c r="AG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9" t="n"/>
      <c r="AD877" s="9" t="n"/>
      <c r="AE877" s="9" t="n"/>
      <c r="AF877" s="9" t="n"/>
      <c r="AG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9" t="n"/>
      <c r="AD878" s="9" t="n"/>
      <c r="AE878" s="9" t="n"/>
      <c r="AF878" s="9" t="n"/>
      <c r="AG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9" t="n"/>
      <c r="AD879" s="9" t="n"/>
      <c r="AE879" s="9" t="n"/>
      <c r="AF879" s="9" t="n"/>
      <c r="AG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9" t="n"/>
      <c r="AD880" s="9" t="n"/>
      <c r="AE880" s="9" t="n"/>
      <c r="AF880" s="9" t="n"/>
      <c r="AG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9" t="n"/>
      <c r="AD881" s="9" t="n"/>
      <c r="AE881" s="9" t="n"/>
      <c r="AF881" s="9" t="n"/>
      <c r="AG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9" t="n"/>
      <c r="AD882" s="9" t="n"/>
      <c r="AE882" s="9" t="n"/>
      <c r="AF882" s="9" t="n"/>
      <c r="AG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9" t="n"/>
      <c r="AD883" s="9" t="n"/>
      <c r="AE883" s="9" t="n"/>
      <c r="AF883" s="9" t="n"/>
      <c r="AG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9" t="n"/>
      <c r="AD884" s="9" t="n"/>
      <c r="AE884" s="9" t="n"/>
      <c r="AF884" s="9" t="n"/>
      <c r="AG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9" t="n"/>
      <c r="AD885" s="9" t="n"/>
      <c r="AE885" s="9" t="n"/>
      <c r="AF885" s="9" t="n"/>
      <c r="AG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9" t="n"/>
      <c r="AD886" s="9" t="n"/>
      <c r="AE886" s="9" t="n"/>
      <c r="AF886" s="9" t="n"/>
      <c r="AG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9" t="n"/>
      <c r="AD887" s="9" t="n"/>
      <c r="AE887" s="9" t="n"/>
      <c r="AF887" s="9" t="n"/>
      <c r="AG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9" t="n"/>
      <c r="AD888" s="9" t="n"/>
      <c r="AE888" s="9" t="n"/>
      <c r="AF888" s="9" t="n"/>
      <c r="AG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9" t="n"/>
      <c r="AD889" s="9" t="n"/>
      <c r="AE889" s="9" t="n"/>
      <c r="AF889" s="9" t="n"/>
      <c r="AG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9" t="n"/>
      <c r="AD890" s="9" t="n"/>
      <c r="AE890" s="9" t="n"/>
      <c r="AF890" s="9" t="n"/>
      <c r="AG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9" t="n"/>
      <c r="AD891" s="9" t="n"/>
      <c r="AE891" s="9" t="n"/>
      <c r="AF891" s="9" t="n"/>
      <c r="AG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9" t="n"/>
      <c r="AD892" s="9" t="n"/>
      <c r="AE892" s="9" t="n"/>
      <c r="AF892" s="9" t="n"/>
      <c r="AG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9" t="n"/>
      <c r="AD893" s="9" t="n"/>
      <c r="AE893" s="9" t="n"/>
      <c r="AF893" s="9" t="n"/>
      <c r="AG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9" t="n"/>
      <c r="AD894" s="9" t="n"/>
      <c r="AE894" s="9" t="n"/>
      <c r="AF894" s="9" t="n"/>
      <c r="AG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9" t="n"/>
      <c r="AD895" s="9" t="n"/>
      <c r="AE895" s="9" t="n"/>
      <c r="AF895" s="9" t="n"/>
      <c r="AG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9" t="n"/>
      <c r="AD896" s="9" t="n"/>
      <c r="AE896" s="9" t="n"/>
      <c r="AF896" s="9" t="n"/>
      <c r="AG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9" t="n"/>
      <c r="AD897" s="9" t="n"/>
      <c r="AE897" s="9" t="n"/>
      <c r="AF897" s="9" t="n"/>
      <c r="AG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9" t="n"/>
      <c r="AD898" s="9" t="n"/>
      <c r="AE898" s="9" t="n"/>
      <c r="AF898" s="9" t="n"/>
      <c r="AG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9" t="n"/>
      <c r="AD899" s="9" t="n"/>
      <c r="AE899" s="9" t="n"/>
      <c r="AF899" s="9" t="n"/>
      <c r="AG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9" t="n"/>
      <c r="AD900" s="9" t="n"/>
      <c r="AE900" s="9" t="n"/>
      <c r="AF900" s="9" t="n"/>
      <c r="AG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9" t="n"/>
      <c r="AD901" s="9" t="n"/>
      <c r="AE901" s="9" t="n"/>
      <c r="AF901" s="9" t="n"/>
      <c r="AG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9" t="n"/>
      <c r="AD902" s="9" t="n"/>
      <c r="AE902" s="9" t="n"/>
      <c r="AF902" s="9" t="n"/>
      <c r="AG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9" t="n"/>
      <c r="AD903" s="9" t="n"/>
      <c r="AE903" s="9" t="n"/>
      <c r="AF903" s="9" t="n"/>
      <c r="AG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9" t="n"/>
      <c r="AD904" s="9" t="n"/>
      <c r="AE904" s="9" t="n"/>
      <c r="AF904" s="9" t="n"/>
      <c r="AG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9" t="n"/>
      <c r="AD905" s="9" t="n"/>
      <c r="AE905" s="9" t="n"/>
      <c r="AF905" s="9" t="n"/>
      <c r="AG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9" t="n"/>
      <c r="AD906" s="9" t="n"/>
      <c r="AE906" s="9" t="n"/>
      <c r="AF906" s="9" t="n"/>
      <c r="AG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9" t="n"/>
      <c r="AD907" s="9" t="n"/>
      <c r="AE907" s="9" t="n"/>
      <c r="AF907" s="9" t="n"/>
      <c r="AG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9" t="n"/>
      <c r="AD908" s="9" t="n"/>
      <c r="AE908" s="9" t="n"/>
      <c r="AF908" s="9" t="n"/>
      <c r="AG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9" t="n"/>
      <c r="AD909" s="9" t="n"/>
      <c r="AE909" s="9" t="n"/>
      <c r="AF909" s="9" t="n"/>
      <c r="AG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9" t="n"/>
      <c r="AD910" s="9" t="n"/>
      <c r="AE910" s="9" t="n"/>
      <c r="AF910" s="9" t="n"/>
      <c r="AG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9" t="n"/>
      <c r="AD911" s="9" t="n"/>
      <c r="AE911" s="9" t="n"/>
      <c r="AF911" s="9" t="n"/>
      <c r="AG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9" t="n"/>
      <c r="AD912" s="9" t="n"/>
      <c r="AE912" s="9" t="n"/>
      <c r="AF912" s="9" t="n"/>
      <c r="AG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9" t="n"/>
      <c r="AD913" s="9" t="n"/>
      <c r="AE913" s="9" t="n"/>
      <c r="AF913" s="9" t="n"/>
      <c r="AG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9" t="n"/>
      <c r="AD914" s="9" t="n"/>
      <c r="AE914" s="9" t="n"/>
      <c r="AF914" s="9" t="n"/>
      <c r="AG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9" t="n"/>
      <c r="AD915" s="9" t="n"/>
      <c r="AE915" s="9" t="n"/>
      <c r="AF915" s="9" t="n"/>
      <c r="AG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9" t="n"/>
      <c r="AD916" s="9" t="n"/>
      <c r="AE916" s="9" t="n"/>
      <c r="AF916" s="9" t="n"/>
      <c r="AG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9" t="n"/>
      <c r="AD917" s="9" t="n"/>
      <c r="AE917" s="9" t="n"/>
      <c r="AF917" s="9" t="n"/>
      <c r="AG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9" t="n"/>
      <c r="AD918" s="9" t="n"/>
      <c r="AE918" s="9" t="n"/>
      <c r="AF918" s="9" t="n"/>
      <c r="AG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9" t="n"/>
      <c r="AD919" s="9" t="n"/>
      <c r="AE919" s="9" t="n"/>
      <c r="AF919" s="9" t="n"/>
      <c r="AG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9" t="n"/>
      <c r="AD920" s="9" t="n"/>
      <c r="AE920" s="9" t="n"/>
      <c r="AF920" s="9" t="n"/>
      <c r="AG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9" t="n"/>
      <c r="AD921" s="9" t="n"/>
      <c r="AE921" s="9" t="n"/>
      <c r="AF921" s="9" t="n"/>
      <c r="AG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9" t="n"/>
      <c r="AD922" s="9" t="n"/>
      <c r="AE922" s="9" t="n"/>
      <c r="AF922" s="9" t="n"/>
      <c r="AG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9" t="n"/>
      <c r="AD923" s="9" t="n"/>
      <c r="AE923" s="9" t="n"/>
      <c r="AF923" s="9" t="n"/>
      <c r="AG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9" t="n"/>
      <c r="AD924" s="9" t="n"/>
      <c r="AE924" s="9" t="n"/>
      <c r="AF924" s="9" t="n"/>
      <c r="AG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9" t="n"/>
      <c r="AD925" s="9" t="n"/>
      <c r="AE925" s="9" t="n"/>
      <c r="AF925" s="9" t="n"/>
      <c r="AG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9" t="n"/>
      <c r="AD926" s="9" t="n"/>
      <c r="AE926" s="9" t="n"/>
      <c r="AF926" s="9" t="n"/>
      <c r="AG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9" t="n"/>
      <c r="AD927" s="9" t="n"/>
      <c r="AE927" s="9" t="n"/>
      <c r="AF927" s="9" t="n"/>
      <c r="AG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9" t="n"/>
      <c r="AD928" s="9" t="n"/>
      <c r="AE928" s="9" t="n"/>
      <c r="AF928" s="9" t="n"/>
      <c r="AG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9" t="n"/>
      <c r="AD929" s="9" t="n"/>
      <c r="AE929" s="9" t="n"/>
      <c r="AF929" s="9" t="n"/>
      <c r="AG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9" t="n"/>
      <c r="AD930" s="9" t="n"/>
      <c r="AE930" s="9" t="n"/>
      <c r="AF930" s="9" t="n"/>
      <c r="AG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9" t="n"/>
      <c r="AD931" s="9" t="n"/>
      <c r="AE931" s="9" t="n"/>
      <c r="AF931" s="9" t="n"/>
      <c r="AG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9" t="n"/>
      <c r="AD932" s="9" t="n"/>
      <c r="AE932" s="9" t="n"/>
      <c r="AF932" s="9" t="n"/>
      <c r="AG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9" t="n"/>
      <c r="AD933" s="9" t="n"/>
      <c r="AE933" s="9" t="n"/>
      <c r="AF933" s="9" t="n"/>
      <c r="AG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9" t="n"/>
      <c r="AD934" s="9" t="n"/>
      <c r="AE934" s="9" t="n"/>
      <c r="AF934" s="9" t="n"/>
      <c r="AG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9" t="n"/>
      <c r="AD935" s="9" t="n"/>
      <c r="AE935" s="9" t="n"/>
      <c r="AF935" s="9" t="n"/>
      <c r="AG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9" t="n"/>
      <c r="AD936" s="9" t="n"/>
      <c r="AE936" s="9" t="n"/>
      <c r="AF936" s="9" t="n"/>
      <c r="AG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9" t="n"/>
      <c r="AD937" s="9" t="n"/>
      <c r="AE937" s="9" t="n"/>
      <c r="AF937" s="9" t="n"/>
      <c r="AG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9" t="n"/>
      <c r="AD938" s="9" t="n"/>
      <c r="AE938" s="9" t="n"/>
      <c r="AF938" s="9" t="n"/>
      <c r="AG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9" t="n"/>
      <c r="AD939" s="9" t="n"/>
      <c r="AE939" s="9" t="n"/>
      <c r="AF939" s="9" t="n"/>
      <c r="AG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9" t="n"/>
      <c r="AD940" s="9" t="n"/>
      <c r="AE940" s="9" t="n"/>
      <c r="AF940" s="9" t="n"/>
      <c r="AG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9" t="n"/>
      <c r="AD941" s="9" t="n"/>
      <c r="AE941" s="9" t="n"/>
      <c r="AF941" s="9" t="n"/>
      <c r="AG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9" t="n"/>
      <c r="AD942" s="9" t="n"/>
      <c r="AE942" s="9" t="n"/>
      <c r="AF942" s="9" t="n"/>
      <c r="AG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9" t="n"/>
      <c r="AD943" s="9" t="n"/>
      <c r="AE943" s="9" t="n"/>
      <c r="AF943" s="9" t="n"/>
      <c r="AG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9" t="n"/>
      <c r="AD944" s="9" t="n"/>
      <c r="AE944" s="9" t="n"/>
      <c r="AF944" s="9" t="n"/>
      <c r="AG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9" t="n"/>
      <c r="AD945" s="9" t="n"/>
      <c r="AE945" s="9" t="n"/>
      <c r="AF945" s="9" t="n"/>
      <c r="AG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9" t="n"/>
      <c r="AD946" s="9" t="n"/>
      <c r="AE946" s="9" t="n"/>
      <c r="AF946" s="9" t="n"/>
      <c r="AG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9" t="n"/>
      <c r="AD947" s="9" t="n"/>
      <c r="AE947" s="9" t="n"/>
      <c r="AF947" s="9" t="n"/>
      <c r="AG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9" t="n"/>
      <c r="AD948" s="9" t="n"/>
      <c r="AE948" s="9" t="n"/>
      <c r="AF948" s="9" t="n"/>
      <c r="AG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9" t="n"/>
      <c r="AD949" s="9" t="n"/>
      <c r="AE949" s="9" t="n"/>
      <c r="AF949" s="9" t="n"/>
      <c r="AG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9" t="n"/>
      <c r="AD950" s="9" t="n"/>
      <c r="AE950" s="9" t="n"/>
      <c r="AF950" s="9" t="n"/>
      <c r="AG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9" t="n"/>
      <c r="AD951" s="9" t="n"/>
      <c r="AE951" s="9" t="n"/>
      <c r="AF951" s="9" t="n"/>
      <c r="AG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9" t="n"/>
      <c r="AD952" s="9" t="n"/>
      <c r="AE952" s="9" t="n"/>
      <c r="AF952" s="9" t="n"/>
      <c r="AG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9" t="n"/>
      <c r="AD953" s="9" t="n"/>
      <c r="AE953" s="9" t="n"/>
      <c r="AF953" s="9" t="n"/>
      <c r="AG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9" t="n"/>
      <c r="AD954" s="9" t="n"/>
      <c r="AE954" s="9" t="n"/>
      <c r="AF954" s="9" t="n"/>
      <c r="AG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9" t="n"/>
      <c r="AD955" s="9" t="n"/>
      <c r="AE955" s="9" t="n"/>
      <c r="AF955" s="9" t="n"/>
      <c r="AG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9" t="n"/>
      <c r="AD956" s="9" t="n"/>
      <c r="AE956" s="9" t="n"/>
      <c r="AF956" s="9" t="n"/>
      <c r="AG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9" t="n"/>
      <c r="AD957" s="9" t="n"/>
      <c r="AE957" s="9" t="n"/>
      <c r="AF957" s="9" t="n"/>
      <c r="AG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9" t="n"/>
      <c r="AD958" s="9" t="n"/>
      <c r="AE958" s="9" t="n"/>
      <c r="AF958" s="9" t="n"/>
      <c r="AG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9" t="n"/>
      <c r="AD959" s="9" t="n"/>
      <c r="AE959" s="9" t="n"/>
      <c r="AF959" s="9" t="n"/>
      <c r="AG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9" t="n"/>
      <c r="AD960" s="9" t="n"/>
      <c r="AE960" s="9" t="n"/>
      <c r="AF960" s="9" t="n"/>
      <c r="AG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9" t="n"/>
      <c r="AD961" s="9" t="n"/>
      <c r="AE961" s="9" t="n"/>
      <c r="AF961" s="9" t="n"/>
      <c r="AG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9" t="n"/>
      <c r="AD962" s="9" t="n"/>
      <c r="AE962" s="9" t="n"/>
      <c r="AF962" s="9" t="n"/>
      <c r="AG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9" t="n"/>
      <c r="AD963" s="9" t="n"/>
      <c r="AE963" s="9" t="n"/>
      <c r="AF963" s="9" t="n"/>
      <c r="AG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9" t="n"/>
      <c r="AD964" s="9" t="n"/>
      <c r="AE964" s="9" t="n"/>
      <c r="AF964" s="9" t="n"/>
      <c r="AG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9" t="n"/>
      <c r="AD965" s="9" t="n"/>
      <c r="AE965" s="9" t="n"/>
      <c r="AF965" s="9" t="n"/>
      <c r="AG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9" t="n"/>
      <c r="AD966" s="9" t="n"/>
      <c r="AE966" s="9" t="n"/>
      <c r="AF966" s="9" t="n"/>
      <c r="AG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9" t="n"/>
      <c r="AD967" s="9" t="n"/>
      <c r="AE967" s="9" t="n"/>
      <c r="AF967" s="9" t="n"/>
      <c r="AG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9" t="n"/>
      <c r="AD968" s="9" t="n"/>
      <c r="AE968" s="9" t="n"/>
      <c r="AF968" s="9" t="n"/>
      <c r="AG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9" t="n"/>
      <c r="AD969" s="9" t="n"/>
      <c r="AE969" s="9" t="n"/>
      <c r="AF969" s="9" t="n"/>
      <c r="AG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9" t="n"/>
      <c r="AD970" s="9" t="n"/>
      <c r="AE970" s="9" t="n"/>
      <c r="AF970" s="9" t="n"/>
      <c r="AG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9" t="n"/>
      <c r="AD971" s="9" t="n"/>
      <c r="AE971" s="9" t="n"/>
      <c r="AF971" s="9" t="n"/>
      <c r="AG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9" t="n"/>
      <c r="AD972" s="9" t="n"/>
      <c r="AE972" s="9" t="n"/>
      <c r="AF972" s="9" t="n"/>
      <c r="AG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9" t="n"/>
      <c r="AD973" s="9" t="n"/>
      <c r="AE973" s="9" t="n"/>
      <c r="AF973" s="9" t="n"/>
      <c r="AG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9" t="n"/>
      <c r="AD974" s="9" t="n"/>
      <c r="AE974" s="9" t="n"/>
      <c r="AF974" s="9" t="n"/>
      <c r="AG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9" t="n"/>
      <c r="AD975" s="9" t="n"/>
      <c r="AE975" s="9" t="n"/>
      <c r="AF975" s="9" t="n"/>
      <c r="AG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9" t="n"/>
      <c r="AD976" s="9" t="n"/>
      <c r="AE976" s="9" t="n"/>
      <c r="AF976" s="9" t="n"/>
      <c r="AG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9" t="n"/>
      <c r="AD977" s="9" t="n"/>
      <c r="AE977" s="9" t="n"/>
      <c r="AF977" s="9" t="n"/>
      <c r="AG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9" t="n"/>
      <c r="AD978" s="9" t="n"/>
      <c r="AE978" s="9" t="n"/>
      <c r="AF978" s="9" t="n"/>
      <c r="AG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9" t="n"/>
      <c r="AD979" s="9" t="n"/>
      <c r="AE979" s="9" t="n"/>
      <c r="AF979" s="9" t="n"/>
      <c r="AG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9" t="n"/>
      <c r="AD980" s="9" t="n"/>
      <c r="AE980" s="9" t="n"/>
      <c r="AF980" s="9" t="n"/>
      <c r="AG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9" t="n"/>
      <c r="AD981" s="9" t="n"/>
      <c r="AE981" s="9" t="n"/>
      <c r="AF981" s="9" t="n"/>
      <c r="AG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9" t="n"/>
      <c r="AD982" s="9" t="n"/>
      <c r="AE982" s="9" t="n"/>
      <c r="AF982" s="9" t="n"/>
      <c r="AG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9" t="n"/>
      <c r="AD983" s="9" t="n"/>
      <c r="AE983" s="9" t="n"/>
      <c r="AF983" s="9" t="n"/>
      <c r="AG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9" t="n"/>
      <c r="AD984" s="9" t="n"/>
      <c r="AE984" s="9" t="n"/>
      <c r="AF984" s="9" t="n"/>
      <c r="AG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9" t="n"/>
      <c r="AD985" s="9" t="n"/>
      <c r="AE985" s="9" t="n"/>
      <c r="AF985" s="9" t="n"/>
      <c r="AG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9" t="n"/>
      <c r="AD986" s="9" t="n"/>
      <c r="AE986" s="9" t="n"/>
      <c r="AF986" s="9" t="n"/>
      <c r="AG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9" t="n"/>
      <c r="AD987" s="9" t="n"/>
      <c r="AE987" s="9" t="n"/>
      <c r="AF987" s="9" t="n"/>
      <c r="AG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9" t="n"/>
      <c r="AD988" s="9" t="n"/>
      <c r="AE988" s="9" t="n"/>
      <c r="AF988" s="9" t="n"/>
      <c r="AG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9" t="n"/>
      <c r="AD989" s="9" t="n"/>
      <c r="AE989" s="9" t="n"/>
      <c r="AF989" s="9" t="n"/>
      <c r="AG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9" t="n"/>
      <c r="AD990" s="9" t="n"/>
      <c r="AE990" s="9" t="n"/>
      <c r="AF990" s="9" t="n"/>
      <c r="AG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9" t="n"/>
      <c r="AD991" s="9" t="n"/>
      <c r="AE991" s="9" t="n"/>
      <c r="AF991" s="9" t="n"/>
      <c r="AG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9" t="n"/>
      <c r="AD992" s="9" t="n"/>
      <c r="AE992" s="9" t="n"/>
      <c r="AF992" s="9" t="n"/>
      <c r="AG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9" t="n"/>
      <c r="AD993" s="9" t="n"/>
      <c r="AE993" s="9" t="n"/>
      <c r="AF993" s="9" t="n"/>
      <c r="AG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9" t="n"/>
      <c r="AD994" s="9" t="n"/>
      <c r="AE994" s="9" t="n"/>
      <c r="AF994" s="9" t="n"/>
      <c r="AG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9" t="n"/>
      <c r="AD995" s="9" t="n"/>
      <c r="AE995" s="9" t="n"/>
      <c r="AF995" s="9" t="n"/>
      <c r="AG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9" t="n"/>
      <c r="AD996" s="9" t="n"/>
      <c r="AE996" s="9" t="n"/>
      <c r="AF996" s="9" t="n"/>
      <c r="AG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9" t="n"/>
      <c r="AD997" s="9" t="n"/>
      <c r="AE997" s="9" t="n"/>
      <c r="AF997" s="9" t="n"/>
      <c r="AG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9" t="n"/>
      <c r="AD998" s="9" t="n"/>
      <c r="AE998" s="9" t="n"/>
      <c r="AF998" s="9" t="n"/>
      <c r="AG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9" t="n"/>
      <c r="AD999" s="9" t="n"/>
      <c r="AE999" s="9" t="n"/>
      <c r="AF999" s="9" t="n"/>
      <c r="AG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9" t="n"/>
      <c r="AD1000" s="9" t="n"/>
      <c r="AE1000" s="9" t="n"/>
      <c r="AF1000" s="9" t="n"/>
      <c r="AG1000" s="9" t="n"/>
    </row>
  </sheetData>
  <autoFilter ref="$A$1:$AE$514"/>
  <hyperlinks>
    <hyperlink xmlns:r="http://schemas.openxmlformats.org/officeDocument/2006/relationships" ref="C2" r:id="rId1"/>
    <hyperlink xmlns:r="http://schemas.openxmlformats.org/officeDocument/2006/relationships" ref="N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AE6" r:id="rId6"/>
    <hyperlink xmlns:r="http://schemas.openxmlformats.org/officeDocument/2006/relationships" ref="C7" r:id="rId7"/>
    <hyperlink xmlns:r="http://schemas.openxmlformats.org/officeDocument/2006/relationships" ref="O7" r:id="rId8"/>
    <hyperlink xmlns:r="http://schemas.openxmlformats.org/officeDocument/2006/relationships" ref="AE7" r:id="rId9"/>
    <hyperlink xmlns:r="http://schemas.openxmlformats.org/officeDocument/2006/relationships" ref="C8" r:id="rId10"/>
    <hyperlink xmlns:r="http://schemas.openxmlformats.org/officeDocument/2006/relationships" ref="N9" r:id="rId11"/>
    <hyperlink xmlns:r="http://schemas.openxmlformats.org/officeDocument/2006/relationships" ref="O9" r:id="rId12"/>
    <hyperlink xmlns:r="http://schemas.openxmlformats.org/officeDocument/2006/relationships" ref="J10" r:id="rId13"/>
    <hyperlink xmlns:r="http://schemas.openxmlformats.org/officeDocument/2006/relationships" ref="D11" r:id="rId14"/>
    <hyperlink xmlns:r="http://schemas.openxmlformats.org/officeDocument/2006/relationships" ref="AE11" r:id="rId15"/>
    <hyperlink xmlns:r="http://schemas.openxmlformats.org/officeDocument/2006/relationships" ref="J12" r:id="rId16"/>
    <hyperlink xmlns:r="http://schemas.openxmlformats.org/officeDocument/2006/relationships" ref="C13" r:id="rId17"/>
    <hyperlink xmlns:r="http://schemas.openxmlformats.org/officeDocument/2006/relationships" ref="AE13" r:id="rId18"/>
    <hyperlink xmlns:r="http://schemas.openxmlformats.org/officeDocument/2006/relationships" ref="C14" r:id="rId19"/>
    <hyperlink xmlns:r="http://schemas.openxmlformats.org/officeDocument/2006/relationships" ref="C15" r:id="rId20"/>
    <hyperlink xmlns:r="http://schemas.openxmlformats.org/officeDocument/2006/relationships" ref="N15" r:id="rId21"/>
    <hyperlink xmlns:r="http://schemas.openxmlformats.org/officeDocument/2006/relationships" ref="C16" r:id="rId22"/>
    <hyperlink xmlns:r="http://schemas.openxmlformats.org/officeDocument/2006/relationships" ref="AE16" r:id="rId23"/>
    <hyperlink xmlns:r="http://schemas.openxmlformats.org/officeDocument/2006/relationships" ref="C17" r:id="rId24"/>
    <hyperlink xmlns:r="http://schemas.openxmlformats.org/officeDocument/2006/relationships" ref="O17" r:id="rId25"/>
    <hyperlink xmlns:r="http://schemas.openxmlformats.org/officeDocument/2006/relationships" ref="AE17" r:id="rId26"/>
    <hyperlink xmlns:r="http://schemas.openxmlformats.org/officeDocument/2006/relationships" ref="C18" r:id="rId27"/>
    <hyperlink xmlns:r="http://schemas.openxmlformats.org/officeDocument/2006/relationships" ref="AE18" r:id="rId28"/>
    <hyperlink xmlns:r="http://schemas.openxmlformats.org/officeDocument/2006/relationships" ref="C19" r:id="rId29"/>
    <hyperlink xmlns:r="http://schemas.openxmlformats.org/officeDocument/2006/relationships" ref="C20" r:id="rId30"/>
    <hyperlink xmlns:r="http://schemas.openxmlformats.org/officeDocument/2006/relationships" ref="K20" r:id="rId31"/>
    <hyperlink xmlns:r="http://schemas.openxmlformats.org/officeDocument/2006/relationships" ref="N20" r:id="rId32"/>
    <hyperlink xmlns:r="http://schemas.openxmlformats.org/officeDocument/2006/relationships" ref="O20" r:id="rId33"/>
    <hyperlink xmlns:r="http://schemas.openxmlformats.org/officeDocument/2006/relationships" ref="C21" r:id="rId34"/>
    <hyperlink xmlns:r="http://schemas.openxmlformats.org/officeDocument/2006/relationships" ref="AE21" r:id="rId35"/>
    <hyperlink xmlns:r="http://schemas.openxmlformats.org/officeDocument/2006/relationships" ref="C22" r:id="rId36"/>
    <hyperlink xmlns:r="http://schemas.openxmlformats.org/officeDocument/2006/relationships" ref="C23" r:id="rId37"/>
    <hyperlink xmlns:r="http://schemas.openxmlformats.org/officeDocument/2006/relationships" ref="AE23" r:id="rId38"/>
    <hyperlink xmlns:r="http://schemas.openxmlformats.org/officeDocument/2006/relationships" ref="C24" r:id="rId39"/>
    <hyperlink xmlns:r="http://schemas.openxmlformats.org/officeDocument/2006/relationships" ref="K24" r:id="rId40"/>
    <hyperlink xmlns:r="http://schemas.openxmlformats.org/officeDocument/2006/relationships" ref="N24" r:id="rId41"/>
    <hyperlink xmlns:r="http://schemas.openxmlformats.org/officeDocument/2006/relationships" ref="C25" r:id="rId42"/>
    <hyperlink xmlns:r="http://schemas.openxmlformats.org/officeDocument/2006/relationships" ref="J25" r:id="rId43"/>
    <hyperlink xmlns:r="http://schemas.openxmlformats.org/officeDocument/2006/relationships" ref="AE25" r:id="rId44"/>
    <hyperlink xmlns:r="http://schemas.openxmlformats.org/officeDocument/2006/relationships" ref="C26" r:id="rId45"/>
    <hyperlink xmlns:r="http://schemas.openxmlformats.org/officeDocument/2006/relationships" ref="AE26" r:id="rId46"/>
    <hyperlink xmlns:r="http://schemas.openxmlformats.org/officeDocument/2006/relationships" ref="C27" r:id="rId47"/>
    <hyperlink xmlns:r="http://schemas.openxmlformats.org/officeDocument/2006/relationships" ref="N27" r:id="rId48"/>
    <hyperlink xmlns:r="http://schemas.openxmlformats.org/officeDocument/2006/relationships" ref="AE27" r:id="rId49"/>
    <hyperlink xmlns:r="http://schemas.openxmlformats.org/officeDocument/2006/relationships" ref="N28" r:id="rId50"/>
    <hyperlink xmlns:r="http://schemas.openxmlformats.org/officeDocument/2006/relationships" ref="C29" r:id="rId51"/>
    <hyperlink xmlns:r="http://schemas.openxmlformats.org/officeDocument/2006/relationships" ref="AE29" r:id="rId52"/>
    <hyperlink xmlns:r="http://schemas.openxmlformats.org/officeDocument/2006/relationships" ref="C30" r:id="rId53"/>
    <hyperlink xmlns:r="http://schemas.openxmlformats.org/officeDocument/2006/relationships" ref="AE30" r:id="rId54"/>
    <hyperlink xmlns:r="http://schemas.openxmlformats.org/officeDocument/2006/relationships" ref="C31" r:id="rId55"/>
    <hyperlink xmlns:r="http://schemas.openxmlformats.org/officeDocument/2006/relationships" ref="M32" r:id="rId56"/>
    <hyperlink xmlns:r="http://schemas.openxmlformats.org/officeDocument/2006/relationships" ref="AE32" r:id="rId57"/>
    <hyperlink xmlns:r="http://schemas.openxmlformats.org/officeDocument/2006/relationships" ref="C33" r:id="rId58"/>
    <hyperlink xmlns:r="http://schemas.openxmlformats.org/officeDocument/2006/relationships" ref="AE33" r:id="rId59"/>
    <hyperlink xmlns:r="http://schemas.openxmlformats.org/officeDocument/2006/relationships" ref="C34" r:id="rId60"/>
    <hyperlink xmlns:r="http://schemas.openxmlformats.org/officeDocument/2006/relationships" ref="C35" r:id="rId61"/>
    <hyperlink xmlns:r="http://schemas.openxmlformats.org/officeDocument/2006/relationships" ref="AE35" r:id="rId62"/>
    <hyperlink xmlns:r="http://schemas.openxmlformats.org/officeDocument/2006/relationships" ref="C36" r:id="rId63"/>
    <hyperlink xmlns:r="http://schemas.openxmlformats.org/officeDocument/2006/relationships" ref="AE36" r:id="rId64"/>
    <hyperlink xmlns:r="http://schemas.openxmlformats.org/officeDocument/2006/relationships" ref="C37" r:id="rId65"/>
    <hyperlink xmlns:r="http://schemas.openxmlformats.org/officeDocument/2006/relationships" ref="K37" r:id="rId66"/>
    <hyperlink xmlns:r="http://schemas.openxmlformats.org/officeDocument/2006/relationships" ref="AE37" r:id="rId67"/>
    <hyperlink xmlns:r="http://schemas.openxmlformats.org/officeDocument/2006/relationships" ref="C38" r:id="rId68"/>
    <hyperlink xmlns:r="http://schemas.openxmlformats.org/officeDocument/2006/relationships" ref="N39" r:id="rId69"/>
    <hyperlink xmlns:r="http://schemas.openxmlformats.org/officeDocument/2006/relationships" ref="C40" r:id="rId70"/>
    <hyperlink xmlns:r="http://schemas.openxmlformats.org/officeDocument/2006/relationships" ref="C41" r:id="rId71"/>
    <hyperlink xmlns:r="http://schemas.openxmlformats.org/officeDocument/2006/relationships" ref="AE41" r:id="rId72"/>
    <hyperlink xmlns:r="http://schemas.openxmlformats.org/officeDocument/2006/relationships" ref="N42" location="gid=802915297" r:id="rId73"/>
    <hyperlink xmlns:r="http://schemas.openxmlformats.org/officeDocument/2006/relationships" ref="O42" r:id="rId74"/>
    <hyperlink xmlns:r="http://schemas.openxmlformats.org/officeDocument/2006/relationships" ref="C43" r:id="rId75"/>
    <hyperlink xmlns:r="http://schemas.openxmlformats.org/officeDocument/2006/relationships" ref="C44" r:id="rId76"/>
    <hyperlink xmlns:r="http://schemas.openxmlformats.org/officeDocument/2006/relationships" ref="N44" r:id="rId77"/>
    <hyperlink xmlns:r="http://schemas.openxmlformats.org/officeDocument/2006/relationships" ref="C45" r:id="rId78"/>
    <hyperlink xmlns:r="http://schemas.openxmlformats.org/officeDocument/2006/relationships" ref="K45" r:id="rId79"/>
    <hyperlink xmlns:r="http://schemas.openxmlformats.org/officeDocument/2006/relationships" ref="N45" r:id="rId80"/>
    <hyperlink xmlns:r="http://schemas.openxmlformats.org/officeDocument/2006/relationships" ref="AE45" r:id="rId81"/>
    <hyperlink xmlns:r="http://schemas.openxmlformats.org/officeDocument/2006/relationships" ref="C46" r:id="rId82"/>
    <hyperlink xmlns:r="http://schemas.openxmlformats.org/officeDocument/2006/relationships" ref="N46" r:id="rId83"/>
    <hyperlink xmlns:r="http://schemas.openxmlformats.org/officeDocument/2006/relationships" ref="C47" r:id="rId84"/>
    <hyperlink xmlns:r="http://schemas.openxmlformats.org/officeDocument/2006/relationships" ref="N47" r:id="rId85"/>
    <hyperlink xmlns:r="http://schemas.openxmlformats.org/officeDocument/2006/relationships" ref="N48" r:id="rId86"/>
    <hyperlink xmlns:r="http://schemas.openxmlformats.org/officeDocument/2006/relationships" ref="C49" r:id="rId87"/>
    <hyperlink xmlns:r="http://schemas.openxmlformats.org/officeDocument/2006/relationships" ref="J49" r:id="rId88"/>
    <hyperlink xmlns:r="http://schemas.openxmlformats.org/officeDocument/2006/relationships" ref="C50" r:id="rId89"/>
    <hyperlink xmlns:r="http://schemas.openxmlformats.org/officeDocument/2006/relationships" ref="AE50" r:id="rId90"/>
    <hyperlink xmlns:r="http://schemas.openxmlformats.org/officeDocument/2006/relationships" ref="C51" r:id="rId91"/>
    <hyperlink xmlns:r="http://schemas.openxmlformats.org/officeDocument/2006/relationships" ref="C52" r:id="rId92"/>
    <hyperlink xmlns:r="http://schemas.openxmlformats.org/officeDocument/2006/relationships" ref="AE52" r:id="rId93"/>
    <hyperlink xmlns:r="http://schemas.openxmlformats.org/officeDocument/2006/relationships" ref="C53" r:id="rId94"/>
    <hyperlink xmlns:r="http://schemas.openxmlformats.org/officeDocument/2006/relationships" ref="AE53" r:id="rId95"/>
    <hyperlink xmlns:r="http://schemas.openxmlformats.org/officeDocument/2006/relationships" ref="C54" r:id="rId96"/>
    <hyperlink xmlns:r="http://schemas.openxmlformats.org/officeDocument/2006/relationships" ref="D55" r:id="rId97"/>
    <hyperlink xmlns:r="http://schemas.openxmlformats.org/officeDocument/2006/relationships" ref="AE55" r:id="rId98"/>
    <hyperlink xmlns:r="http://schemas.openxmlformats.org/officeDocument/2006/relationships" ref="C56" r:id="rId99"/>
    <hyperlink xmlns:r="http://schemas.openxmlformats.org/officeDocument/2006/relationships" ref="AE56" r:id="rId100"/>
    <hyperlink xmlns:r="http://schemas.openxmlformats.org/officeDocument/2006/relationships" ref="E57" r:id="rId101"/>
    <hyperlink xmlns:r="http://schemas.openxmlformats.org/officeDocument/2006/relationships" ref="AE57" r:id="rId102"/>
    <hyperlink xmlns:r="http://schemas.openxmlformats.org/officeDocument/2006/relationships" ref="C58" r:id="rId103"/>
    <hyperlink xmlns:r="http://schemas.openxmlformats.org/officeDocument/2006/relationships" ref="C59" r:id="rId104"/>
    <hyperlink xmlns:r="http://schemas.openxmlformats.org/officeDocument/2006/relationships" ref="AE59" r:id="rId105"/>
    <hyperlink xmlns:r="http://schemas.openxmlformats.org/officeDocument/2006/relationships" ref="C60" r:id="rId106"/>
    <hyperlink xmlns:r="http://schemas.openxmlformats.org/officeDocument/2006/relationships" ref="AE60" r:id="rId107"/>
    <hyperlink xmlns:r="http://schemas.openxmlformats.org/officeDocument/2006/relationships" ref="C61" r:id="rId108"/>
    <hyperlink xmlns:r="http://schemas.openxmlformats.org/officeDocument/2006/relationships" ref="C62" r:id="rId109"/>
    <hyperlink xmlns:r="http://schemas.openxmlformats.org/officeDocument/2006/relationships" ref="O62" r:id="rId110"/>
    <hyperlink xmlns:r="http://schemas.openxmlformats.org/officeDocument/2006/relationships" ref="C63" r:id="rId111"/>
    <hyperlink xmlns:r="http://schemas.openxmlformats.org/officeDocument/2006/relationships" ref="K63" r:id="rId112"/>
    <hyperlink xmlns:r="http://schemas.openxmlformats.org/officeDocument/2006/relationships" ref="N63" r:id="rId113"/>
    <hyperlink xmlns:r="http://schemas.openxmlformats.org/officeDocument/2006/relationships" ref="O63" r:id="rId114"/>
    <hyperlink xmlns:r="http://schemas.openxmlformats.org/officeDocument/2006/relationships" ref="AE63" r:id="rId115"/>
    <hyperlink xmlns:r="http://schemas.openxmlformats.org/officeDocument/2006/relationships" ref="C64" r:id="rId116"/>
    <hyperlink xmlns:r="http://schemas.openxmlformats.org/officeDocument/2006/relationships" ref="C65" r:id="rId117"/>
    <hyperlink xmlns:r="http://schemas.openxmlformats.org/officeDocument/2006/relationships" ref="N65" r:id="rId118"/>
    <hyperlink xmlns:r="http://schemas.openxmlformats.org/officeDocument/2006/relationships" ref="AE65" r:id="rId119"/>
    <hyperlink xmlns:r="http://schemas.openxmlformats.org/officeDocument/2006/relationships" ref="E66" r:id="rId120"/>
    <hyperlink xmlns:r="http://schemas.openxmlformats.org/officeDocument/2006/relationships" ref="K67" r:id="rId121"/>
    <hyperlink xmlns:r="http://schemas.openxmlformats.org/officeDocument/2006/relationships" ref="C68" r:id="rId122"/>
    <hyperlink xmlns:r="http://schemas.openxmlformats.org/officeDocument/2006/relationships" ref="C69" r:id="rId123"/>
    <hyperlink xmlns:r="http://schemas.openxmlformats.org/officeDocument/2006/relationships" ref="K69" r:id="rId124"/>
    <hyperlink xmlns:r="http://schemas.openxmlformats.org/officeDocument/2006/relationships" ref="O69" r:id="rId125"/>
    <hyperlink xmlns:r="http://schemas.openxmlformats.org/officeDocument/2006/relationships" ref="AE69" r:id="rId126"/>
    <hyperlink xmlns:r="http://schemas.openxmlformats.org/officeDocument/2006/relationships" ref="C70" r:id="rId127"/>
    <hyperlink xmlns:r="http://schemas.openxmlformats.org/officeDocument/2006/relationships" ref="N70" r:id="rId128"/>
    <hyperlink xmlns:r="http://schemas.openxmlformats.org/officeDocument/2006/relationships" ref="C71" r:id="rId129"/>
    <hyperlink xmlns:r="http://schemas.openxmlformats.org/officeDocument/2006/relationships" ref="C72" r:id="rId130"/>
    <hyperlink xmlns:r="http://schemas.openxmlformats.org/officeDocument/2006/relationships" ref="K72" r:id="rId131"/>
    <hyperlink xmlns:r="http://schemas.openxmlformats.org/officeDocument/2006/relationships" ref="N72" r:id="rId132"/>
    <hyperlink xmlns:r="http://schemas.openxmlformats.org/officeDocument/2006/relationships" ref="C73" r:id="rId133"/>
    <hyperlink xmlns:r="http://schemas.openxmlformats.org/officeDocument/2006/relationships" ref="N73" r:id="rId134"/>
    <hyperlink xmlns:r="http://schemas.openxmlformats.org/officeDocument/2006/relationships" ref="C74" r:id="rId135"/>
    <hyperlink xmlns:r="http://schemas.openxmlformats.org/officeDocument/2006/relationships" ref="N74" r:id="rId136"/>
    <hyperlink xmlns:r="http://schemas.openxmlformats.org/officeDocument/2006/relationships" ref="AE74" r:id="rId137"/>
    <hyperlink xmlns:r="http://schemas.openxmlformats.org/officeDocument/2006/relationships" ref="C75" r:id="rId138"/>
    <hyperlink xmlns:r="http://schemas.openxmlformats.org/officeDocument/2006/relationships" ref="C76" r:id="rId139"/>
    <hyperlink xmlns:r="http://schemas.openxmlformats.org/officeDocument/2006/relationships" ref="AE76" r:id="rId140"/>
    <hyperlink xmlns:r="http://schemas.openxmlformats.org/officeDocument/2006/relationships" ref="C77" r:id="rId141"/>
    <hyperlink xmlns:r="http://schemas.openxmlformats.org/officeDocument/2006/relationships" ref="AE77" r:id="rId142"/>
    <hyperlink xmlns:r="http://schemas.openxmlformats.org/officeDocument/2006/relationships" ref="C78" r:id="rId143"/>
    <hyperlink xmlns:r="http://schemas.openxmlformats.org/officeDocument/2006/relationships" ref="AE78" r:id="rId144"/>
    <hyperlink xmlns:r="http://schemas.openxmlformats.org/officeDocument/2006/relationships" ref="C79" r:id="rId145"/>
    <hyperlink xmlns:r="http://schemas.openxmlformats.org/officeDocument/2006/relationships" ref="J79" r:id="rId146"/>
    <hyperlink xmlns:r="http://schemas.openxmlformats.org/officeDocument/2006/relationships" ref="AE79" r:id="rId147"/>
    <hyperlink xmlns:r="http://schemas.openxmlformats.org/officeDocument/2006/relationships" ref="C80" r:id="rId148"/>
    <hyperlink xmlns:r="http://schemas.openxmlformats.org/officeDocument/2006/relationships" ref="N80" r:id="rId149"/>
    <hyperlink xmlns:r="http://schemas.openxmlformats.org/officeDocument/2006/relationships" ref="AE80" r:id="rId150"/>
    <hyperlink xmlns:r="http://schemas.openxmlformats.org/officeDocument/2006/relationships" ref="C81" r:id="rId151"/>
    <hyperlink xmlns:r="http://schemas.openxmlformats.org/officeDocument/2006/relationships" ref="AE81" r:id="rId152"/>
    <hyperlink xmlns:r="http://schemas.openxmlformats.org/officeDocument/2006/relationships" ref="C82" r:id="rId153"/>
    <hyperlink xmlns:r="http://schemas.openxmlformats.org/officeDocument/2006/relationships" ref="AE82" r:id="rId154"/>
    <hyperlink xmlns:r="http://schemas.openxmlformats.org/officeDocument/2006/relationships" ref="C83" r:id="rId155"/>
    <hyperlink xmlns:r="http://schemas.openxmlformats.org/officeDocument/2006/relationships" ref="AE83" r:id="rId156"/>
    <hyperlink xmlns:r="http://schemas.openxmlformats.org/officeDocument/2006/relationships" ref="C84" r:id="rId157"/>
    <hyperlink xmlns:r="http://schemas.openxmlformats.org/officeDocument/2006/relationships" ref="AE84" r:id="rId158"/>
    <hyperlink xmlns:r="http://schemas.openxmlformats.org/officeDocument/2006/relationships" ref="C85" r:id="rId159"/>
    <hyperlink xmlns:r="http://schemas.openxmlformats.org/officeDocument/2006/relationships" ref="C86" r:id="rId160"/>
    <hyperlink xmlns:r="http://schemas.openxmlformats.org/officeDocument/2006/relationships" ref="AE86" r:id="rId161"/>
    <hyperlink xmlns:r="http://schemas.openxmlformats.org/officeDocument/2006/relationships" ref="C87" r:id="rId162"/>
    <hyperlink xmlns:r="http://schemas.openxmlformats.org/officeDocument/2006/relationships" ref="K87" r:id="rId163"/>
    <hyperlink xmlns:r="http://schemas.openxmlformats.org/officeDocument/2006/relationships" ref="N87" r:id="rId164"/>
    <hyperlink xmlns:r="http://schemas.openxmlformats.org/officeDocument/2006/relationships" ref="AE87" r:id="rId165"/>
    <hyperlink xmlns:r="http://schemas.openxmlformats.org/officeDocument/2006/relationships" ref="E88" r:id="rId166"/>
    <hyperlink xmlns:r="http://schemas.openxmlformats.org/officeDocument/2006/relationships" ref="AE88" r:id="rId167"/>
    <hyperlink xmlns:r="http://schemas.openxmlformats.org/officeDocument/2006/relationships" ref="C89" r:id="rId168"/>
    <hyperlink xmlns:r="http://schemas.openxmlformats.org/officeDocument/2006/relationships" ref="AE89" r:id="rId169"/>
    <hyperlink xmlns:r="http://schemas.openxmlformats.org/officeDocument/2006/relationships" ref="C90" r:id="rId170"/>
    <hyperlink xmlns:r="http://schemas.openxmlformats.org/officeDocument/2006/relationships" ref="AE90" r:id="rId171"/>
    <hyperlink xmlns:r="http://schemas.openxmlformats.org/officeDocument/2006/relationships" ref="C91" r:id="rId172"/>
    <hyperlink xmlns:r="http://schemas.openxmlformats.org/officeDocument/2006/relationships" ref="AE91" r:id="rId173"/>
    <hyperlink xmlns:r="http://schemas.openxmlformats.org/officeDocument/2006/relationships" ref="C92" r:id="rId174"/>
    <hyperlink xmlns:r="http://schemas.openxmlformats.org/officeDocument/2006/relationships" ref="C93" r:id="rId175"/>
    <hyperlink xmlns:r="http://schemas.openxmlformats.org/officeDocument/2006/relationships" ref="AE93" r:id="rId176"/>
    <hyperlink xmlns:r="http://schemas.openxmlformats.org/officeDocument/2006/relationships" ref="C94" r:id="rId177"/>
    <hyperlink xmlns:r="http://schemas.openxmlformats.org/officeDocument/2006/relationships" ref="AE94" r:id="rId178"/>
    <hyperlink xmlns:r="http://schemas.openxmlformats.org/officeDocument/2006/relationships" ref="D95" r:id="rId179"/>
    <hyperlink xmlns:r="http://schemas.openxmlformats.org/officeDocument/2006/relationships" ref="AE95" r:id="rId180"/>
    <hyperlink xmlns:r="http://schemas.openxmlformats.org/officeDocument/2006/relationships" ref="C96" r:id="rId181"/>
    <hyperlink xmlns:r="http://schemas.openxmlformats.org/officeDocument/2006/relationships" ref="AE96" r:id="rId182"/>
    <hyperlink xmlns:r="http://schemas.openxmlformats.org/officeDocument/2006/relationships" ref="C97" r:id="rId183"/>
    <hyperlink xmlns:r="http://schemas.openxmlformats.org/officeDocument/2006/relationships" ref="C98" r:id="rId184"/>
    <hyperlink xmlns:r="http://schemas.openxmlformats.org/officeDocument/2006/relationships" ref="AE98" r:id="rId185"/>
    <hyperlink xmlns:r="http://schemas.openxmlformats.org/officeDocument/2006/relationships" ref="C99" r:id="rId186"/>
    <hyperlink xmlns:r="http://schemas.openxmlformats.org/officeDocument/2006/relationships" ref="AE99" r:id="rId187"/>
    <hyperlink xmlns:r="http://schemas.openxmlformats.org/officeDocument/2006/relationships" ref="C100" r:id="rId188"/>
    <hyperlink xmlns:r="http://schemas.openxmlformats.org/officeDocument/2006/relationships" ref="AE100" r:id="rId189"/>
    <hyperlink xmlns:r="http://schemas.openxmlformats.org/officeDocument/2006/relationships" ref="C101" r:id="rId190"/>
    <hyperlink xmlns:r="http://schemas.openxmlformats.org/officeDocument/2006/relationships" ref="O101" r:id="rId191"/>
    <hyperlink xmlns:r="http://schemas.openxmlformats.org/officeDocument/2006/relationships" ref="N102" r:id="rId192"/>
    <hyperlink xmlns:r="http://schemas.openxmlformats.org/officeDocument/2006/relationships" ref="C103" r:id="rId193"/>
    <hyperlink xmlns:r="http://schemas.openxmlformats.org/officeDocument/2006/relationships" ref="N103" r:id="rId194"/>
    <hyperlink xmlns:r="http://schemas.openxmlformats.org/officeDocument/2006/relationships" ref="AE103" r:id="rId195"/>
    <hyperlink xmlns:r="http://schemas.openxmlformats.org/officeDocument/2006/relationships" ref="C104" r:id="rId196"/>
    <hyperlink xmlns:r="http://schemas.openxmlformats.org/officeDocument/2006/relationships" ref="K104" r:id="rId197"/>
    <hyperlink xmlns:r="http://schemas.openxmlformats.org/officeDocument/2006/relationships" ref="N104" r:id="rId198"/>
    <hyperlink xmlns:r="http://schemas.openxmlformats.org/officeDocument/2006/relationships" ref="AE104" r:id="rId199"/>
    <hyperlink xmlns:r="http://schemas.openxmlformats.org/officeDocument/2006/relationships" ref="C105" r:id="rId200"/>
    <hyperlink xmlns:r="http://schemas.openxmlformats.org/officeDocument/2006/relationships" ref="K105" r:id="rId201"/>
    <hyperlink xmlns:r="http://schemas.openxmlformats.org/officeDocument/2006/relationships" ref="AE105" r:id="rId202"/>
    <hyperlink xmlns:r="http://schemas.openxmlformats.org/officeDocument/2006/relationships" ref="D106" r:id="rId203"/>
    <hyperlink xmlns:r="http://schemas.openxmlformats.org/officeDocument/2006/relationships" ref="AE106" r:id="rId204"/>
    <hyperlink xmlns:r="http://schemas.openxmlformats.org/officeDocument/2006/relationships" ref="D107" r:id="rId205"/>
    <hyperlink xmlns:r="http://schemas.openxmlformats.org/officeDocument/2006/relationships" ref="AE107" r:id="rId206"/>
    <hyperlink xmlns:r="http://schemas.openxmlformats.org/officeDocument/2006/relationships" ref="N108" r:id="rId207"/>
    <hyperlink xmlns:r="http://schemas.openxmlformats.org/officeDocument/2006/relationships" ref="C109" r:id="rId208"/>
    <hyperlink xmlns:r="http://schemas.openxmlformats.org/officeDocument/2006/relationships" ref="AE109" r:id="rId209"/>
    <hyperlink xmlns:r="http://schemas.openxmlformats.org/officeDocument/2006/relationships" ref="C110" r:id="rId210"/>
    <hyperlink xmlns:r="http://schemas.openxmlformats.org/officeDocument/2006/relationships" ref="AE110" r:id="rId211"/>
    <hyperlink xmlns:r="http://schemas.openxmlformats.org/officeDocument/2006/relationships" ref="C111" r:id="rId212"/>
    <hyperlink xmlns:r="http://schemas.openxmlformats.org/officeDocument/2006/relationships" ref="AE111" r:id="rId213"/>
    <hyperlink xmlns:r="http://schemas.openxmlformats.org/officeDocument/2006/relationships" ref="C112" r:id="rId214"/>
    <hyperlink xmlns:r="http://schemas.openxmlformats.org/officeDocument/2006/relationships" ref="C113" r:id="rId215"/>
    <hyperlink xmlns:r="http://schemas.openxmlformats.org/officeDocument/2006/relationships" ref="N113" r:id="rId216"/>
    <hyperlink xmlns:r="http://schemas.openxmlformats.org/officeDocument/2006/relationships" ref="C114" r:id="rId217"/>
    <hyperlink xmlns:r="http://schemas.openxmlformats.org/officeDocument/2006/relationships" ref="O114" r:id="rId218"/>
    <hyperlink xmlns:r="http://schemas.openxmlformats.org/officeDocument/2006/relationships" ref="AE114" r:id="rId219"/>
    <hyperlink xmlns:r="http://schemas.openxmlformats.org/officeDocument/2006/relationships" ref="N115" r:id="rId220"/>
    <hyperlink xmlns:r="http://schemas.openxmlformats.org/officeDocument/2006/relationships" ref="C116" r:id="rId221"/>
    <hyperlink xmlns:r="http://schemas.openxmlformats.org/officeDocument/2006/relationships" ref="N116" r:id="rId222"/>
    <hyperlink xmlns:r="http://schemas.openxmlformats.org/officeDocument/2006/relationships" ref="AE116" r:id="rId223"/>
    <hyperlink xmlns:r="http://schemas.openxmlformats.org/officeDocument/2006/relationships" ref="C117" r:id="rId224"/>
    <hyperlink xmlns:r="http://schemas.openxmlformats.org/officeDocument/2006/relationships" ref="C118" r:id="rId225"/>
    <hyperlink xmlns:r="http://schemas.openxmlformats.org/officeDocument/2006/relationships" ref="N118" r:id="rId226"/>
    <hyperlink xmlns:r="http://schemas.openxmlformats.org/officeDocument/2006/relationships" ref="AE118" r:id="rId227"/>
    <hyperlink xmlns:r="http://schemas.openxmlformats.org/officeDocument/2006/relationships" ref="N119" r:id="rId228"/>
    <hyperlink xmlns:r="http://schemas.openxmlformats.org/officeDocument/2006/relationships" ref="C120" r:id="rId229"/>
    <hyperlink xmlns:r="http://schemas.openxmlformats.org/officeDocument/2006/relationships" ref="N120" r:id="rId230"/>
    <hyperlink xmlns:r="http://schemas.openxmlformats.org/officeDocument/2006/relationships" ref="AE120" r:id="rId231"/>
    <hyperlink xmlns:r="http://schemas.openxmlformats.org/officeDocument/2006/relationships" ref="C121" r:id="rId232"/>
    <hyperlink xmlns:r="http://schemas.openxmlformats.org/officeDocument/2006/relationships" ref="C122" r:id="rId233"/>
    <hyperlink xmlns:r="http://schemas.openxmlformats.org/officeDocument/2006/relationships" ref="AE122" r:id="rId234"/>
    <hyperlink xmlns:r="http://schemas.openxmlformats.org/officeDocument/2006/relationships" ref="C123" r:id="rId235"/>
    <hyperlink xmlns:r="http://schemas.openxmlformats.org/officeDocument/2006/relationships" ref="O123" r:id="rId236"/>
    <hyperlink xmlns:r="http://schemas.openxmlformats.org/officeDocument/2006/relationships" ref="AE123" r:id="rId237"/>
    <hyperlink xmlns:r="http://schemas.openxmlformats.org/officeDocument/2006/relationships" ref="C124" r:id="rId238"/>
    <hyperlink xmlns:r="http://schemas.openxmlformats.org/officeDocument/2006/relationships" ref="N125" r:id="rId239"/>
    <hyperlink xmlns:r="http://schemas.openxmlformats.org/officeDocument/2006/relationships" ref="C126" r:id="rId240"/>
    <hyperlink xmlns:r="http://schemas.openxmlformats.org/officeDocument/2006/relationships" ref="AE126" r:id="rId241"/>
    <hyperlink xmlns:r="http://schemas.openxmlformats.org/officeDocument/2006/relationships" ref="C127" r:id="rId242"/>
    <hyperlink xmlns:r="http://schemas.openxmlformats.org/officeDocument/2006/relationships" ref="AE127" r:id="rId243"/>
    <hyperlink xmlns:r="http://schemas.openxmlformats.org/officeDocument/2006/relationships" ref="C128" r:id="rId244"/>
    <hyperlink xmlns:r="http://schemas.openxmlformats.org/officeDocument/2006/relationships" ref="N128" r:id="rId245"/>
    <hyperlink xmlns:r="http://schemas.openxmlformats.org/officeDocument/2006/relationships" ref="AE128" r:id="rId246"/>
    <hyperlink xmlns:r="http://schemas.openxmlformats.org/officeDocument/2006/relationships" ref="C129" r:id="rId247"/>
    <hyperlink xmlns:r="http://schemas.openxmlformats.org/officeDocument/2006/relationships" ref="AE129" r:id="rId248"/>
    <hyperlink xmlns:r="http://schemas.openxmlformats.org/officeDocument/2006/relationships" ref="C130" r:id="rId249"/>
    <hyperlink xmlns:r="http://schemas.openxmlformats.org/officeDocument/2006/relationships" ref="N130" r:id="rId250"/>
    <hyperlink xmlns:r="http://schemas.openxmlformats.org/officeDocument/2006/relationships" ref="AE130" r:id="rId251"/>
    <hyperlink xmlns:r="http://schemas.openxmlformats.org/officeDocument/2006/relationships" ref="C131" r:id="rId252"/>
    <hyperlink xmlns:r="http://schemas.openxmlformats.org/officeDocument/2006/relationships" ref="AE131" r:id="rId253"/>
    <hyperlink xmlns:r="http://schemas.openxmlformats.org/officeDocument/2006/relationships" ref="C132" r:id="rId254"/>
    <hyperlink xmlns:r="http://schemas.openxmlformats.org/officeDocument/2006/relationships" ref="AE132" r:id="rId255"/>
    <hyperlink xmlns:r="http://schemas.openxmlformats.org/officeDocument/2006/relationships" ref="C133" r:id="rId256"/>
    <hyperlink xmlns:r="http://schemas.openxmlformats.org/officeDocument/2006/relationships" ref="K133" r:id="rId257"/>
    <hyperlink xmlns:r="http://schemas.openxmlformats.org/officeDocument/2006/relationships" ref="N133" r:id="rId258"/>
    <hyperlink xmlns:r="http://schemas.openxmlformats.org/officeDocument/2006/relationships" ref="O133" r:id="rId259"/>
    <hyperlink xmlns:r="http://schemas.openxmlformats.org/officeDocument/2006/relationships" ref="C134" r:id="rId260"/>
    <hyperlink xmlns:r="http://schemas.openxmlformats.org/officeDocument/2006/relationships" ref="AE134" r:id="rId261"/>
    <hyperlink xmlns:r="http://schemas.openxmlformats.org/officeDocument/2006/relationships" ref="C135" r:id="rId262"/>
    <hyperlink xmlns:r="http://schemas.openxmlformats.org/officeDocument/2006/relationships" ref="AE135" r:id="rId263"/>
    <hyperlink xmlns:r="http://schemas.openxmlformats.org/officeDocument/2006/relationships" ref="C136" r:id="rId264"/>
    <hyperlink xmlns:r="http://schemas.openxmlformats.org/officeDocument/2006/relationships" ref="AE136" r:id="rId265"/>
    <hyperlink xmlns:r="http://schemas.openxmlformats.org/officeDocument/2006/relationships" ref="C137" r:id="rId266"/>
    <hyperlink xmlns:r="http://schemas.openxmlformats.org/officeDocument/2006/relationships" ref="AE137" r:id="rId267"/>
    <hyperlink xmlns:r="http://schemas.openxmlformats.org/officeDocument/2006/relationships" ref="C138" r:id="rId268"/>
    <hyperlink xmlns:r="http://schemas.openxmlformats.org/officeDocument/2006/relationships" ref="AE138" r:id="rId269"/>
    <hyperlink xmlns:r="http://schemas.openxmlformats.org/officeDocument/2006/relationships" ref="C139" r:id="rId270"/>
    <hyperlink xmlns:r="http://schemas.openxmlformats.org/officeDocument/2006/relationships" ref="N139" r:id="rId271"/>
    <hyperlink xmlns:r="http://schemas.openxmlformats.org/officeDocument/2006/relationships" ref="AE139" r:id="rId272"/>
    <hyperlink xmlns:r="http://schemas.openxmlformats.org/officeDocument/2006/relationships" ref="C140" r:id="rId273"/>
    <hyperlink xmlns:r="http://schemas.openxmlformats.org/officeDocument/2006/relationships" ref="AE140" r:id="rId274"/>
    <hyperlink xmlns:r="http://schemas.openxmlformats.org/officeDocument/2006/relationships" ref="C141" r:id="rId275"/>
    <hyperlink xmlns:r="http://schemas.openxmlformats.org/officeDocument/2006/relationships" ref="AE141" r:id="rId276"/>
    <hyperlink xmlns:r="http://schemas.openxmlformats.org/officeDocument/2006/relationships" ref="C142" r:id="rId277"/>
    <hyperlink xmlns:r="http://schemas.openxmlformats.org/officeDocument/2006/relationships" ref="AE142" r:id="rId278"/>
    <hyperlink xmlns:r="http://schemas.openxmlformats.org/officeDocument/2006/relationships" ref="C143" r:id="rId279"/>
    <hyperlink xmlns:r="http://schemas.openxmlformats.org/officeDocument/2006/relationships" ref="N144" r:id="rId280"/>
    <hyperlink xmlns:r="http://schemas.openxmlformats.org/officeDocument/2006/relationships" ref="C145" r:id="rId281"/>
    <hyperlink xmlns:r="http://schemas.openxmlformats.org/officeDocument/2006/relationships" ref="AE145" r:id="rId282"/>
    <hyperlink xmlns:r="http://schemas.openxmlformats.org/officeDocument/2006/relationships" ref="C146" r:id="rId283"/>
    <hyperlink xmlns:r="http://schemas.openxmlformats.org/officeDocument/2006/relationships" ref="C147" r:id="rId284"/>
    <hyperlink xmlns:r="http://schemas.openxmlformats.org/officeDocument/2006/relationships" ref="N147" r:id="rId285"/>
    <hyperlink xmlns:r="http://schemas.openxmlformats.org/officeDocument/2006/relationships" ref="C148" r:id="rId286"/>
    <hyperlink xmlns:r="http://schemas.openxmlformats.org/officeDocument/2006/relationships" ref="C149" r:id="rId287"/>
    <hyperlink xmlns:r="http://schemas.openxmlformats.org/officeDocument/2006/relationships" ref="AE149" r:id="rId288"/>
    <hyperlink xmlns:r="http://schemas.openxmlformats.org/officeDocument/2006/relationships" ref="E150" r:id="rId289"/>
    <hyperlink xmlns:r="http://schemas.openxmlformats.org/officeDocument/2006/relationships" ref="K150" r:id="rId290"/>
    <hyperlink xmlns:r="http://schemas.openxmlformats.org/officeDocument/2006/relationships" ref="N151" r:id="rId291"/>
    <hyperlink xmlns:r="http://schemas.openxmlformats.org/officeDocument/2006/relationships" ref="C152" r:id="rId292"/>
    <hyperlink xmlns:r="http://schemas.openxmlformats.org/officeDocument/2006/relationships" ref="N152" r:id="rId293"/>
    <hyperlink xmlns:r="http://schemas.openxmlformats.org/officeDocument/2006/relationships" ref="AE152" r:id="rId294"/>
    <hyperlink xmlns:r="http://schemas.openxmlformats.org/officeDocument/2006/relationships" ref="N153" r:id="rId295"/>
    <hyperlink xmlns:r="http://schemas.openxmlformats.org/officeDocument/2006/relationships" ref="C154" r:id="rId296"/>
    <hyperlink xmlns:r="http://schemas.openxmlformats.org/officeDocument/2006/relationships" ref="C155" r:id="rId297"/>
    <hyperlink xmlns:r="http://schemas.openxmlformats.org/officeDocument/2006/relationships" ref="N155" r:id="rId298"/>
    <hyperlink xmlns:r="http://schemas.openxmlformats.org/officeDocument/2006/relationships" ref="C156" r:id="rId299"/>
    <hyperlink xmlns:r="http://schemas.openxmlformats.org/officeDocument/2006/relationships" ref="N157" location="gid=1033348216" r:id="rId300"/>
    <hyperlink xmlns:r="http://schemas.openxmlformats.org/officeDocument/2006/relationships" ref="C158" r:id="rId301"/>
    <hyperlink xmlns:r="http://schemas.openxmlformats.org/officeDocument/2006/relationships" ref="AE158" r:id="rId302"/>
    <hyperlink xmlns:r="http://schemas.openxmlformats.org/officeDocument/2006/relationships" ref="C159" r:id="rId303"/>
    <hyperlink xmlns:r="http://schemas.openxmlformats.org/officeDocument/2006/relationships" ref="AE159" r:id="rId304"/>
    <hyperlink xmlns:r="http://schemas.openxmlformats.org/officeDocument/2006/relationships" ref="C160" r:id="rId305"/>
    <hyperlink xmlns:r="http://schemas.openxmlformats.org/officeDocument/2006/relationships" ref="AE160" r:id="rId306"/>
    <hyperlink xmlns:r="http://schemas.openxmlformats.org/officeDocument/2006/relationships" ref="C161" r:id="rId307"/>
    <hyperlink xmlns:r="http://schemas.openxmlformats.org/officeDocument/2006/relationships" ref="C162" r:id="rId308"/>
    <hyperlink xmlns:r="http://schemas.openxmlformats.org/officeDocument/2006/relationships" ref="N163" r:id="rId309"/>
    <hyperlink xmlns:r="http://schemas.openxmlformats.org/officeDocument/2006/relationships" ref="C164" r:id="rId310"/>
    <hyperlink xmlns:r="http://schemas.openxmlformats.org/officeDocument/2006/relationships" ref="K164" r:id="rId311"/>
    <hyperlink xmlns:r="http://schemas.openxmlformats.org/officeDocument/2006/relationships" ref="O164" r:id="rId312"/>
    <hyperlink xmlns:r="http://schemas.openxmlformats.org/officeDocument/2006/relationships" ref="C165" r:id="rId313"/>
    <hyperlink xmlns:r="http://schemas.openxmlformats.org/officeDocument/2006/relationships" ref="AE165" r:id="rId314"/>
    <hyperlink xmlns:r="http://schemas.openxmlformats.org/officeDocument/2006/relationships" ref="C166" r:id="rId315"/>
    <hyperlink xmlns:r="http://schemas.openxmlformats.org/officeDocument/2006/relationships" ref="C167" r:id="rId316"/>
    <hyperlink xmlns:r="http://schemas.openxmlformats.org/officeDocument/2006/relationships" ref="AE167" r:id="rId317"/>
    <hyperlink xmlns:r="http://schemas.openxmlformats.org/officeDocument/2006/relationships" ref="C168" r:id="rId318"/>
    <hyperlink xmlns:r="http://schemas.openxmlformats.org/officeDocument/2006/relationships" ref="N169" r:id="rId319"/>
    <hyperlink xmlns:r="http://schemas.openxmlformats.org/officeDocument/2006/relationships" ref="C170" r:id="rId320"/>
    <hyperlink xmlns:r="http://schemas.openxmlformats.org/officeDocument/2006/relationships" ref="AE170" r:id="rId321"/>
    <hyperlink xmlns:r="http://schemas.openxmlformats.org/officeDocument/2006/relationships" ref="C171" r:id="rId322"/>
    <hyperlink xmlns:r="http://schemas.openxmlformats.org/officeDocument/2006/relationships" ref="AE171" r:id="rId323"/>
    <hyperlink xmlns:r="http://schemas.openxmlformats.org/officeDocument/2006/relationships" ref="C172" r:id="rId324"/>
    <hyperlink xmlns:r="http://schemas.openxmlformats.org/officeDocument/2006/relationships" ref="AE172" r:id="rId325"/>
    <hyperlink xmlns:r="http://schemas.openxmlformats.org/officeDocument/2006/relationships" ref="C173" r:id="rId326"/>
    <hyperlink xmlns:r="http://schemas.openxmlformats.org/officeDocument/2006/relationships" ref="N173" r:id="rId327"/>
    <hyperlink xmlns:r="http://schemas.openxmlformats.org/officeDocument/2006/relationships" ref="AE173" r:id="rId328"/>
    <hyperlink xmlns:r="http://schemas.openxmlformats.org/officeDocument/2006/relationships" ref="C174" r:id="rId329"/>
    <hyperlink xmlns:r="http://schemas.openxmlformats.org/officeDocument/2006/relationships" ref="C175" r:id="rId330"/>
    <hyperlink xmlns:r="http://schemas.openxmlformats.org/officeDocument/2006/relationships" ref="C176" r:id="rId331"/>
    <hyperlink xmlns:r="http://schemas.openxmlformats.org/officeDocument/2006/relationships" ref="C177" r:id="rId332"/>
    <hyperlink xmlns:r="http://schemas.openxmlformats.org/officeDocument/2006/relationships" ref="AE177" r:id="rId333"/>
    <hyperlink xmlns:r="http://schemas.openxmlformats.org/officeDocument/2006/relationships" ref="J178" r:id="rId334"/>
    <hyperlink xmlns:r="http://schemas.openxmlformats.org/officeDocument/2006/relationships" ref="C179" r:id="rId335"/>
    <hyperlink xmlns:r="http://schemas.openxmlformats.org/officeDocument/2006/relationships" ref="AE179" r:id="rId336"/>
    <hyperlink xmlns:r="http://schemas.openxmlformats.org/officeDocument/2006/relationships" ref="C180" r:id="rId337"/>
    <hyperlink xmlns:r="http://schemas.openxmlformats.org/officeDocument/2006/relationships" ref="AE180" r:id="rId338"/>
    <hyperlink xmlns:r="http://schemas.openxmlformats.org/officeDocument/2006/relationships" ref="C181" r:id="rId339"/>
    <hyperlink xmlns:r="http://schemas.openxmlformats.org/officeDocument/2006/relationships" ref="AE181" r:id="rId340"/>
    <hyperlink xmlns:r="http://schemas.openxmlformats.org/officeDocument/2006/relationships" ref="C182" r:id="rId341"/>
    <hyperlink xmlns:r="http://schemas.openxmlformats.org/officeDocument/2006/relationships" ref="AE182" r:id="rId342"/>
    <hyperlink xmlns:r="http://schemas.openxmlformats.org/officeDocument/2006/relationships" ref="C183" r:id="rId343"/>
    <hyperlink xmlns:r="http://schemas.openxmlformats.org/officeDocument/2006/relationships" ref="N183" r:id="rId344"/>
    <hyperlink xmlns:r="http://schemas.openxmlformats.org/officeDocument/2006/relationships" ref="C184" r:id="rId345"/>
    <hyperlink xmlns:r="http://schemas.openxmlformats.org/officeDocument/2006/relationships" ref="K184" r:id="rId346"/>
    <hyperlink xmlns:r="http://schemas.openxmlformats.org/officeDocument/2006/relationships" ref="N184" r:id="rId347"/>
    <hyperlink xmlns:r="http://schemas.openxmlformats.org/officeDocument/2006/relationships" ref="C185" r:id="rId348"/>
    <hyperlink xmlns:r="http://schemas.openxmlformats.org/officeDocument/2006/relationships" ref="C186" r:id="rId349"/>
    <hyperlink xmlns:r="http://schemas.openxmlformats.org/officeDocument/2006/relationships" ref="AE186" r:id="rId350"/>
    <hyperlink xmlns:r="http://schemas.openxmlformats.org/officeDocument/2006/relationships" ref="C187" r:id="rId351"/>
    <hyperlink xmlns:r="http://schemas.openxmlformats.org/officeDocument/2006/relationships" ref="K187" r:id="rId352"/>
    <hyperlink xmlns:r="http://schemas.openxmlformats.org/officeDocument/2006/relationships" ref="C188" r:id="rId353"/>
    <hyperlink xmlns:r="http://schemas.openxmlformats.org/officeDocument/2006/relationships" ref="K188" r:id="rId354"/>
    <hyperlink xmlns:r="http://schemas.openxmlformats.org/officeDocument/2006/relationships" ref="N188" r:id="rId355"/>
    <hyperlink xmlns:r="http://schemas.openxmlformats.org/officeDocument/2006/relationships" ref="AE188" r:id="rId356"/>
    <hyperlink xmlns:r="http://schemas.openxmlformats.org/officeDocument/2006/relationships" ref="C189" r:id="rId357"/>
    <hyperlink xmlns:r="http://schemas.openxmlformats.org/officeDocument/2006/relationships" ref="N189" r:id="rId358"/>
    <hyperlink xmlns:r="http://schemas.openxmlformats.org/officeDocument/2006/relationships" ref="AE189" r:id="rId359"/>
    <hyperlink xmlns:r="http://schemas.openxmlformats.org/officeDocument/2006/relationships" ref="C190" r:id="rId360"/>
    <hyperlink xmlns:r="http://schemas.openxmlformats.org/officeDocument/2006/relationships" ref="AE190" r:id="rId361"/>
    <hyperlink xmlns:r="http://schemas.openxmlformats.org/officeDocument/2006/relationships" ref="C191" r:id="rId362"/>
    <hyperlink xmlns:r="http://schemas.openxmlformats.org/officeDocument/2006/relationships" ref="AE191" r:id="rId363"/>
    <hyperlink xmlns:r="http://schemas.openxmlformats.org/officeDocument/2006/relationships" ref="C192" r:id="rId364"/>
    <hyperlink xmlns:r="http://schemas.openxmlformats.org/officeDocument/2006/relationships" ref="C193" r:id="rId365"/>
    <hyperlink xmlns:r="http://schemas.openxmlformats.org/officeDocument/2006/relationships" ref="AE193" r:id="rId366"/>
    <hyperlink xmlns:r="http://schemas.openxmlformats.org/officeDocument/2006/relationships" ref="C194" r:id="rId367"/>
    <hyperlink xmlns:r="http://schemas.openxmlformats.org/officeDocument/2006/relationships" ref="N194" r:id="rId368"/>
    <hyperlink xmlns:r="http://schemas.openxmlformats.org/officeDocument/2006/relationships" ref="AE194" r:id="rId369"/>
    <hyperlink xmlns:r="http://schemas.openxmlformats.org/officeDocument/2006/relationships" ref="C195" r:id="rId370"/>
    <hyperlink xmlns:r="http://schemas.openxmlformats.org/officeDocument/2006/relationships" ref="AE195" r:id="rId371"/>
    <hyperlink xmlns:r="http://schemas.openxmlformats.org/officeDocument/2006/relationships" ref="C196" r:id="rId372"/>
    <hyperlink xmlns:r="http://schemas.openxmlformats.org/officeDocument/2006/relationships" ref="N196" r:id="rId373"/>
    <hyperlink xmlns:r="http://schemas.openxmlformats.org/officeDocument/2006/relationships" ref="AE196" r:id="rId374"/>
    <hyperlink xmlns:r="http://schemas.openxmlformats.org/officeDocument/2006/relationships" ref="C197" r:id="rId375"/>
    <hyperlink xmlns:r="http://schemas.openxmlformats.org/officeDocument/2006/relationships" ref="C198" r:id="rId376"/>
    <hyperlink xmlns:r="http://schemas.openxmlformats.org/officeDocument/2006/relationships" ref="N199" r:id="rId377"/>
    <hyperlink xmlns:r="http://schemas.openxmlformats.org/officeDocument/2006/relationships" ref="C200" r:id="rId378"/>
    <hyperlink xmlns:r="http://schemas.openxmlformats.org/officeDocument/2006/relationships" ref="AE200" r:id="rId379"/>
    <hyperlink xmlns:r="http://schemas.openxmlformats.org/officeDocument/2006/relationships" ref="C201" r:id="rId380"/>
    <hyperlink xmlns:r="http://schemas.openxmlformats.org/officeDocument/2006/relationships" ref="AE201" r:id="rId381"/>
    <hyperlink xmlns:r="http://schemas.openxmlformats.org/officeDocument/2006/relationships" ref="C202" r:id="rId382"/>
    <hyperlink xmlns:r="http://schemas.openxmlformats.org/officeDocument/2006/relationships" ref="C203" r:id="rId383"/>
    <hyperlink xmlns:r="http://schemas.openxmlformats.org/officeDocument/2006/relationships" ref="K203" r:id="rId384"/>
    <hyperlink xmlns:r="http://schemas.openxmlformats.org/officeDocument/2006/relationships" ref="N203" r:id="rId385"/>
    <hyperlink xmlns:r="http://schemas.openxmlformats.org/officeDocument/2006/relationships" ref="AE203" r:id="rId386"/>
    <hyperlink xmlns:r="http://schemas.openxmlformats.org/officeDocument/2006/relationships" ref="C204" r:id="rId387"/>
    <hyperlink xmlns:r="http://schemas.openxmlformats.org/officeDocument/2006/relationships" ref="C205" r:id="rId388"/>
    <hyperlink xmlns:r="http://schemas.openxmlformats.org/officeDocument/2006/relationships" ref="N205" r:id="rId389"/>
    <hyperlink xmlns:r="http://schemas.openxmlformats.org/officeDocument/2006/relationships" ref="AE205" r:id="rId390"/>
    <hyperlink xmlns:r="http://schemas.openxmlformats.org/officeDocument/2006/relationships" ref="C206" r:id="rId391"/>
    <hyperlink xmlns:r="http://schemas.openxmlformats.org/officeDocument/2006/relationships" ref="AE206" r:id="rId392"/>
    <hyperlink xmlns:r="http://schemas.openxmlformats.org/officeDocument/2006/relationships" ref="C207" r:id="rId393"/>
    <hyperlink xmlns:r="http://schemas.openxmlformats.org/officeDocument/2006/relationships" ref="N208" r:id="rId394"/>
    <hyperlink xmlns:r="http://schemas.openxmlformats.org/officeDocument/2006/relationships" ref="M209" r:id="rId395"/>
    <hyperlink xmlns:r="http://schemas.openxmlformats.org/officeDocument/2006/relationships" ref="AE209" r:id="rId396"/>
    <hyperlink xmlns:r="http://schemas.openxmlformats.org/officeDocument/2006/relationships" ref="C210" r:id="rId397"/>
    <hyperlink xmlns:r="http://schemas.openxmlformats.org/officeDocument/2006/relationships" ref="N210" r:id="rId398"/>
    <hyperlink xmlns:r="http://schemas.openxmlformats.org/officeDocument/2006/relationships" ref="O210" r:id="rId399"/>
    <hyperlink xmlns:r="http://schemas.openxmlformats.org/officeDocument/2006/relationships" ref="C211" r:id="rId400"/>
    <hyperlink xmlns:r="http://schemas.openxmlformats.org/officeDocument/2006/relationships" ref="C212" r:id="rId401"/>
    <hyperlink xmlns:r="http://schemas.openxmlformats.org/officeDocument/2006/relationships" ref="K212" r:id="rId402"/>
    <hyperlink xmlns:r="http://schemas.openxmlformats.org/officeDocument/2006/relationships" ref="O212" r:id="rId403"/>
    <hyperlink xmlns:r="http://schemas.openxmlformats.org/officeDocument/2006/relationships" ref="AE212" r:id="rId404"/>
    <hyperlink xmlns:r="http://schemas.openxmlformats.org/officeDocument/2006/relationships" ref="C213" r:id="rId405"/>
    <hyperlink xmlns:r="http://schemas.openxmlformats.org/officeDocument/2006/relationships" ref="N214" r:id="rId406"/>
    <hyperlink xmlns:r="http://schemas.openxmlformats.org/officeDocument/2006/relationships" ref="C215" r:id="rId407"/>
    <hyperlink xmlns:r="http://schemas.openxmlformats.org/officeDocument/2006/relationships" ref="AE215" r:id="rId408"/>
    <hyperlink xmlns:r="http://schemas.openxmlformats.org/officeDocument/2006/relationships" ref="C216" r:id="rId409"/>
    <hyperlink xmlns:r="http://schemas.openxmlformats.org/officeDocument/2006/relationships" ref="AE216" r:id="rId410"/>
    <hyperlink xmlns:r="http://schemas.openxmlformats.org/officeDocument/2006/relationships" ref="N217" r:id="rId411"/>
    <hyperlink xmlns:r="http://schemas.openxmlformats.org/officeDocument/2006/relationships" ref="M218" r:id="rId412"/>
    <hyperlink xmlns:r="http://schemas.openxmlformats.org/officeDocument/2006/relationships" ref="AE218" r:id="rId413"/>
    <hyperlink xmlns:r="http://schemas.openxmlformats.org/officeDocument/2006/relationships" ref="C219" r:id="rId414"/>
    <hyperlink xmlns:r="http://schemas.openxmlformats.org/officeDocument/2006/relationships" ref="K219" r:id="rId415"/>
    <hyperlink xmlns:r="http://schemas.openxmlformats.org/officeDocument/2006/relationships" ref="N219" r:id="rId416"/>
    <hyperlink xmlns:r="http://schemas.openxmlformats.org/officeDocument/2006/relationships" ref="AE219" r:id="rId417"/>
    <hyperlink xmlns:r="http://schemas.openxmlformats.org/officeDocument/2006/relationships" ref="C220" r:id="rId418"/>
    <hyperlink xmlns:r="http://schemas.openxmlformats.org/officeDocument/2006/relationships" ref="AE220" r:id="rId419"/>
    <hyperlink xmlns:r="http://schemas.openxmlformats.org/officeDocument/2006/relationships" ref="C221" r:id="rId420"/>
    <hyperlink xmlns:r="http://schemas.openxmlformats.org/officeDocument/2006/relationships" ref="AE221" r:id="rId421"/>
    <hyperlink xmlns:r="http://schemas.openxmlformats.org/officeDocument/2006/relationships" ref="C222" r:id="rId422"/>
    <hyperlink xmlns:r="http://schemas.openxmlformats.org/officeDocument/2006/relationships" ref="K222" r:id="rId423"/>
    <hyperlink xmlns:r="http://schemas.openxmlformats.org/officeDocument/2006/relationships" ref="N222" r:id="rId424"/>
    <hyperlink xmlns:r="http://schemas.openxmlformats.org/officeDocument/2006/relationships" ref="AE222" r:id="rId425"/>
    <hyperlink xmlns:r="http://schemas.openxmlformats.org/officeDocument/2006/relationships" ref="C223" r:id="rId426"/>
    <hyperlink xmlns:r="http://schemas.openxmlformats.org/officeDocument/2006/relationships" ref="AE223" r:id="rId427"/>
    <hyperlink xmlns:r="http://schemas.openxmlformats.org/officeDocument/2006/relationships" ref="C224" r:id="rId428"/>
    <hyperlink xmlns:r="http://schemas.openxmlformats.org/officeDocument/2006/relationships" ref="N224" r:id="rId429"/>
    <hyperlink xmlns:r="http://schemas.openxmlformats.org/officeDocument/2006/relationships" ref="C225" r:id="rId430"/>
    <hyperlink xmlns:r="http://schemas.openxmlformats.org/officeDocument/2006/relationships" ref="AE225" r:id="rId431"/>
    <hyperlink xmlns:r="http://schemas.openxmlformats.org/officeDocument/2006/relationships" ref="C226" r:id="rId432"/>
    <hyperlink xmlns:r="http://schemas.openxmlformats.org/officeDocument/2006/relationships" ref="AE226" r:id="rId433"/>
    <hyperlink xmlns:r="http://schemas.openxmlformats.org/officeDocument/2006/relationships" ref="C227" r:id="rId434"/>
    <hyperlink xmlns:r="http://schemas.openxmlformats.org/officeDocument/2006/relationships" ref="AE227" r:id="rId435"/>
    <hyperlink xmlns:r="http://schemas.openxmlformats.org/officeDocument/2006/relationships" ref="C228" r:id="rId436"/>
    <hyperlink xmlns:r="http://schemas.openxmlformats.org/officeDocument/2006/relationships" ref="AE228" r:id="rId437"/>
    <hyperlink xmlns:r="http://schemas.openxmlformats.org/officeDocument/2006/relationships" ref="C229" r:id="rId438"/>
    <hyperlink xmlns:r="http://schemas.openxmlformats.org/officeDocument/2006/relationships" ref="N229" r:id="rId439"/>
    <hyperlink xmlns:r="http://schemas.openxmlformats.org/officeDocument/2006/relationships" ref="C230" r:id="rId440"/>
    <hyperlink xmlns:r="http://schemas.openxmlformats.org/officeDocument/2006/relationships" ref="O230" r:id="rId441"/>
    <hyperlink xmlns:r="http://schemas.openxmlformats.org/officeDocument/2006/relationships" ref="C231" r:id="rId442"/>
    <hyperlink xmlns:r="http://schemas.openxmlformats.org/officeDocument/2006/relationships" ref="AE231" r:id="rId443"/>
    <hyperlink xmlns:r="http://schemas.openxmlformats.org/officeDocument/2006/relationships" ref="C232" r:id="rId444"/>
    <hyperlink xmlns:r="http://schemas.openxmlformats.org/officeDocument/2006/relationships" ref="N232" r:id="rId445"/>
    <hyperlink xmlns:r="http://schemas.openxmlformats.org/officeDocument/2006/relationships" ref="AE232" r:id="rId446"/>
    <hyperlink xmlns:r="http://schemas.openxmlformats.org/officeDocument/2006/relationships" ref="C233" r:id="rId447"/>
    <hyperlink xmlns:r="http://schemas.openxmlformats.org/officeDocument/2006/relationships" ref="AE233" r:id="rId448"/>
    <hyperlink xmlns:r="http://schemas.openxmlformats.org/officeDocument/2006/relationships" ref="C234" r:id="rId449"/>
    <hyperlink xmlns:r="http://schemas.openxmlformats.org/officeDocument/2006/relationships" ref="AE234" r:id="rId450"/>
    <hyperlink xmlns:r="http://schemas.openxmlformats.org/officeDocument/2006/relationships" ref="C235" r:id="rId451"/>
    <hyperlink xmlns:r="http://schemas.openxmlformats.org/officeDocument/2006/relationships" ref="AE235" r:id="rId452"/>
    <hyperlink xmlns:r="http://schemas.openxmlformats.org/officeDocument/2006/relationships" ref="C236" r:id="rId453"/>
    <hyperlink xmlns:r="http://schemas.openxmlformats.org/officeDocument/2006/relationships" ref="N236" r:id="rId454"/>
    <hyperlink xmlns:r="http://schemas.openxmlformats.org/officeDocument/2006/relationships" ref="AE236" r:id="rId455"/>
    <hyperlink xmlns:r="http://schemas.openxmlformats.org/officeDocument/2006/relationships" ref="C237" r:id="rId456"/>
    <hyperlink xmlns:r="http://schemas.openxmlformats.org/officeDocument/2006/relationships" ref="AE237" r:id="rId457"/>
    <hyperlink xmlns:r="http://schemas.openxmlformats.org/officeDocument/2006/relationships" ref="M238" r:id="rId458"/>
    <hyperlink xmlns:r="http://schemas.openxmlformats.org/officeDocument/2006/relationships" ref="AE238" r:id="rId459"/>
    <hyperlink xmlns:r="http://schemas.openxmlformats.org/officeDocument/2006/relationships" ref="J239" r:id="rId460"/>
    <hyperlink xmlns:r="http://schemas.openxmlformats.org/officeDocument/2006/relationships" ref="N239" r:id="rId461"/>
    <hyperlink xmlns:r="http://schemas.openxmlformats.org/officeDocument/2006/relationships" ref="C240" r:id="rId462"/>
    <hyperlink xmlns:r="http://schemas.openxmlformats.org/officeDocument/2006/relationships" ref="AE240" r:id="rId463"/>
    <hyperlink xmlns:r="http://schemas.openxmlformats.org/officeDocument/2006/relationships" ref="C241" r:id="rId464"/>
    <hyperlink xmlns:r="http://schemas.openxmlformats.org/officeDocument/2006/relationships" ref="N241" r:id="rId465"/>
    <hyperlink xmlns:r="http://schemas.openxmlformats.org/officeDocument/2006/relationships" ref="AE241" r:id="rId466"/>
    <hyperlink xmlns:r="http://schemas.openxmlformats.org/officeDocument/2006/relationships" ref="C242" r:id="rId467"/>
    <hyperlink xmlns:r="http://schemas.openxmlformats.org/officeDocument/2006/relationships" ref="AE242" r:id="rId468"/>
    <hyperlink xmlns:r="http://schemas.openxmlformats.org/officeDocument/2006/relationships" ref="C243" r:id="rId469"/>
    <hyperlink xmlns:r="http://schemas.openxmlformats.org/officeDocument/2006/relationships" ref="N243" r:id="rId470"/>
    <hyperlink xmlns:r="http://schemas.openxmlformats.org/officeDocument/2006/relationships" ref="N244" r:id="rId471"/>
    <hyperlink xmlns:r="http://schemas.openxmlformats.org/officeDocument/2006/relationships" ref="O244" r:id="rId472"/>
    <hyperlink xmlns:r="http://schemas.openxmlformats.org/officeDocument/2006/relationships" ref="C245" r:id="rId473"/>
    <hyperlink xmlns:r="http://schemas.openxmlformats.org/officeDocument/2006/relationships" ref="N245" r:id="rId474"/>
    <hyperlink xmlns:r="http://schemas.openxmlformats.org/officeDocument/2006/relationships" ref="AE245" r:id="rId475"/>
    <hyperlink xmlns:r="http://schemas.openxmlformats.org/officeDocument/2006/relationships" ref="C246" r:id="rId476"/>
    <hyperlink xmlns:r="http://schemas.openxmlformats.org/officeDocument/2006/relationships" ref="N246" location="/" r:id="rId477"/>
    <hyperlink xmlns:r="http://schemas.openxmlformats.org/officeDocument/2006/relationships" ref="AE246" r:id="rId478"/>
    <hyperlink xmlns:r="http://schemas.openxmlformats.org/officeDocument/2006/relationships" ref="C247" r:id="rId479"/>
    <hyperlink xmlns:r="http://schemas.openxmlformats.org/officeDocument/2006/relationships" ref="AE247" r:id="rId480"/>
    <hyperlink xmlns:r="http://schemas.openxmlformats.org/officeDocument/2006/relationships" ref="M248" r:id="rId481"/>
    <hyperlink xmlns:r="http://schemas.openxmlformats.org/officeDocument/2006/relationships" ref="AE248" r:id="rId482"/>
    <hyperlink xmlns:r="http://schemas.openxmlformats.org/officeDocument/2006/relationships" ref="C249" r:id="rId483"/>
    <hyperlink xmlns:r="http://schemas.openxmlformats.org/officeDocument/2006/relationships" ref="K249" r:id="rId484"/>
    <hyperlink xmlns:r="http://schemas.openxmlformats.org/officeDocument/2006/relationships" ref="N250" r:id="rId485"/>
    <hyperlink xmlns:r="http://schemas.openxmlformats.org/officeDocument/2006/relationships" ref="L251" r:id="rId486"/>
    <hyperlink xmlns:r="http://schemas.openxmlformats.org/officeDocument/2006/relationships" ref="M251" r:id="rId487"/>
    <hyperlink xmlns:r="http://schemas.openxmlformats.org/officeDocument/2006/relationships" ref="N251" r:id="rId488"/>
    <hyperlink xmlns:r="http://schemas.openxmlformats.org/officeDocument/2006/relationships" ref="AE251" r:id="rId489"/>
    <hyperlink xmlns:r="http://schemas.openxmlformats.org/officeDocument/2006/relationships" ref="C252" r:id="rId490"/>
    <hyperlink xmlns:r="http://schemas.openxmlformats.org/officeDocument/2006/relationships" ref="AE252" r:id="rId491"/>
    <hyperlink xmlns:r="http://schemas.openxmlformats.org/officeDocument/2006/relationships" ref="J253" r:id="rId492"/>
    <hyperlink xmlns:r="http://schemas.openxmlformats.org/officeDocument/2006/relationships" ref="E254" r:id="rId493"/>
    <hyperlink xmlns:r="http://schemas.openxmlformats.org/officeDocument/2006/relationships" ref="N254" r:id="rId494"/>
    <hyperlink xmlns:r="http://schemas.openxmlformats.org/officeDocument/2006/relationships" ref="AE254" r:id="rId495"/>
    <hyperlink xmlns:r="http://schemas.openxmlformats.org/officeDocument/2006/relationships" ref="H255" r:id="rId496"/>
    <hyperlink xmlns:r="http://schemas.openxmlformats.org/officeDocument/2006/relationships" ref="N255" r:id="rId497"/>
    <hyperlink xmlns:r="http://schemas.openxmlformats.org/officeDocument/2006/relationships" ref="C256" r:id="rId498"/>
    <hyperlink xmlns:r="http://schemas.openxmlformats.org/officeDocument/2006/relationships" ref="N256" r:id="rId499"/>
    <hyperlink xmlns:r="http://schemas.openxmlformats.org/officeDocument/2006/relationships" ref="C257" r:id="rId500"/>
    <hyperlink xmlns:r="http://schemas.openxmlformats.org/officeDocument/2006/relationships" ref="C258" r:id="rId501"/>
    <hyperlink xmlns:r="http://schemas.openxmlformats.org/officeDocument/2006/relationships" ref="K258" r:id="rId502"/>
    <hyperlink xmlns:r="http://schemas.openxmlformats.org/officeDocument/2006/relationships" ref="N258" r:id="rId503"/>
    <hyperlink xmlns:r="http://schemas.openxmlformats.org/officeDocument/2006/relationships" ref="C259" r:id="rId504"/>
    <hyperlink xmlns:r="http://schemas.openxmlformats.org/officeDocument/2006/relationships" ref="C260" r:id="rId505"/>
    <hyperlink xmlns:r="http://schemas.openxmlformats.org/officeDocument/2006/relationships" ref="AE260" r:id="rId506"/>
    <hyperlink xmlns:r="http://schemas.openxmlformats.org/officeDocument/2006/relationships" ref="C261" r:id="rId507"/>
    <hyperlink xmlns:r="http://schemas.openxmlformats.org/officeDocument/2006/relationships" ref="C262" r:id="rId508"/>
    <hyperlink xmlns:r="http://schemas.openxmlformats.org/officeDocument/2006/relationships" ref="C263" r:id="rId509"/>
    <hyperlink xmlns:r="http://schemas.openxmlformats.org/officeDocument/2006/relationships" ref="K263" r:id="rId510"/>
    <hyperlink xmlns:r="http://schemas.openxmlformats.org/officeDocument/2006/relationships" ref="N263" r:id="rId511"/>
    <hyperlink xmlns:r="http://schemas.openxmlformats.org/officeDocument/2006/relationships" ref="AE263" r:id="rId512"/>
    <hyperlink xmlns:r="http://schemas.openxmlformats.org/officeDocument/2006/relationships" ref="C264" r:id="rId513"/>
    <hyperlink xmlns:r="http://schemas.openxmlformats.org/officeDocument/2006/relationships" ref="N264" r:id="rId514"/>
    <hyperlink xmlns:r="http://schemas.openxmlformats.org/officeDocument/2006/relationships" ref="C265" r:id="rId515"/>
    <hyperlink xmlns:r="http://schemas.openxmlformats.org/officeDocument/2006/relationships" ref="N265" r:id="rId516"/>
    <hyperlink xmlns:r="http://schemas.openxmlformats.org/officeDocument/2006/relationships" ref="AE265" r:id="rId517"/>
    <hyperlink xmlns:r="http://schemas.openxmlformats.org/officeDocument/2006/relationships" ref="C266" r:id="rId518"/>
    <hyperlink xmlns:r="http://schemas.openxmlformats.org/officeDocument/2006/relationships" ref="K266" r:id="rId519"/>
    <hyperlink xmlns:r="http://schemas.openxmlformats.org/officeDocument/2006/relationships" ref="N266" r:id="rId520"/>
    <hyperlink xmlns:r="http://schemas.openxmlformats.org/officeDocument/2006/relationships" ref="AE266" r:id="rId521"/>
    <hyperlink xmlns:r="http://schemas.openxmlformats.org/officeDocument/2006/relationships" ref="C267" r:id="rId522"/>
    <hyperlink xmlns:r="http://schemas.openxmlformats.org/officeDocument/2006/relationships" ref="C268" r:id="rId523"/>
    <hyperlink xmlns:r="http://schemas.openxmlformats.org/officeDocument/2006/relationships" ref="N268" r:id="rId524"/>
    <hyperlink xmlns:r="http://schemas.openxmlformats.org/officeDocument/2006/relationships" ref="AE268" r:id="rId525"/>
    <hyperlink xmlns:r="http://schemas.openxmlformats.org/officeDocument/2006/relationships" ref="M269" r:id="rId526"/>
    <hyperlink xmlns:r="http://schemas.openxmlformats.org/officeDocument/2006/relationships" ref="N269" r:id="rId527"/>
    <hyperlink xmlns:r="http://schemas.openxmlformats.org/officeDocument/2006/relationships" ref="AE269" r:id="rId528"/>
    <hyperlink xmlns:r="http://schemas.openxmlformats.org/officeDocument/2006/relationships" ref="C270" r:id="rId529"/>
    <hyperlink xmlns:r="http://schemas.openxmlformats.org/officeDocument/2006/relationships" ref="AE270" r:id="rId530"/>
    <hyperlink xmlns:r="http://schemas.openxmlformats.org/officeDocument/2006/relationships" ref="C271" r:id="rId531"/>
    <hyperlink xmlns:r="http://schemas.openxmlformats.org/officeDocument/2006/relationships" ref="AE271" r:id="rId532"/>
    <hyperlink xmlns:r="http://schemas.openxmlformats.org/officeDocument/2006/relationships" ref="C272" r:id="rId533"/>
    <hyperlink xmlns:r="http://schemas.openxmlformats.org/officeDocument/2006/relationships" ref="K272" r:id="rId534"/>
    <hyperlink xmlns:r="http://schemas.openxmlformats.org/officeDocument/2006/relationships" ref="N273" r:id="rId535"/>
    <hyperlink xmlns:r="http://schemas.openxmlformats.org/officeDocument/2006/relationships" ref="C274" r:id="rId536"/>
    <hyperlink xmlns:r="http://schemas.openxmlformats.org/officeDocument/2006/relationships" ref="AE274" r:id="rId537"/>
    <hyperlink xmlns:r="http://schemas.openxmlformats.org/officeDocument/2006/relationships" ref="C275" r:id="rId538"/>
    <hyperlink xmlns:r="http://schemas.openxmlformats.org/officeDocument/2006/relationships" ref="AE275" r:id="rId539"/>
    <hyperlink xmlns:r="http://schemas.openxmlformats.org/officeDocument/2006/relationships" ref="C276" r:id="rId540"/>
    <hyperlink xmlns:r="http://schemas.openxmlformats.org/officeDocument/2006/relationships" ref="AE276" r:id="rId541"/>
    <hyperlink xmlns:r="http://schemas.openxmlformats.org/officeDocument/2006/relationships" ref="N277" r:id="rId542"/>
    <hyperlink xmlns:r="http://schemas.openxmlformats.org/officeDocument/2006/relationships" ref="C278" r:id="rId543"/>
    <hyperlink xmlns:r="http://schemas.openxmlformats.org/officeDocument/2006/relationships" ref="AE278" r:id="rId544"/>
    <hyperlink xmlns:r="http://schemas.openxmlformats.org/officeDocument/2006/relationships" ref="C279" r:id="rId545"/>
    <hyperlink xmlns:r="http://schemas.openxmlformats.org/officeDocument/2006/relationships" ref="AE279" r:id="rId546"/>
    <hyperlink xmlns:r="http://schemas.openxmlformats.org/officeDocument/2006/relationships" ref="C280" r:id="rId547"/>
    <hyperlink xmlns:r="http://schemas.openxmlformats.org/officeDocument/2006/relationships" ref="AE280" r:id="rId548"/>
    <hyperlink xmlns:r="http://schemas.openxmlformats.org/officeDocument/2006/relationships" ref="C281" r:id="rId549"/>
    <hyperlink xmlns:r="http://schemas.openxmlformats.org/officeDocument/2006/relationships" ref="K281" r:id="rId550"/>
    <hyperlink xmlns:r="http://schemas.openxmlformats.org/officeDocument/2006/relationships" ref="N281" r:id="rId551"/>
    <hyperlink xmlns:r="http://schemas.openxmlformats.org/officeDocument/2006/relationships" ref="AE281" r:id="rId552"/>
    <hyperlink xmlns:r="http://schemas.openxmlformats.org/officeDocument/2006/relationships" ref="C282" r:id="rId553"/>
    <hyperlink xmlns:r="http://schemas.openxmlformats.org/officeDocument/2006/relationships" ref="AE282" r:id="rId554"/>
    <hyperlink xmlns:r="http://schemas.openxmlformats.org/officeDocument/2006/relationships" ref="C283" r:id="rId555"/>
    <hyperlink xmlns:r="http://schemas.openxmlformats.org/officeDocument/2006/relationships" ref="N283" r:id="rId556"/>
    <hyperlink xmlns:r="http://schemas.openxmlformats.org/officeDocument/2006/relationships" ref="AE283" r:id="rId557"/>
    <hyperlink xmlns:r="http://schemas.openxmlformats.org/officeDocument/2006/relationships" ref="C284" r:id="rId558"/>
    <hyperlink xmlns:r="http://schemas.openxmlformats.org/officeDocument/2006/relationships" ref="N284" r:id="rId559"/>
    <hyperlink xmlns:r="http://schemas.openxmlformats.org/officeDocument/2006/relationships" ref="C285" r:id="rId560"/>
    <hyperlink xmlns:r="http://schemas.openxmlformats.org/officeDocument/2006/relationships" ref="AE285" r:id="rId561"/>
    <hyperlink xmlns:r="http://schemas.openxmlformats.org/officeDocument/2006/relationships" ref="C286" r:id="rId562"/>
    <hyperlink xmlns:r="http://schemas.openxmlformats.org/officeDocument/2006/relationships" ref="AE286" r:id="rId563"/>
    <hyperlink xmlns:r="http://schemas.openxmlformats.org/officeDocument/2006/relationships" ref="C287" r:id="rId564"/>
    <hyperlink xmlns:r="http://schemas.openxmlformats.org/officeDocument/2006/relationships" ref="C288" r:id="rId565"/>
    <hyperlink xmlns:r="http://schemas.openxmlformats.org/officeDocument/2006/relationships" ref="N288" r:id="rId566"/>
    <hyperlink xmlns:r="http://schemas.openxmlformats.org/officeDocument/2006/relationships" ref="C289" r:id="rId567"/>
    <hyperlink xmlns:r="http://schemas.openxmlformats.org/officeDocument/2006/relationships" ref="C290" r:id="rId568"/>
    <hyperlink xmlns:r="http://schemas.openxmlformats.org/officeDocument/2006/relationships" ref="N291" r:id="rId569"/>
    <hyperlink xmlns:r="http://schemas.openxmlformats.org/officeDocument/2006/relationships" ref="C292" r:id="rId570"/>
    <hyperlink xmlns:r="http://schemas.openxmlformats.org/officeDocument/2006/relationships" ref="N292" r:id="rId571"/>
    <hyperlink xmlns:r="http://schemas.openxmlformats.org/officeDocument/2006/relationships" ref="AE292" r:id="rId572"/>
    <hyperlink xmlns:r="http://schemas.openxmlformats.org/officeDocument/2006/relationships" ref="C293" r:id="rId573"/>
    <hyperlink xmlns:r="http://schemas.openxmlformats.org/officeDocument/2006/relationships" ref="N293" r:id="rId574"/>
    <hyperlink xmlns:r="http://schemas.openxmlformats.org/officeDocument/2006/relationships" ref="AE293" r:id="rId575"/>
    <hyperlink xmlns:r="http://schemas.openxmlformats.org/officeDocument/2006/relationships" ref="C294" r:id="rId576"/>
    <hyperlink xmlns:r="http://schemas.openxmlformats.org/officeDocument/2006/relationships" ref="N294" r:id="rId577"/>
    <hyperlink xmlns:r="http://schemas.openxmlformats.org/officeDocument/2006/relationships" ref="AE294" r:id="rId578"/>
    <hyperlink xmlns:r="http://schemas.openxmlformats.org/officeDocument/2006/relationships" ref="C295" r:id="rId579"/>
    <hyperlink xmlns:r="http://schemas.openxmlformats.org/officeDocument/2006/relationships" ref="AE295" r:id="rId580"/>
    <hyperlink xmlns:r="http://schemas.openxmlformats.org/officeDocument/2006/relationships" ref="M296" r:id="rId581"/>
    <hyperlink xmlns:r="http://schemas.openxmlformats.org/officeDocument/2006/relationships" ref="AE296" r:id="rId582"/>
    <hyperlink xmlns:r="http://schemas.openxmlformats.org/officeDocument/2006/relationships" ref="C297" r:id="rId583"/>
    <hyperlink xmlns:r="http://schemas.openxmlformats.org/officeDocument/2006/relationships" ref="N297" r:id="rId584"/>
    <hyperlink xmlns:r="http://schemas.openxmlformats.org/officeDocument/2006/relationships" ref="O297" r:id="rId585"/>
    <hyperlink xmlns:r="http://schemas.openxmlformats.org/officeDocument/2006/relationships" ref="C298" r:id="rId586"/>
    <hyperlink xmlns:r="http://schemas.openxmlformats.org/officeDocument/2006/relationships" ref="N298" r:id="rId587"/>
    <hyperlink xmlns:r="http://schemas.openxmlformats.org/officeDocument/2006/relationships" ref="C299" r:id="rId588"/>
    <hyperlink xmlns:r="http://schemas.openxmlformats.org/officeDocument/2006/relationships" ref="N299" r:id="rId589"/>
    <hyperlink xmlns:r="http://schemas.openxmlformats.org/officeDocument/2006/relationships" ref="C300" r:id="rId590"/>
    <hyperlink xmlns:r="http://schemas.openxmlformats.org/officeDocument/2006/relationships" ref="C301" r:id="rId591"/>
    <hyperlink xmlns:r="http://schemas.openxmlformats.org/officeDocument/2006/relationships" ref="C302" r:id="rId592"/>
    <hyperlink xmlns:r="http://schemas.openxmlformats.org/officeDocument/2006/relationships" ref="AE302" r:id="rId593"/>
    <hyperlink xmlns:r="http://schemas.openxmlformats.org/officeDocument/2006/relationships" ref="C303" r:id="rId594"/>
    <hyperlink xmlns:r="http://schemas.openxmlformats.org/officeDocument/2006/relationships" ref="N303" r:id="rId595"/>
    <hyperlink xmlns:r="http://schemas.openxmlformats.org/officeDocument/2006/relationships" ref="AE303" r:id="rId596"/>
    <hyperlink xmlns:r="http://schemas.openxmlformats.org/officeDocument/2006/relationships" ref="C304" r:id="rId597"/>
    <hyperlink xmlns:r="http://schemas.openxmlformats.org/officeDocument/2006/relationships" ref="K304" r:id="rId598"/>
    <hyperlink xmlns:r="http://schemas.openxmlformats.org/officeDocument/2006/relationships" ref="AE304" r:id="rId599"/>
    <hyperlink xmlns:r="http://schemas.openxmlformats.org/officeDocument/2006/relationships" ref="D305" r:id="rId600"/>
    <hyperlink xmlns:r="http://schemas.openxmlformats.org/officeDocument/2006/relationships" ref="AE305" r:id="rId601"/>
    <hyperlink xmlns:r="http://schemas.openxmlformats.org/officeDocument/2006/relationships" ref="M306" r:id="rId602"/>
    <hyperlink xmlns:r="http://schemas.openxmlformats.org/officeDocument/2006/relationships" ref="AE306" r:id="rId603"/>
    <hyperlink xmlns:r="http://schemas.openxmlformats.org/officeDocument/2006/relationships" ref="N307" r:id="rId604"/>
    <hyperlink xmlns:r="http://schemas.openxmlformats.org/officeDocument/2006/relationships" ref="C308" r:id="rId605"/>
    <hyperlink xmlns:r="http://schemas.openxmlformats.org/officeDocument/2006/relationships" ref="N308" r:id="rId606"/>
    <hyperlink xmlns:r="http://schemas.openxmlformats.org/officeDocument/2006/relationships" ref="AE308" r:id="rId607"/>
    <hyperlink xmlns:r="http://schemas.openxmlformats.org/officeDocument/2006/relationships" ref="C309" r:id="rId608"/>
    <hyperlink xmlns:r="http://schemas.openxmlformats.org/officeDocument/2006/relationships" ref="N309" r:id="rId609"/>
    <hyperlink xmlns:r="http://schemas.openxmlformats.org/officeDocument/2006/relationships" ref="C310" r:id="rId610"/>
    <hyperlink xmlns:r="http://schemas.openxmlformats.org/officeDocument/2006/relationships" ref="AE310" r:id="rId611"/>
    <hyperlink xmlns:r="http://schemas.openxmlformats.org/officeDocument/2006/relationships" ref="C311" r:id="rId612"/>
    <hyperlink xmlns:r="http://schemas.openxmlformats.org/officeDocument/2006/relationships" ref="C312" r:id="rId613"/>
    <hyperlink xmlns:r="http://schemas.openxmlformats.org/officeDocument/2006/relationships" ref="N312" r:id="rId614"/>
    <hyperlink xmlns:r="http://schemas.openxmlformats.org/officeDocument/2006/relationships" ref="AE312" r:id="rId615"/>
    <hyperlink xmlns:r="http://schemas.openxmlformats.org/officeDocument/2006/relationships" ref="C313" r:id="rId616"/>
    <hyperlink xmlns:r="http://schemas.openxmlformats.org/officeDocument/2006/relationships" ref="N313" r:id="rId617"/>
    <hyperlink xmlns:r="http://schemas.openxmlformats.org/officeDocument/2006/relationships" ref="AE313" r:id="rId618"/>
    <hyperlink xmlns:r="http://schemas.openxmlformats.org/officeDocument/2006/relationships" ref="C314" r:id="rId619"/>
    <hyperlink xmlns:r="http://schemas.openxmlformats.org/officeDocument/2006/relationships" ref="C315" r:id="rId620"/>
    <hyperlink xmlns:r="http://schemas.openxmlformats.org/officeDocument/2006/relationships" ref="AE315" r:id="rId621"/>
    <hyperlink xmlns:r="http://schemas.openxmlformats.org/officeDocument/2006/relationships" ref="C316" r:id="rId622"/>
    <hyperlink xmlns:r="http://schemas.openxmlformats.org/officeDocument/2006/relationships" ref="AE316" r:id="rId623"/>
    <hyperlink xmlns:r="http://schemas.openxmlformats.org/officeDocument/2006/relationships" ref="C317" r:id="rId624"/>
    <hyperlink xmlns:r="http://schemas.openxmlformats.org/officeDocument/2006/relationships" ref="M317" r:id="rId625"/>
    <hyperlink xmlns:r="http://schemas.openxmlformats.org/officeDocument/2006/relationships" ref="AE317" r:id="rId626"/>
    <hyperlink xmlns:r="http://schemas.openxmlformats.org/officeDocument/2006/relationships" ref="C318" r:id="rId627"/>
    <hyperlink xmlns:r="http://schemas.openxmlformats.org/officeDocument/2006/relationships" ref="K318" r:id="rId628"/>
    <hyperlink xmlns:r="http://schemas.openxmlformats.org/officeDocument/2006/relationships" ref="N318" r:id="rId629"/>
    <hyperlink xmlns:r="http://schemas.openxmlformats.org/officeDocument/2006/relationships" ref="AE318" r:id="rId630"/>
    <hyperlink xmlns:r="http://schemas.openxmlformats.org/officeDocument/2006/relationships" ref="C319" r:id="rId631"/>
    <hyperlink xmlns:r="http://schemas.openxmlformats.org/officeDocument/2006/relationships" ref="AE319" r:id="rId632"/>
    <hyperlink xmlns:r="http://schemas.openxmlformats.org/officeDocument/2006/relationships" ref="C320" r:id="rId633"/>
    <hyperlink xmlns:r="http://schemas.openxmlformats.org/officeDocument/2006/relationships" ref="AE320" r:id="rId634"/>
    <hyperlink xmlns:r="http://schemas.openxmlformats.org/officeDocument/2006/relationships" ref="C321" r:id="rId635"/>
    <hyperlink xmlns:r="http://schemas.openxmlformats.org/officeDocument/2006/relationships" ref="AE321" r:id="rId636"/>
    <hyperlink xmlns:r="http://schemas.openxmlformats.org/officeDocument/2006/relationships" ref="C322" r:id="rId637"/>
    <hyperlink xmlns:r="http://schemas.openxmlformats.org/officeDocument/2006/relationships" ref="AE322" r:id="rId638"/>
    <hyperlink xmlns:r="http://schemas.openxmlformats.org/officeDocument/2006/relationships" ref="C323" r:id="rId639"/>
    <hyperlink xmlns:r="http://schemas.openxmlformats.org/officeDocument/2006/relationships" ref="N323" r:id="rId640"/>
    <hyperlink xmlns:r="http://schemas.openxmlformats.org/officeDocument/2006/relationships" ref="AE323" r:id="rId641"/>
    <hyperlink xmlns:r="http://schemas.openxmlformats.org/officeDocument/2006/relationships" ref="C324" r:id="rId642"/>
    <hyperlink xmlns:r="http://schemas.openxmlformats.org/officeDocument/2006/relationships" ref="AE324" r:id="rId643"/>
    <hyperlink xmlns:r="http://schemas.openxmlformats.org/officeDocument/2006/relationships" ref="C325" r:id="rId644"/>
    <hyperlink xmlns:r="http://schemas.openxmlformats.org/officeDocument/2006/relationships" ref="AE325" r:id="rId645"/>
    <hyperlink xmlns:r="http://schemas.openxmlformats.org/officeDocument/2006/relationships" ref="N326" r:id="rId646"/>
    <hyperlink xmlns:r="http://schemas.openxmlformats.org/officeDocument/2006/relationships" ref="H327" r:id="rId647"/>
    <hyperlink xmlns:r="http://schemas.openxmlformats.org/officeDocument/2006/relationships" ref="N327" r:id="rId648"/>
    <hyperlink xmlns:r="http://schemas.openxmlformats.org/officeDocument/2006/relationships" ref="C328" r:id="rId649"/>
    <hyperlink xmlns:r="http://schemas.openxmlformats.org/officeDocument/2006/relationships" ref="N328" r:id="rId650"/>
    <hyperlink xmlns:r="http://schemas.openxmlformats.org/officeDocument/2006/relationships" ref="C329" r:id="rId651"/>
    <hyperlink xmlns:r="http://schemas.openxmlformats.org/officeDocument/2006/relationships" ref="N329" r:id="rId652"/>
    <hyperlink xmlns:r="http://schemas.openxmlformats.org/officeDocument/2006/relationships" ref="O329" r:id="rId653"/>
    <hyperlink xmlns:r="http://schemas.openxmlformats.org/officeDocument/2006/relationships" ref="AE329" r:id="rId654"/>
    <hyperlink xmlns:r="http://schemas.openxmlformats.org/officeDocument/2006/relationships" ref="C330" r:id="rId655"/>
    <hyperlink xmlns:r="http://schemas.openxmlformats.org/officeDocument/2006/relationships" ref="AE330" r:id="rId656"/>
    <hyperlink xmlns:r="http://schemas.openxmlformats.org/officeDocument/2006/relationships" ref="C331" r:id="rId657"/>
    <hyperlink xmlns:r="http://schemas.openxmlformats.org/officeDocument/2006/relationships" ref="N331" r:id="rId658"/>
    <hyperlink xmlns:r="http://schemas.openxmlformats.org/officeDocument/2006/relationships" ref="A332" r:id="rId659"/>
    <hyperlink xmlns:r="http://schemas.openxmlformats.org/officeDocument/2006/relationships" ref="G332" r:id="rId660"/>
    <hyperlink xmlns:r="http://schemas.openxmlformats.org/officeDocument/2006/relationships" ref="C333" r:id="rId661"/>
    <hyperlink xmlns:r="http://schemas.openxmlformats.org/officeDocument/2006/relationships" ref="N333" r:id="rId662"/>
    <hyperlink xmlns:r="http://schemas.openxmlformats.org/officeDocument/2006/relationships" ref="AE333" r:id="rId663"/>
    <hyperlink xmlns:r="http://schemas.openxmlformats.org/officeDocument/2006/relationships" ref="C334" r:id="rId664"/>
    <hyperlink xmlns:r="http://schemas.openxmlformats.org/officeDocument/2006/relationships" ref="N334" r:id="rId665"/>
    <hyperlink xmlns:r="http://schemas.openxmlformats.org/officeDocument/2006/relationships" ref="AE334" r:id="rId666"/>
    <hyperlink xmlns:r="http://schemas.openxmlformats.org/officeDocument/2006/relationships" ref="C335" r:id="rId667"/>
    <hyperlink xmlns:r="http://schemas.openxmlformats.org/officeDocument/2006/relationships" ref="D336" r:id="rId668"/>
    <hyperlink xmlns:r="http://schemas.openxmlformats.org/officeDocument/2006/relationships" ref="AE336" r:id="rId669"/>
    <hyperlink xmlns:r="http://schemas.openxmlformats.org/officeDocument/2006/relationships" ref="C337" r:id="rId670"/>
    <hyperlink xmlns:r="http://schemas.openxmlformats.org/officeDocument/2006/relationships" ref="AE337" r:id="rId671"/>
    <hyperlink xmlns:r="http://schemas.openxmlformats.org/officeDocument/2006/relationships" ref="C338" r:id="rId672"/>
    <hyperlink xmlns:r="http://schemas.openxmlformats.org/officeDocument/2006/relationships" ref="AE338" r:id="rId673"/>
    <hyperlink xmlns:r="http://schemas.openxmlformats.org/officeDocument/2006/relationships" ref="C339" r:id="rId674"/>
    <hyperlink xmlns:r="http://schemas.openxmlformats.org/officeDocument/2006/relationships" ref="AE339" r:id="rId675"/>
    <hyperlink xmlns:r="http://schemas.openxmlformats.org/officeDocument/2006/relationships" ref="C340" r:id="rId676"/>
    <hyperlink xmlns:r="http://schemas.openxmlformats.org/officeDocument/2006/relationships" ref="AE340" r:id="rId677"/>
    <hyperlink xmlns:r="http://schemas.openxmlformats.org/officeDocument/2006/relationships" ref="C341" r:id="rId678"/>
    <hyperlink xmlns:r="http://schemas.openxmlformats.org/officeDocument/2006/relationships" ref="AE341" r:id="rId679"/>
    <hyperlink xmlns:r="http://schemas.openxmlformats.org/officeDocument/2006/relationships" ref="C342" r:id="rId680"/>
    <hyperlink xmlns:r="http://schemas.openxmlformats.org/officeDocument/2006/relationships" ref="AE342" r:id="rId681"/>
    <hyperlink xmlns:r="http://schemas.openxmlformats.org/officeDocument/2006/relationships" ref="C343" r:id="rId682"/>
    <hyperlink xmlns:r="http://schemas.openxmlformats.org/officeDocument/2006/relationships" ref="C344" r:id="rId683"/>
    <hyperlink xmlns:r="http://schemas.openxmlformats.org/officeDocument/2006/relationships" ref="C345" r:id="rId684"/>
    <hyperlink xmlns:r="http://schemas.openxmlformats.org/officeDocument/2006/relationships" ref="AE345" r:id="rId685"/>
    <hyperlink xmlns:r="http://schemas.openxmlformats.org/officeDocument/2006/relationships" ref="C346" r:id="rId686"/>
    <hyperlink xmlns:r="http://schemas.openxmlformats.org/officeDocument/2006/relationships" ref="N346" r:id="rId687"/>
    <hyperlink xmlns:r="http://schemas.openxmlformats.org/officeDocument/2006/relationships" ref="AE346" r:id="rId688"/>
    <hyperlink xmlns:r="http://schemas.openxmlformats.org/officeDocument/2006/relationships" ref="C347" r:id="rId689"/>
    <hyperlink xmlns:r="http://schemas.openxmlformats.org/officeDocument/2006/relationships" ref="N347" r:id="rId690"/>
    <hyperlink xmlns:r="http://schemas.openxmlformats.org/officeDocument/2006/relationships" ref="AE347" r:id="rId691"/>
    <hyperlink xmlns:r="http://schemas.openxmlformats.org/officeDocument/2006/relationships" ref="C348" r:id="rId692"/>
    <hyperlink xmlns:r="http://schemas.openxmlformats.org/officeDocument/2006/relationships" ref="N348" r:id="rId693"/>
    <hyperlink xmlns:r="http://schemas.openxmlformats.org/officeDocument/2006/relationships" ref="AE348" r:id="rId694"/>
    <hyperlink xmlns:r="http://schemas.openxmlformats.org/officeDocument/2006/relationships" ref="C349" r:id="rId695"/>
    <hyperlink xmlns:r="http://schemas.openxmlformats.org/officeDocument/2006/relationships" ref="AE349" r:id="rId696"/>
    <hyperlink xmlns:r="http://schemas.openxmlformats.org/officeDocument/2006/relationships" ref="C350" r:id="rId697"/>
    <hyperlink xmlns:r="http://schemas.openxmlformats.org/officeDocument/2006/relationships" ref="K350" r:id="rId698"/>
    <hyperlink xmlns:r="http://schemas.openxmlformats.org/officeDocument/2006/relationships" ref="N350" r:id="rId699"/>
    <hyperlink xmlns:r="http://schemas.openxmlformats.org/officeDocument/2006/relationships" ref="C351" r:id="rId700"/>
    <hyperlink xmlns:r="http://schemas.openxmlformats.org/officeDocument/2006/relationships" ref="AE351" r:id="rId701"/>
    <hyperlink xmlns:r="http://schemas.openxmlformats.org/officeDocument/2006/relationships" ref="N352" r:id="rId702"/>
    <hyperlink xmlns:r="http://schemas.openxmlformats.org/officeDocument/2006/relationships" ref="C353" r:id="rId703"/>
    <hyperlink xmlns:r="http://schemas.openxmlformats.org/officeDocument/2006/relationships" ref="C354" r:id="rId704"/>
    <hyperlink xmlns:r="http://schemas.openxmlformats.org/officeDocument/2006/relationships" ref="AE354" r:id="rId705"/>
    <hyperlink xmlns:r="http://schemas.openxmlformats.org/officeDocument/2006/relationships" ref="C355" r:id="rId706"/>
    <hyperlink xmlns:r="http://schemas.openxmlformats.org/officeDocument/2006/relationships" ref="AE355" r:id="rId707"/>
    <hyperlink xmlns:r="http://schemas.openxmlformats.org/officeDocument/2006/relationships" ref="C356" r:id="rId708"/>
    <hyperlink xmlns:r="http://schemas.openxmlformats.org/officeDocument/2006/relationships" ref="AE356" r:id="rId709"/>
    <hyperlink xmlns:r="http://schemas.openxmlformats.org/officeDocument/2006/relationships" ref="C357" r:id="rId710"/>
    <hyperlink xmlns:r="http://schemas.openxmlformats.org/officeDocument/2006/relationships" ref="AE357" r:id="rId711"/>
    <hyperlink xmlns:r="http://schemas.openxmlformats.org/officeDocument/2006/relationships" ref="N358" r:id="rId712"/>
    <hyperlink xmlns:r="http://schemas.openxmlformats.org/officeDocument/2006/relationships" ref="C359" r:id="rId713"/>
    <hyperlink xmlns:r="http://schemas.openxmlformats.org/officeDocument/2006/relationships" ref="N359" r:id="rId714"/>
    <hyperlink xmlns:r="http://schemas.openxmlformats.org/officeDocument/2006/relationships" ref="C360" r:id="rId715"/>
    <hyperlink xmlns:r="http://schemas.openxmlformats.org/officeDocument/2006/relationships" ref="C361" r:id="rId716"/>
    <hyperlink xmlns:r="http://schemas.openxmlformats.org/officeDocument/2006/relationships" ref="N362" r:id="rId717"/>
    <hyperlink xmlns:r="http://schemas.openxmlformats.org/officeDocument/2006/relationships" ref="C363" r:id="rId718"/>
    <hyperlink xmlns:r="http://schemas.openxmlformats.org/officeDocument/2006/relationships" ref="N363" r:id="rId719"/>
    <hyperlink xmlns:r="http://schemas.openxmlformats.org/officeDocument/2006/relationships" ref="O363" r:id="rId720"/>
    <hyperlink xmlns:r="http://schemas.openxmlformats.org/officeDocument/2006/relationships" ref="N364" r:id="rId721"/>
    <hyperlink xmlns:r="http://schemas.openxmlformats.org/officeDocument/2006/relationships" ref="C365" r:id="rId722"/>
    <hyperlink xmlns:r="http://schemas.openxmlformats.org/officeDocument/2006/relationships" ref="AE365" r:id="rId723"/>
    <hyperlink xmlns:r="http://schemas.openxmlformats.org/officeDocument/2006/relationships" ref="C366" r:id="rId724"/>
    <hyperlink xmlns:r="http://schemas.openxmlformats.org/officeDocument/2006/relationships" ref="C367" r:id="rId725"/>
    <hyperlink xmlns:r="http://schemas.openxmlformats.org/officeDocument/2006/relationships" ref="N367" r:id="rId726"/>
    <hyperlink xmlns:r="http://schemas.openxmlformats.org/officeDocument/2006/relationships" ref="AE367" r:id="rId727"/>
    <hyperlink xmlns:r="http://schemas.openxmlformats.org/officeDocument/2006/relationships" ref="C368" r:id="rId728"/>
    <hyperlink xmlns:r="http://schemas.openxmlformats.org/officeDocument/2006/relationships" ref="AE368" r:id="rId729"/>
    <hyperlink xmlns:r="http://schemas.openxmlformats.org/officeDocument/2006/relationships" ref="C369" r:id="rId730"/>
    <hyperlink xmlns:r="http://schemas.openxmlformats.org/officeDocument/2006/relationships" ref="AE369" r:id="rId731"/>
    <hyperlink xmlns:r="http://schemas.openxmlformats.org/officeDocument/2006/relationships" ref="N370" r:id="rId732"/>
    <hyperlink xmlns:r="http://schemas.openxmlformats.org/officeDocument/2006/relationships" ref="C371" r:id="rId733"/>
    <hyperlink xmlns:r="http://schemas.openxmlformats.org/officeDocument/2006/relationships" ref="N371" r:id="rId734"/>
    <hyperlink xmlns:r="http://schemas.openxmlformats.org/officeDocument/2006/relationships" ref="AE371" r:id="rId735"/>
    <hyperlink xmlns:r="http://schemas.openxmlformats.org/officeDocument/2006/relationships" ref="C372" r:id="rId736"/>
    <hyperlink xmlns:r="http://schemas.openxmlformats.org/officeDocument/2006/relationships" ref="AE372" r:id="rId737"/>
    <hyperlink xmlns:r="http://schemas.openxmlformats.org/officeDocument/2006/relationships" ref="C373" r:id="rId738"/>
    <hyperlink xmlns:r="http://schemas.openxmlformats.org/officeDocument/2006/relationships" ref="AE373" r:id="rId739"/>
    <hyperlink xmlns:r="http://schemas.openxmlformats.org/officeDocument/2006/relationships" ref="C374" r:id="rId740"/>
    <hyperlink xmlns:r="http://schemas.openxmlformats.org/officeDocument/2006/relationships" ref="N374" r:id="rId741"/>
    <hyperlink xmlns:r="http://schemas.openxmlformats.org/officeDocument/2006/relationships" ref="AE374" r:id="rId742"/>
    <hyperlink xmlns:r="http://schemas.openxmlformats.org/officeDocument/2006/relationships" ref="C375" r:id="rId743"/>
    <hyperlink xmlns:r="http://schemas.openxmlformats.org/officeDocument/2006/relationships" ref="N376" r:id="rId744"/>
    <hyperlink xmlns:r="http://schemas.openxmlformats.org/officeDocument/2006/relationships" ref="C377" r:id="rId745"/>
    <hyperlink xmlns:r="http://schemas.openxmlformats.org/officeDocument/2006/relationships" ref="C378" r:id="rId746"/>
    <hyperlink xmlns:r="http://schemas.openxmlformats.org/officeDocument/2006/relationships" ref="C379" r:id="rId747"/>
    <hyperlink xmlns:r="http://schemas.openxmlformats.org/officeDocument/2006/relationships" ref="AE379" r:id="rId748"/>
    <hyperlink xmlns:r="http://schemas.openxmlformats.org/officeDocument/2006/relationships" ref="C380" r:id="rId749"/>
    <hyperlink xmlns:r="http://schemas.openxmlformats.org/officeDocument/2006/relationships" ref="AE380" r:id="rId750"/>
    <hyperlink xmlns:r="http://schemas.openxmlformats.org/officeDocument/2006/relationships" ref="C381" r:id="rId751"/>
    <hyperlink xmlns:r="http://schemas.openxmlformats.org/officeDocument/2006/relationships" ref="N381" r:id="rId752"/>
    <hyperlink xmlns:r="http://schemas.openxmlformats.org/officeDocument/2006/relationships" ref="AE381" r:id="rId753"/>
    <hyperlink xmlns:r="http://schemas.openxmlformats.org/officeDocument/2006/relationships" ref="M382" r:id="rId754"/>
    <hyperlink xmlns:r="http://schemas.openxmlformats.org/officeDocument/2006/relationships" ref="AE382" r:id="rId755"/>
    <hyperlink xmlns:r="http://schemas.openxmlformats.org/officeDocument/2006/relationships" ref="C383" r:id="rId756"/>
    <hyperlink xmlns:r="http://schemas.openxmlformats.org/officeDocument/2006/relationships" ref="AE383" r:id="rId757"/>
    <hyperlink xmlns:r="http://schemas.openxmlformats.org/officeDocument/2006/relationships" ref="C384" r:id="rId758"/>
    <hyperlink xmlns:r="http://schemas.openxmlformats.org/officeDocument/2006/relationships" ref="C385" r:id="rId759"/>
    <hyperlink xmlns:r="http://schemas.openxmlformats.org/officeDocument/2006/relationships" ref="C386" r:id="rId760"/>
    <hyperlink xmlns:r="http://schemas.openxmlformats.org/officeDocument/2006/relationships" ref="AE386" r:id="rId761"/>
    <hyperlink xmlns:r="http://schemas.openxmlformats.org/officeDocument/2006/relationships" ref="C387" r:id="rId762"/>
    <hyperlink xmlns:r="http://schemas.openxmlformats.org/officeDocument/2006/relationships" ref="N387" r:id="rId763"/>
    <hyperlink xmlns:r="http://schemas.openxmlformats.org/officeDocument/2006/relationships" ref="C388" r:id="rId764"/>
    <hyperlink xmlns:r="http://schemas.openxmlformats.org/officeDocument/2006/relationships" ref="AE388" r:id="rId765"/>
    <hyperlink xmlns:r="http://schemas.openxmlformats.org/officeDocument/2006/relationships" ref="C389" r:id="rId766"/>
    <hyperlink xmlns:r="http://schemas.openxmlformats.org/officeDocument/2006/relationships" ref="AE389" r:id="rId767"/>
    <hyperlink xmlns:r="http://schemas.openxmlformats.org/officeDocument/2006/relationships" ref="C390" r:id="rId768"/>
    <hyperlink xmlns:r="http://schemas.openxmlformats.org/officeDocument/2006/relationships" ref="M391" r:id="rId769"/>
    <hyperlink xmlns:r="http://schemas.openxmlformats.org/officeDocument/2006/relationships" ref="AE391" r:id="rId770"/>
    <hyperlink xmlns:r="http://schemas.openxmlformats.org/officeDocument/2006/relationships" ref="C392" r:id="rId771"/>
    <hyperlink xmlns:r="http://schemas.openxmlformats.org/officeDocument/2006/relationships" ref="N392" r:id="rId772"/>
    <hyperlink xmlns:r="http://schemas.openxmlformats.org/officeDocument/2006/relationships" ref="AE392" r:id="rId773"/>
    <hyperlink xmlns:r="http://schemas.openxmlformats.org/officeDocument/2006/relationships" ref="C393" r:id="rId774"/>
    <hyperlink xmlns:r="http://schemas.openxmlformats.org/officeDocument/2006/relationships" ref="AE393" r:id="rId775"/>
    <hyperlink xmlns:r="http://schemas.openxmlformats.org/officeDocument/2006/relationships" ref="C394" r:id="rId776"/>
    <hyperlink xmlns:r="http://schemas.openxmlformats.org/officeDocument/2006/relationships" ref="AE394" r:id="rId777"/>
    <hyperlink xmlns:r="http://schemas.openxmlformats.org/officeDocument/2006/relationships" ref="C395" r:id="rId778"/>
    <hyperlink xmlns:r="http://schemas.openxmlformats.org/officeDocument/2006/relationships" ref="N395" r:id="rId779"/>
    <hyperlink xmlns:r="http://schemas.openxmlformats.org/officeDocument/2006/relationships" ref="C396" r:id="rId780"/>
    <hyperlink xmlns:r="http://schemas.openxmlformats.org/officeDocument/2006/relationships" ref="K396" r:id="rId781"/>
    <hyperlink xmlns:r="http://schemas.openxmlformats.org/officeDocument/2006/relationships" ref="C397" r:id="rId782"/>
    <hyperlink xmlns:r="http://schemas.openxmlformats.org/officeDocument/2006/relationships" ref="AE397" r:id="rId783"/>
    <hyperlink xmlns:r="http://schemas.openxmlformats.org/officeDocument/2006/relationships" ref="C398" r:id="rId784"/>
    <hyperlink xmlns:r="http://schemas.openxmlformats.org/officeDocument/2006/relationships" ref="AE398" r:id="rId785"/>
    <hyperlink xmlns:r="http://schemas.openxmlformats.org/officeDocument/2006/relationships" ref="C399" r:id="rId786"/>
    <hyperlink xmlns:r="http://schemas.openxmlformats.org/officeDocument/2006/relationships" ref="AE399" r:id="rId787"/>
    <hyperlink xmlns:r="http://schemas.openxmlformats.org/officeDocument/2006/relationships" ref="C400" r:id="rId788"/>
    <hyperlink xmlns:r="http://schemas.openxmlformats.org/officeDocument/2006/relationships" ref="K400" r:id="rId789"/>
    <hyperlink xmlns:r="http://schemas.openxmlformats.org/officeDocument/2006/relationships" ref="AE400" r:id="rId790"/>
    <hyperlink xmlns:r="http://schemas.openxmlformats.org/officeDocument/2006/relationships" ref="C401" r:id="rId791"/>
    <hyperlink xmlns:r="http://schemas.openxmlformats.org/officeDocument/2006/relationships" ref="C402" r:id="rId792"/>
    <hyperlink xmlns:r="http://schemas.openxmlformats.org/officeDocument/2006/relationships" ref="AE402" r:id="rId793"/>
    <hyperlink xmlns:r="http://schemas.openxmlformats.org/officeDocument/2006/relationships" ref="C403" r:id="rId794"/>
    <hyperlink xmlns:r="http://schemas.openxmlformats.org/officeDocument/2006/relationships" ref="N403" r:id="rId795"/>
    <hyperlink xmlns:r="http://schemas.openxmlformats.org/officeDocument/2006/relationships" ref="AE403" r:id="rId796"/>
    <hyperlink xmlns:r="http://schemas.openxmlformats.org/officeDocument/2006/relationships" ref="C404" r:id="rId797"/>
    <hyperlink xmlns:r="http://schemas.openxmlformats.org/officeDocument/2006/relationships" ref="AE404" r:id="rId798"/>
    <hyperlink xmlns:r="http://schemas.openxmlformats.org/officeDocument/2006/relationships" ref="C405" r:id="rId799"/>
    <hyperlink xmlns:r="http://schemas.openxmlformats.org/officeDocument/2006/relationships" ref="C406" r:id="rId800"/>
    <hyperlink xmlns:r="http://schemas.openxmlformats.org/officeDocument/2006/relationships" ref="AE406" r:id="rId801"/>
    <hyperlink xmlns:r="http://schemas.openxmlformats.org/officeDocument/2006/relationships" ref="C407" r:id="rId802"/>
    <hyperlink xmlns:r="http://schemas.openxmlformats.org/officeDocument/2006/relationships" ref="C408" r:id="rId803"/>
    <hyperlink xmlns:r="http://schemas.openxmlformats.org/officeDocument/2006/relationships" ref="C409" r:id="rId804"/>
    <hyperlink xmlns:r="http://schemas.openxmlformats.org/officeDocument/2006/relationships" ref="C410" r:id="rId805"/>
    <hyperlink xmlns:r="http://schemas.openxmlformats.org/officeDocument/2006/relationships" ref="C411" r:id="rId806"/>
    <hyperlink xmlns:r="http://schemas.openxmlformats.org/officeDocument/2006/relationships" ref="C412" r:id="rId807"/>
    <hyperlink xmlns:r="http://schemas.openxmlformats.org/officeDocument/2006/relationships" ref="AE412" r:id="rId808"/>
    <hyperlink xmlns:r="http://schemas.openxmlformats.org/officeDocument/2006/relationships" ref="C413" r:id="rId809"/>
    <hyperlink xmlns:r="http://schemas.openxmlformats.org/officeDocument/2006/relationships" ref="AE413" r:id="rId810"/>
    <hyperlink xmlns:r="http://schemas.openxmlformats.org/officeDocument/2006/relationships" ref="C414" r:id="rId811"/>
    <hyperlink xmlns:r="http://schemas.openxmlformats.org/officeDocument/2006/relationships" ref="AE414" r:id="rId812"/>
    <hyperlink xmlns:r="http://schemas.openxmlformats.org/officeDocument/2006/relationships" ref="C415" r:id="rId813"/>
    <hyperlink xmlns:r="http://schemas.openxmlformats.org/officeDocument/2006/relationships" ref="AE415" r:id="rId814"/>
    <hyperlink xmlns:r="http://schemas.openxmlformats.org/officeDocument/2006/relationships" ref="C416" r:id="rId815"/>
    <hyperlink xmlns:r="http://schemas.openxmlformats.org/officeDocument/2006/relationships" ref="AE416" r:id="rId816"/>
    <hyperlink xmlns:r="http://schemas.openxmlformats.org/officeDocument/2006/relationships" ref="C417" r:id="rId817"/>
    <hyperlink xmlns:r="http://schemas.openxmlformats.org/officeDocument/2006/relationships" ref="AE417" r:id="rId818"/>
    <hyperlink xmlns:r="http://schemas.openxmlformats.org/officeDocument/2006/relationships" ref="C418" r:id="rId819"/>
    <hyperlink xmlns:r="http://schemas.openxmlformats.org/officeDocument/2006/relationships" ref="AE418" r:id="rId820"/>
    <hyperlink xmlns:r="http://schemas.openxmlformats.org/officeDocument/2006/relationships" ref="H419" r:id="rId821"/>
    <hyperlink xmlns:r="http://schemas.openxmlformats.org/officeDocument/2006/relationships" ref="J419" r:id="rId822"/>
    <hyperlink xmlns:r="http://schemas.openxmlformats.org/officeDocument/2006/relationships" ref="C420" r:id="rId823"/>
    <hyperlink xmlns:r="http://schemas.openxmlformats.org/officeDocument/2006/relationships" ref="K420" r:id="rId824"/>
    <hyperlink xmlns:r="http://schemas.openxmlformats.org/officeDocument/2006/relationships" ref="N420" r:id="rId825"/>
    <hyperlink xmlns:r="http://schemas.openxmlformats.org/officeDocument/2006/relationships" ref="AE420" r:id="rId826"/>
    <hyperlink xmlns:r="http://schemas.openxmlformats.org/officeDocument/2006/relationships" ref="C421" r:id="rId827"/>
    <hyperlink xmlns:r="http://schemas.openxmlformats.org/officeDocument/2006/relationships" ref="AE421" r:id="rId828"/>
    <hyperlink xmlns:r="http://schemas.openxmlformats.org/officeDocument/2006/relationships" ref="C422" r:id="rId829"/>
    <hyperlink xmlns:r="http://schemas.openxmlformats.org/officeDocument/2006/relationships" ref="AE422" r:id="rId830"/>
    <hyperlink xmlns:r="http://schemas.openxmlformats.org/officeDocument/2006/relationships" ref="C423" r:id="rId831"/>
    <hyperlink xmlns:r="http://schemas.openxmlformats.org/officeDocument/2006/relationships" ref="N423" r:id="rId832"/>
    <hyperlink xmlns:r="http://schemas.openxmlformats.org/officeDocument/2006/relationships" ref="AE423" r:id="rId833"/>
    <hyperlink xmlns:r="http://schemas.openxmlformats.org/officeDocument/2006/relationships" ref="N424" r:id="rId834"/>
    <hyperlink xmlns:r="http://schemas.openxmlformats.org/officeDocument/2006/relationships" ref="N425" r:id="rId835"/>
    <hyperlink xmlns:r="http://schemas.openxmlformats.org/officeDocument/2006/relationships" ref="C426" r:id="rId836"/>
    <hyperlink xmlns:r="http://schemas.openxmlformats.org/officeDocument/2006/relationships" ref="C427" r:id="rId837"/>
    <hyperlink xmlns:r="http://schemas.openxmlformats.org/officeDocument/2006/relationships" ref="AE427" r:id="rId838"/>
    <hyperlink xmlns:r="http://schemas.openxmlformats.org/officeDocument/2006/relationships" ref="C428" r:id="rId839"/>
    <hyperlink xmlns:r="http://schemas.openxmlformats.org/officeDocument/2006/relationships" ref="AE428" r:id="rId840"/>
    <hyperlink xmlns:r="http://schemas.openxmlformats.org/officeDocument/2006/relationships" ref="C429" r:id="rId841"/>
    <hyperlink xmlns:r="http://schemas.openxmlformats.org/officeDocument/2006/relationships" ref="K429" r:id="rId842"/>
    <hyperlink xmlns:r="http://schemas.openxmlformats.org/officeDocument/2006/relationships" ref="C430" r:id="rId843"/>
    <hyperlink xmlns:r="http://schemas.openxmlformats.org/officeDocument/2006/relationships" ref="C431" r:id="rId844"/>
    <hyperlink xmlns:r="http://schemas.openxmlformats.org/officeDocument/2006/relationships" ref="AE431" r:id="rId845"/>
    <hyperlink xmlns:r="http://schemas.openxmlformats.org/officeDocument/2006/relationships" ref="C432" r:id="rId846"/>
    <hyperlink xmlns:r="http://schemas.openxmlformats.org/officeDocument/2006/relationships" ref="N432" r:id="rId847"/>
    <hyperlink xmlns:r="http://schemas.openxmlformats.org/officeDocument/2006/relationships" ref="AE432" r:id="rId848"/>
    <hyperlink xmlns:r="http://schemas.openxmlformats.org/officeDocument/2006/relationships" ref="C433" r:id="rId849"/>
    <hyperlink xmlns:r="http://schemas.openxmlformats.org/officeDocument/2006/relationships" ref="C434" r:id="rId850"/>
    <hyperlink xmlns:r="http://schemas.openxmlformats.org/officeDocument/2006/relationships" ref="AE434" r:id="rId851"/>
    <hyperlink xmlns:r="http://schemas.openxmlformats.org/officeDocument/2006/relationships" ref="C435" r:id="rId852"/>
    <hyperlink xmlns:r="http://schemas.openxmlformats.org/officeDocument/2006/relationships" ref="K435" r:id="rId853"/>
    <hyperlink xmlns:r="http://schemas.openxmlformats.org/officeDocument/2006/relationships" ref="AE435" r:id="rId854"/>
    <hyperlink xmlns:r="http://schemas.openxmlformats.org/officeDocument/2006/relationships" ref="C436" r:id="rId855"/>
    <hyperlink xmlns:r="http://schemas.openxmlformats.org/officeDocument/2006/relationships" ref="AE436" r:id="rId856"/>
    <hyperlink xmlns:r="http://schemas.openxmlformats.org/officeDocument/2006/relationships" ref="N437" r:id="rId857"/>
    <hyperlink xmlns:r="http://schemas.openxmlformats.org/officeDocument/2006/relationships" ref="N438" r:id="rId858"/>
    <hyperlink xmlns:r="http://schemas.openxmlformats.org/officeDocument/2006/relationships" ref="C439" r:id="rId859"/>
    <hyperlink xmlns:r="http://schemas.openxmlformats.org/officeDocument/2006/relationships" ref="C440" r:id="rId860"/>
    <hyperlink xmlns:r="http://schemas.openxmlformats.org/officeDocument/2006/relationships" ref="AE440" r:id="rId861"/>
    <hyperlink xmlns:r="http://schemas.openxmlformats.org/officeDocument/2006/relationships" ref="C441" r:id="rId862"/>
    <hyperlink xmlns:r="http://schemas.openxmlformats.org/officeDocument/2006/relationships" ref="AE441" r:id="rId863"/>
    <hyperlink xmlns:r="http://schemas.openxmlformats.org/officeDocument/2006/relationships" ref="C442" r:id="rId864"/>
    <hyperlink xmlns:r="http://schemas.openxmlformats.org/officeDocument/2006/relationships" ref="AE442" r:id="rId865"/>
    <hyperlink xmlns:r="http://schemas.openxmlformats.org/officeDocument/2006/relationships" ref="C443" r:id="rId866"/>
    <hyperlink xmlns:r="http://schemas.openxmlformats.org/officeDocument/2006/relationships" ref="AE443" r:id="rId867"/>
    <hyperlink xmlns:r="http://schemas.openxmlformats.org/officeDocument/2006/relationships" ref="C444" r:id="rId868"/>
    <hyperlink xmlns:r="http://schemas.openxmlformats.org/officeDocument/2006/relationships" ref="C445" r:id="rId869"/>
    <hyperlink xmlns:r="http://schemas.openxmlformats.org/officeDocument/2006/relationships" ref="C446" r:id="rId870"/>
    <hyperlink xmlns:r="http://schemas.openxmlformats.org/officeDocument/2006/relationships" ref="K446" r:id="rId871"/>
    <hyperlink xmlns:r="http://schemas.openxmlformats.org/officeDocument/2006/relationships" ref="C447" r:id="rId872"/>
    <hyperlink xmlns:r="http://schemas.openxmlformats.org/officeDocument/2006/relationships" ref="AE447" r:id="rId873"/>
    <hyperlink xmlns:r="http://schemas.openxmlformats.org/officeDocument/2006/relationships" ref="F448" r:id="rId874"/>
    <hyperlink xmlns:r="http://schemas.openxmlformats.org/officeDocument/2006/relationships" ref="C449" r:id="rId875"/>
    <hyperlink xmlns:r="http://schemas.openxmlformats.org/officeDocument/2006/relationships" ref="AE449" r:id="rId876"/>
    <hyperlink xmlns:r="http://schemas.openxmlformats.org/officeDocument/2006/relationships" ref="C450" r:id="rId877"/>
    <hyperlink xmlns:r="http://schemas.openxmlformats.org/officeDocument/2006/relationships" ref="AE450" r:id="rId878"/>
    <hyperlink xmlns:r="http://schemas.openxmlformats.org/officeDocument/2006/relationships" ref="C451" r:id="rId879"/>
    <hyperlink xmlns:r="http://schemas.openxmlformats.org/officeDocument/2006/relationships" ref="N451" r:id="rId880"/>
    <hyperlink xmlns:r="http://schemas.openxmlformats.org/officeDocument/2006/relationships" ref="O451" r:id="rId881"/>
    <hyperlink xmlns:r="http://schemas.openxmlformats.org/officeDocument/2006/relationships" ref="C452" r:id="rId882"/>
    <hyperlink xmlns:r="http://schemas.openxmlformats.org/officeDocument/2006/relationships" ref="AE452" r:id="rId883"/>
    <hyperlink xmlns:r="http://schemas.openxmlformats.org/officeDocument/2006/relationships" ref="C453" r:id="rId884"/>
    <hyperlink xmlns:r="http://schemas.openxmlformats.org/officeDocument/2006/relationships" ref="AE453" r:id="rId885"/>
    <hyperlink xmlns:r="http://schemas.openxmlformats.org/officeDocument/2006/relationships" ref="C454" r:id="rId886"/>
    <hyperlink xmlns:r="http://schemas.openxmlformats.org/officeDocument/2006/relationships" ref="AE454" r:id="rId887"/>
    <hyperlink xmlns:r="http://schemas.openxmlformats.org/officeDocument/2006/relationships" ref="C455" r:id="rId888"/>
    <hyperlink xmlns:r="http://schemas.openxmlformats.org/officeDocument/2006/relationships" ref="K455" r:id="rId889"/>
    <hyperlink xmlns:r="http://schemas.openxmlformats.org/officeDocument/2006/relationships" ref="AE455" r:id="rId890"/>
    <hyperlink xmlns:r="http://schemas.openxmlformats.org/officeDocument/2006/relationships" ref="C456" r:id="rId891"/>
    <hyperlink xmlns:r="http://schemas.openxmlformats.org/officeDocument/2006/relationships" ref="AE456" r:id="rId892"/>
    <hyperlink xmlns:r="http://schemas.openxmlformats.org/officeDocument/2006/relationships" ref="K457" r:id="rId893"/>
    <hyperlink xmlns:r="http://schemas.openxmlformats.org/officeDocument/2006/relationships" ref="C458" r:id="rId894"/>
    <hyperlink xmlns:r="http://schemas.openxmlformats.org/officeDocument/2006/relationships" ref="AE458" r:id="rId895"/>
    <hyperlink xmlns:r="http://schemas.openxmlformats.org/officeDocument/2006/relationships" ref="C459" r:id="rId896"/>
    <hyperlink xmlns:r="http://schemas.openxmlformats.org/officeDocument/2006/relationships" ref="AE459" r:id="rId897"/>
    <hyperlink xmlns:r="http://schemas.openxmlformats.org/officeDocument/2006/relationships" ref="C460" r:id="rId898"/>
    <hyperlink xmlns:r="http://schemas.openxmlformats.org/officeDocument/2006/relationships" ref="N461" r:id="rId899"/>
    <hyperlink xmlns:r="http://schemas.openxmlformats.org/officeDocument/2006/relationships" ref="C462" r:id="rId900"/>
    <hyperlink xmlns:r="http://schemas.openxmlformats.org/officeDocument/2006/relationships" ref="AE462" r:id="rId901"/>
    <hyperlink xmlns:r="http://schemas.openxmlformats.org/officeDocument/2006/relationships" ref="C463" r:id="rId902"/>
    <hyperlink xmlns:r="http://schemas.openxmlformats.org/officeDocument/2006/relationships" ref="M464" r:id="rId903"/>
    <hyperlink xmlns:r="http://schemas.openxmlformats.org/officeDocument/2006/relationships" ref="AE464" r:id="rId904"/>
    <hyperlink xmlns:r="http://schemas.openxmlformats.org/officeDocument/2006/relationships" ref="C465" r:id="rId905"/>
    <hyperlink xmlns:r="http://schemas.openxmlformats.org/officeDocument/2006/relationships" ref="AE465" r:id="rId906"/>
    <hyperlink xmlns:r="http://schemas.openxmlformats.org/officeDocument/2006/relationships" ref="C466" r:id="rId907"/>
    <hyperlink xmlns:r="http://schemas.openxmlformats.org/officeDocument/2006/relationships" ref="AE466" r:id="rId908"/>
    <hyperlink xmlns:r="http://schemas.openxmlformats.org/officeDocument/2006/relationships" ref="C467" r:id="rId909"/>
    <hyperlink xmlns:r="http://schemas.openxmlformats.org/officeDocument/2006/relationships" ref="K467" r:id="rId910"/>
    <hyperlink xmlns:r="http://schemas.openxmlformats.org/officeDocument/2006/relationships" ref="N467" r:id="rId911"/>
    <hyperlink xmlns:r="http://schemas.openxmlformats.org/officeDocument/2006/relationships" ref="O467" r:id="rId912"/>
    <hyperlink xmlns:r="http://schemas.openxmlformats.org/officeDocument/2006/relationships" ref="AE467" r:id="rId913"/>
    <hyperlink xmlns:r="http://schemas.openxmlformats.org/officeDocument/2006/relationships" ref="C468" r:id="rId914"/>
    <hyperlink xmlns:r="http://schemas.openxmlformats.org/officeDocument/2006/relationships" ref="AE468" r:id="rId915"/>
    <hyperlink xmlns:r="http://schemas.openxmlformats.org/officeDocument/2006/relationships" ref="C469" r:id="rId916"/>
    <hyperlink xmlns:r="http://schemas.openxmlformats.org/officeDocument/2006/relationships" ref="AE469" r:id="rId917"/>
    <hyperlink xmlns:r="http://schemas.openxmlformats.org/officeDocument/2006/relationships" ref="C470" r:id="rId918"/>
    <hyperlink xmlns:r="http://schemas.openxmlformats.org/officeDocument/2006/relationships" ref="AE470" r:id="rId919"/>
    <hyperlink xmlns:r="http://schemas.openxmlformats.org/officeDocument/2006/relationships" ref="C471" r:id="rId920"/>
    <hyperlink xmlns:r="http://schemas.openxmlformats.org/officeDocument/2006/relationships" ref="AE471" r:id="rId921"/>
    <hyperlink xmlns:r="http://schemas.openxmlformats.org/officeDocument/2006/relationships" ref="C472" r:id="rId922"/>
    <hyperlink xmlns:r="http://schemas.openxmlformats.org/officeDocument/2006/relationships" ref="AE472" r:id="rId923"/>
    <hyperlink xmlns:r="http://schemas.openxmlformats.org/officeDocument/2006/relationships" ref="C473" r:id="rId924"/>
    <hyperlink xmlns:r="http://schemas.openxmlformats.org/officeDocument/2006/relationships" ref="C474" r:id="rId925"/>
    <hyperlink xmlns:r="http://schemas.openxmlformats.org/officeDocument/2006/relationships" ref="N474" r:id="rId926"/>
    <hyperlink xmlns:r="http://schemas.openxmlformats.org/officeDocument/2006/relationships" ref="AE474" r:id="rId927"/>
    <hyperlink xmlns:r="http://schemas.openxmlformats.org/officeDocument/2006/relationships" ref="C475" r:id="rId928"/>
    <hyperlink xmlns:r="http://schemas.openxmlformats.org/officeDocument/2006/relationships" ref="N475" r:id="rId929"/>
    <hyperlink xmlns:r="http://schemas.openxmlformats.org/officeDocument/2006/relationships" ref="AE475" r:id="rId930"/>
    <hyperlink xmlns:r="http://schemas.openxmlformats.org/officeDocument/2006/relationships" ref="C476" r:id="rId931"/>
    <hyperlink xmlns:r="http://schemas.openxmlformats.org/officeDocument/2006/relationships" ref="AE476" r:id="rId932"/>
    <hyperlink xmlns:r="http://schemas.openxmlformats.org/officeDocument/2006/relationships" ref="N477" r:id="rId933"/>
    <hyperlink xmlns:r="http://schemas.openxmlformats.org/officeDocument/2006/relationships" ref="C478" r:id="rId934"/>
    <hyperlink xmlns:r="http://schemas.openxmlformats.org/officeDocument/2006/relationships" ref="AE478" r:id="rId935"/>
    <hyperlink xmlns:r="http://schemas.openxmlformats.org/officeDocument/2006/relationships" ref="C479" r:id="rId936"/>
    <hyperlink xmlns:r="http://schemas.openxmlformats.org/officeDocument/2006/relationships" ref="AE479" r:id="rId937"/>
    <hyperlink xmlns:r="http://schemas.openxmlformats.org/officeDocument/2006/relationships" ref="C480" r:id="rId938"/>
    <hyperlink xmlns:r="http://schemas.openxmlformats.org/officeDocument/2006/relationships" ref="K481" r:id="rId939"/>
    <hyperlink xmlns:r="http://schemas.openxmlformats.org/officeDocument/2006/relationships" ref="M481" r:id="rId940"/>
    <hyperlink xmlns:r="http://schemas.openxmlformats.org/officeDocument/2006/relationships" ref="C482" r:id="rId941"/>
    <hyperlink xmlns:r="http://schemas.openxmlformats.org/officeDocument/2006/relationships" ref="AE482" r:id="rId942"/>
    <hyperlink xmlns:r="http://schemas.openxmlformats.org/officeDocument/2006/relationships" ref="N483" r:id="rId943"/>
    <hyperlink xmlns:r="http://schemas.openxmlformats.org/officeDocument/2006/relationships" ref="C484" r:id="rId944"/>
    <hyperlink xmlns:r="http://schemas.openxmlformats.org/officeDocument/2006/relationships" ref="M485" r:id="rId945"/>
    <hyperlink xmlns:r="http://schemas.openxmlformats.org/officeDocument/2006/relationships" ref="AE485" r:id="rId946"/>
    <hyperlink xmlns:r="http://schemas.openxmlformats.org/officeDocument/2006/relationships" ref="C486" r:id="rId947"/>
    <hyperlink xmlns:r="http://schemas.openxmlformats.org/officeDocument/2006/relationships" ref="N486" r:id="rId948"/>
    <hyperlink xmlns:r="http://schemas.openxmlformats.org/officeDocument/2006/relationships" ref="AE486" r:id="rId949"/>
    <hyperlink xmlns:r="http://schemas.openxmlformats.org/officeDocument/2006/relationships" ref="C487" r:id="rId950"/>
    <hyperlink xmlns:r="http://schemas.openxmlformats.org/officeDocument/2006/relationships" ref="C488" r:id="rId951"/>
    <hyperlink xmlns:r="http://schemas.openxmlformats.org/officeDocument/2006/relationships" ref="AE488" r:id="rId952"/>
    <hyperlink xmlns:r="http://schemas.openxmlformats.org/officeDocument/2006/relationships" ref="C489" r:id="rId953"/>
    <hyperlink xmlns:r="http://schemas.openxmlformats.org/officeDocument/2006/relationships" ref="C490" r:id="rId954"/>
    <hyperlink xmlns:r="http://schemas.openxmlformats.org/officeDocument/2006/relationships" ref="AE490" r:id="rId955"/>
    <hyperlink xmlns:r="http://schemas.openxmlformats.org/officeDocument/2006/relationships" ref="C491" r:id="rId956"/>
    <hyperlink xmlns:r="http://schemas.openxmlformats.org/officeDocument/2006/relationships" ref="AE491" r:id="rId957"/>
    <hyperlink xmlns:r="http://schemas.openxmlformats.org/officeDocument/2006/relationships" ref="C492" r:id="rId958"/>
    <hyperlink xmlns:r="http://schemas.openxmlformats.org/officeDocument/2006/relationships" ref="C493" r:id="rId959"/>
    <hyperlink xmlns:r="http://schemas.openxmlformats.org/officeDocument/2006/relationships" ref="AE493" r:id="rId960"/>
    <hyperlink xmlns:r="http://schemas.openxmlformats.org/officeDocument/2006/relationships" ref="M494" r:id="rId961"/>
    <hyperlink xmlns:r="http://schemas.openxmlformats.org/officeDocument/2006/relationships" ref="N494" r:id="rId962"/>
    <hyperlink xmlns:r="http://schemas.openxmlformats.org/officeDocument/2006/relationships" ref="AE494" r:id="rId963"/>
    <hyperlink xmlns:r="http://schemas.openxmlformats.org/officeDocument/2006/relationships" ref="C495" r:id="rId964"/>
    <hyperlink xmlns:r="http://schemas.openxmlformats.org/officeDocument/2006/relationships" ref="E496" r:id="rId965"/>
    <hyperlink xmlns:r="http://schemas.openxmlformats.org/officeDocument/2006/relationships" ref="D497" r:id="rId966"/>
    <hyperlink xmlns:r="http://schemas.openxmlformats.org/officeDocument/2006/relationships" ref="AE497" r:id="rId967"/>
    <hyperlink xmlns:r="http://schemas.openxmlformats.org/officeDocument/2006/relationships" ref="N498" r:id="rId968"/>
    <hyperlink xmlns:r="http://schemas.openxmlformats.org/officeDocument/2006/relationships" ref="C499" r:id="rId969"/>
    <hyperlink xmlns:r="http://schemas.openxmlformats.org/officeDocument/2006/relationships" ref="C500" r:id="rId970"/>
    <hyperlink xmlns:r="http://schemas.openxmlformats.org/officeDocument/2006/relationships" ref="AE500" r:id="rId971"/>
    <hyperlink xmlns:r="http://schemas.openxmlformats.org/officeDocument/2006/relationships" ref="C501" r:id="rId972"/>
    <hyperlink xmlns:r="http://schemas.openxmlformats.org/officeDocument/2006/relationships" ref="C502" r:id="rId973"/>
    <hyperlink xmlns:r="http://schemas.openxmlformats.org/officeDocument/2006/relationships" ref="N502" location="/" r:id="rId974"/>
    <hyperlink xmlns:r="http://schemas.openxmlformats.org/officeDocument/2006/relationships" ref="AE502" r:id="rId975"/>
    <hyperlink xmlns:r="http://schemas.openxmlformats.org/officeDocument/2006/relationships" ref="A503" r:id="rId976"/>
    <hyperlink xmlns:r="http://schemas.openxmlformats.org/officeDocument/2006/relationships" ref="C503" r:id="rId977"/>
    <hyperlink xmlns:r="http://schemas.openxmlformats.org/officeDocument/2006/relationships" ref="N503" r:id="rId978"/>
    <hyperlink xmlns:r="http://schemas.openxmlformats.org/officeDocument/2006/relationships" ref="C504" r:id="rId979"/>
    <hyperlink xmlns:r="http://schemas.openxmlformats.org/officeDocument/2006/relationships" ref="AE504" r:id="rId980"/>
    <hyperlink xmlns:r="http://schemas.openxmlformats.org/officeDocument/2006/relationships" ref="C505" r:id="rId981"/>
    <hyperlink xmlns:r="http://schemas.openxmlformats.org/officeDocument/2006/relationships" ref="C506" r:id="rId982"/>
    <hyperlink xmlns:r="http://schemas.openxmlformats.org/officeDocument/2006/relationships" ref="C507" r:id="rId983"/>
    <hyperlink xmlns:r="http://schemas.openxmlformats.org/officeDocument/2006/relationships" ref="C508" r:id="rId984"/>
    <hyperlink xmlns:r="http://schemas.openxmlformats.org/officeDocument/2006/relationships" ref="AE508" r:id="rId985"/>
    <hyperlink xmlns:r="http://schemas.openxmlformats.org/officeDocument/2006/relationships" ref="C509" r:id="rId986"/>
    <hyperlink xmlns:r="http://schemas.openxmlformats.org/officeDocument/2006/relationships" ref="N509" r:id="rId987"/>
    <hyperlink xmlns:r="http://schemas.openxmlformats.org/officeDocument/2006/relationships" ref="C510" r:id="rId988"/>
    <hyperlink xmlns:r="http://schemas.openxmlformats.org/officeDocument/2006/relationships" ref="N510" r:id="rId989"/>
    <hyperlink xmlns:r="http://schemas.openxmlformats.org/officeDocument/2006/relationships" ref="AE510" r:id="rId990"/>
    <hyperlink xmlns:r="http://schemas.openxmlformats.org/officeDocument/2006/relationships" ref="K511" r:id="rId991"/>
    <hyperlink xmlns:r="http://schemas.openxmlformats.org/officeDocument/2006/relationships" ref="C512" r:id="rId992"/>
    <hyperlink xmlns:r="http://schemas.openxmlformats.org/officeDocument/2006/relationships" ref="N512" r:id="rId993"/>
    <hyperlink xmlns:r="http://schemas.openxmlformats.org/officeDocument/2006/relationships" ref="AE512" r:id="rId994"/>
    <hyperlink xmlns:r="http://schemas.openxmlformats.org/officeDocument/2006/relationships" ref="C513" r:id="rId995"/>
    <hyperlink xmlns:r="http://schemas.openxmlformats.org/officeDocument/2006/relationships" ref="C514" r:id="rId996"/>
    <hyperlink xmlns:r="http://schemas.openxmlformats.org/officeDocument/2006/relationships" ref="K514" r:id="rId997"/>
    <hyperlink xmlns:r="http://schemas.openxmlformats.org/officeDocument/2006/relationships" ref="N514" r:id="rId998"/>
    <hyperlink xmlns:r="http://schemas.openxmlformats.org/officeDocument/2006/relationships" ref="AE514" r:id="rId999"/>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B98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4.5" customWidth="1" style="20" min="1" max="1"/>
    <col width="26.25" customWidth="1" style="20" min="2" max="2"/>
    <col width="48.63" customWidth="1" style="20" min="3" max="3"/>
    <col width="23.63" customWidth="1" style="20" min="4" max="28"/>
  </cols>
  <sheetData>
    <row r="1">
      <c r="A1" s="9" t="inlineStr">
        <is>
          <t>item_name</t>
        </is>
      </c>
      <c r="B1" s="9" t="inlineStr">
        <is>
          <t>description</t>
        </is>
      </c>
      <c r="C1" s="9" t="inlineStr">
        <is>
          <t>Improved description</t>
        </is>
      </c>
      <c r="D1" s="9" t="inlineStr">
        <is>
          <t>archist-software-tool</t>
        </is>
      </c>
      <c r="E1" s="9" t="inlineStr">
        <is>
          <t>Reasoning</t>
        </is>
      </c>
      <c r="F1" s="9" t="inlineStr">
        <is>
          <t>Human review</t>
        </is>
      </c>
      <c r="G1" s="9" t="n"/>
      <c r="H1" s="9" t="n"/>
      <c r="I1" s="9" t="n"/>
      <c r="J1" s="9" t="n"/>
      <c r="K1" s="9" t="n"/>
      <c r="L1" s="9" t="n"/>
      <c r="M1" s="9" t="n"/>
      <c r="N1" s="9" t="n"/>
      <c r="O1" s="9" t="n"/>
      <c r="P1" s="9" t="n"/>
      <c r="Q1" s="9" t="n"/>
      <c r="R1" s="9" t="n"/>
      <c r="S1" s="9" t="n"/>
      <c r="T1" s="9" t="n"/>
      <c r="U1" s="9" t="n"/>
      <c r="V1" s="9" t="n"/>
      <c r="W1" s="9" t="n"/>
      <c r="X1" s="9" t="n"/>
      <c r="Y1" s="9" t="n"/>
      <c r="Z1" s="9" t="n"/>
      <c r="AA1" s="9" t="n"/>
      <c r="AB1" s="9" t="n"/>
    </row>
    <row r="2">
      <c r="A2" s="9" t="inlineStr">
        <is>
          <t>ABMA_tutorials</t>
        </is>
      </c>
      <c r="B2" s="9" t="inlineStr">
        <is>
          <t>A set of interactive tutorials to build agent-based models and how to use them in your work as archaeologist. These tutorials are both suitable for beginners and people who want to brush up their modelling skills.</t>
        </is>
      </c>
      <c r="C2" s="9" t="inlineStr">
        <is>
          <t>ABMA_tutorials is a collection of interactive tutorials developed on the NetLogo platform to guide users in building agent-based models for archaeological research. While offering valuable hands-on instruction for both novices and experienced practitioners, its primary function is educational rather than active data processing, positioning it as a learning resource rather than a research-oriented computational tool.</t>
        </is>
      </c>
      <c r="D2" s="9" t="inlineStr">
        <is>
          <t>no</t>
        </is>
      </c>
      <c r="E2" s="9" t="inlineStr">
        <is>
          <t>The tutorials are designed for educational purposes and do not function as a tool for active computational processing.</t>
        </is>
      </c>
      <c r="F2" s="9" t="inlineStr">
        <is>
          <t>No</t>
        </is>
      </c>
      <c r="G2" s="9" t="n"/>
      <c r="H2" s="9" t="n"/>
      <c r="I2" s="9" t="n"/>
      <c r="J2" s="9" t="n"/>
      <c r="K2" s="9" t="n"/>
      <c r="L2" s="9" t="n"/>
      <c r="M2" s="9" t="n"/>
      <c r="N2" s="9" t="n"/>
      <c r="O2" s="9" t="n"/>
      <c r="P2" s="9" t="n"/>
      <c r="Q2" s="9" t="n"/>
      <c r="R2" s="9" t="n"/>
      <c r="S2" s="9" t="n"/>
      <c r="T2" s="9" t="n"/>
      <c r="U2" s="9" t="n"/>
      <c r="V2" s="9" t="n"/>
      <c r="W2" s="9" t="n"/>
      <c r="X2" s="9" t="n"/>
      <c r="Y2" s="9" t="n"/>
      <c r="Z2" s="9" t="n"/>
      <c r="AA2" s="9" t="n"/>
      <c r="AB2" s="9" t="n"/>
    </row>
    <row r="3">
      <c r="A3" s="9" t="inlineStr">
        <is>
          <t>AIS</t>
        </is>
      </c>
      <c r="B3" s="9" t="inlineStr">
        <is>
          <t>Archaeological Information System</t>
        </is>
      </c>
      <c r="C3" s="9" t="inlineStr">
        <is>
          <t>AIS is an Archaeological Information System that provides a centralized platform for managing and organizing archaeological data. It facilitates data entry, storage, and retrieval to support archaeological documentation. Despite its role in streamlining data management, AIS primarily focuses on organization rather than active computational processing such as analysis or modeling.</t>
        </is>
      </c>
      <c r="D3" s="9" t="inlineStr">
        <is>
          <t>no</t>
        </is>
      </c>
      <c r="E3" s="9" t="inlineStr">
        <is>
          <t>Its functionality is centered on data management and organization rather than on active computational analysis.</t>
        </is>
      </c>
      <c r="F3" s="9" t="inlineStr">
        <is>
          <t>Yes</t>
        </is>
      </c>
      <c r="G3" s="9" t="n"/>
      <c r="H3" s="9" t="n"/>
      <c r="I3" s="9" t="n"/>
      <c r="J3" s="9" t="n"/>
      <c r="K3" s="9" t="n"/>
      <c r="L3" s="9" t="n"/>
      <c r="M3" s="9" t="n"/>
      <c r="N3" s="9" t="n"/>
      <c r="O3" s="9" t="n"/>
      <c r="P3" s="9" t="n"/>
      <c r="Q3" s="9" t="n"/>
      <c r="R3" s="9" t="n"/>
      <c r="S3" s="9" t="n"/>
      <c r="T3" s="9" t="n"/>
      <c r="U3" s="9" t="n"/>
      <c r="V3" s="9" t="n"/>
      <c r="W3" s="9" t="n"/>
      <c r="X3" s="9" t="n"/>
      <c r="Y3" s="9" t="n"/>
      <c r="Z3" s="9" t="n"/>
      <c r="AA3" s="9" t="n"/>
      <c r="AB3" s="9" t="n"/>
    </row>
    <row r="4">
      <c r="A4" s="9" t="inlineStr">
        <is>
          <t>Archaeological_Catalogue_from_CSV_Spreadsheet</t>
        </is>
      </c>
      <c r="B4" s="9" t="inlineStr">
        <is>
          <t>A template to create an archaeological catalogue from a spreadsheet using the LaTeX csvsimple package.</t>
        </is>
      </c>
      <c r="C4" s="9" t="inlineStr">
        <is>
          <t>This resource is a template designed to facilitate the creation of an archaeological catalogue directly from a CSV spreadsheet using the LaTeX csvsimple package. It provides a structured framework that converts spreadsheet data into a formatted catalogue, streamlining the presentation of archaeological datasets in scholarly publications. Although it automates aspects of document generation, its focus is on formatting rather than active data processing or computational analysis.</t>
        </is>
      </c>
      <c r="D4" s="9" t="inlineStr">
        <is>
          <t>no</t>
        </is>
      </c>
      <c r="E4" s="9" t="inlineStr">
        <is>
          <t>The tool is designed for generating formatted documents rather than processing data dynamically.</t>
        </is>
      </c>
      <c r="F4" s="9" t="inlineStr">
        <is>
          <t>No</t>
        </is>
      </c>
      <c r="G4" s="9" t="n"/>
      <c r="H4" s="9" t="n"/>
      <c r="I4" s="9" t="n"/>
      <c r="J4" s="9" t="n"/>
      <c r="K4" s="9" t="n"/>
      <c r="L4" s="9" t="n"/>
      <c r="M4" s="9" t="n"/>
      <c r="N4" s="9" t="n"/>
      <c r="O4" s="9" t="n"/>
      <c r="P4" s="9" t="n"/>
      <c r="Q4" s="9" t="n"/>
      <c r="R4" s="9" t="n"/>
      <c r="S4" s="9" t="n"/>
      <c r="T4" s="9" t="n"/>
      <c r="U4" s="9" t="n"/>
      <c r="V4" s="9" t="n"/>
      <c r="W4" s="9" t="n"/>
      <c r="X4" s="9" t="n"/>
      <c r="Y4" s="9" t="n"/>
      <c r="Z4" s="9" t="n"/>
      <c r="AA4" s="9" t="n"/>
      <c r="AB4" s="9" t="n"/>
    </row>
    <row r="5">
      <c r="A5" s="9" t="inlineStr">
        <is>
          <t>archaeological-object-sharing</t>
        </is>
      </c>
      <c r="B5" s="9" t="inlineStr">
        <is>
          <t>An online space for sharing data, 3d models, etc about archaeological objects to enable the comparison of these objects.</t>
        </is>
      </c>
      <c r="C5" s="9" t="inlineStr">
        <is>
          <t>archaeological-object-sharing is an online platform that provides a space for sharing data, 3D models, and related digital representations of archaeological objects. Its primary function is to facilitate data sharing and comparison among researchers; however, it does not perform active computational processing or analysis on the data.</t>
        </is>
      </c>
      <c r="D5" s="9" t="inlineStr">
        <is>
          <t>no</t>
        </is>
      </c>
      <c r="E5" s="9" t="inlineStr">
        <is>
          <t>The platform is primarily for data sharing and visualization without dynamic processing functions.</t>
        </is>
      </c>
      <c r="F5" s="9" t="inlineStr">
        <is>
          <t>Yes</t>
        </is>
      </c>
      <c r="G5" s="9" t="n"/>
      <c r="H5" s="9" t="n"/>
      <c r="I5" s="9" t="n"/>
      <c r="J5" s="9" t="n"/>
      <c r="K5" s="9" t="n"/>
      <c r="L5" s="9" t="n"/>
      <c r="M5" s="9" t="n"/>
      <c r="N5" s="9" t="n"/>
      <c r="O5" s="9" t="n"/>
      <c r="P5" s="9" t="n"/>
      <c r="Q5" s="9" t="n"/>
      <c r="R5" s="9" t="n"/>
      <c r="S5" s="9" t="n"/>
      <c r="T5" s="9" t="n"/>
      <c r="U5" s="9" t="n"/>
      <c r="V5" s="9" t="n"/>
      <c r="W5" s="9" t="n"/>
      <c r="X5" s="9" t="n"/>
      <c r="Y5" s="9" t="n"/>
      <c r="Z5" s="9" t="n"/>
      <c r="AA5" s="9" t="n"/>
      <c r="AB5" s="9" t="n"/>
    </row>
    <row r="6">
      <c r="A6" s="9" t="inlineStr">
        <is>
          <t>archaeological-survey-location-collector</t>
        </is>
      </c>
      <c r="B6" s="9" t="inlineStr">
        <is>
          <t>An app for use in archaeological field survey to collect high-accurate point locations, photographs, and other data.</t>
        </is>
      </c>
      <c r="C6" s="9" t="inlineStr">
        <is>
          <t>archaeological-survey-location-collector is a mobile application designed for archaeological field surveys, allowing users to collect high-accuracy point locations, photographs, and additional site data. Although it streamlines data collection in the field, its functionality is centered on recording and storing information rather than processing or analyzing it, and therefore it does not satisfy the criteria for active computational engagement.</t>
        </is>
      </c>
      <c r="D6" s="9" t="inlineStr">
        <is>
          <t>no</t>
        </is>
      </c>
      <c r="E6" s="9" t="inlineStr">
        <is>
          <t>Its main focus is on efficient data collection and storage, rather than on data analysis or computational processing.</t>
        </is>
      </c>
      <c r="F6" s="9" t="inlineStr">
        <is>
          <t>Yes</t>
        </is>
      </c>
      <c r="G6" s="9" t="n"/>
      <c r="H6" s="9" t="n"/>
      <c r="I6" s="9" t="n"/>
      <c r="J6" s="9" t="n"/>
      <c r="K6" s="9" t="n"/>
      <c r="L6" s="9" t="n"/>
      <c r="M6" s="9" t="n"/>
      <c r="N6" s="9" t="n"/>
      <c r="O6" s="9" t="n"/>
      <c r="P6" s="9" t="n"/>
      <c r="Q6" s="9" t="n"/>
      <c r="R6" s="9" t="n"/>
      <c r="S6" s="9" t="n"/>
      <c r="T6" s="9" t="n"/>
      <c r="U6" s="9" t="n"/>
      <c r="V6" s="9" t="n"/>
      <c r="W6" s="9" t="n"/>
      <c r="X6" s="9" t="n"/>
      <c r="Y6" s="9" t="n"/>
      <c r="Z6" s="9" t="n"/>
      <c r="AA6" s="9" t="n"/>
      <c r="AB6" s="9" t="n"/>
    </row>
    <row r="7">
      <c r="A7" s="9" t="inlineStr">
        <is>
          <t>ARchaeology</t>
        </is>
      </c>
      <c r="B7" s="9" t="inlineStr">
        <is>
          <t>View the AR models on your phone.</t>
        </is>
      </c>
      <c r="C7" s="9" t="inlineStr">
        <is>
          <t>ARchaeology is a standalone mobile application designed for viewing augmented reality models directly on a smartphone. It allows users to visualize digital reconstructions of archaeological artifacts and sites in an immersive environment. However, its primary function is to display pre‐generated AR content rather than performing active computational analysis or data processing, making it more of a visualization aid than a dynamic research tool.</t>
        </is>
      </c>
      <c r="D7" s="9" t="inlineStr">
        <is>
          <t>no</t>
        </is>
      </c>
      <c r="E7" s="9" t="inlineStr">
        <is>
          <t>The application serves as a visualization tool without dynamic data processing capabilities.</t>
        </is>
      </c>
      <c r="F7" s="9" t="inlineStr">
        <is>
          <t>No</t>
        </is>
      </c>
      <c r="G7" s="9" t="n"/>
      <c r="H7" s="9" t="n"/>
      <c r="I7" s="9" t="n"/>
      <c r="J7" s="9" t="n"/>
      <c r="K7" s="9" t="n"/>
      <c r="L7" s="9" t="n"/>
      <c r="M7" s="9" t="n"/>
      <c r="N7" s="9" t="n"/>
      <c r="O7" s="9" t="n"/>
      <c r="P7" s="9" t="n"/>
      <c r="Q7" s="9" t="n"/>
      <c r="R7" s="9" t="n"/>
      <c r="S7" s="9" t="n"/>
      <c r="T7" s="9" t="n"/>
      <c r="U7" s="9" t="n"/>
      <c r="V7" s="9" t="n"/>
      <c r="W7" s="9" t="n"/>
      <c r="X7" s="9" t="n"/>
      <c r="Y7" s="9" t="n"/>
      <c r="Z7" s="9" t="n"/>
      <c r="AA7" s="9" t="n"/>
      <c r="AB7" s="9" t="n"/>
    </row>
    <row r="8">
      <c r="A8" s="9" t="inlineStr">
        <is>
          <t>archaeology-data-service</t>
        </is>
      </c>
      <c r="B8" s="9" t="inlineStr">
        <is>
          <t>An app to collect data on archaeological objects.</t>
        </is>
      </c>
      <c r="C8" s="9" t="inlineStr">
        <is>
          <t>archaeology-data-service is a mobile application created for field data collection on archaeological objects. It provides an intuitive interface for recording artifact details, photographs, and metadata during excavations. Although it streamlines data entry and storage, its primary function is centered on data collection rather than on active computational analysis or dynamic data processing.</t>
        </is>
      </c>
      <c r="D8" s="9" t="inlineStr">
        <is>
          <t>no</t>
        </is>
      </c>
      <c r="E8" s="9" t="inlineStr">
        <is>
          <t>The application is dedicated to data collection and storage, lacking active computational processing features.</t>
        </is>
      </c>
      <c r="F8" s="9" t="inlineStr">
        <is>
          <t>Yes</t>
        </is>
      </c>
      <c r="G8" s="9" t="n"/>
      <c r="H8" s="9" t="n"/>
      <c r="I8" s="9" t="n"/>
      <c r="J8" s="9" t="n"/>
      <c r="K8" s="9" t="n"/>
      <c r="L8" s="9" t="n"/>
      <c r="M8" s="9" t="n"/>
      <c r="N8" s="9" t="n"/>
      <c r="O8" s="9" t="n"/>
      <c r="P8" s="9" t="n"/>
      <c r="Q8" s="9" t="n"/>
      <c r="R8" s="9" t="n"/>
      <c r="S8" s="9" t="n"/>
      <c r="T8" s="9" t="n"/>
      <c r="U8" s="9" t="n"/>
      <c r="V8" s="9" t="n"/>
      <c r="W8" s="9" t="n"/>
      <c r="X8" s="9" t="n"/>
      <c r="Y8" s="9" t="n"/>
      <c r="Z8" s="9" t="n"/>
      <c r="AA8" s="9" t="n"/>
      <c r="AB8" s="9" t="n"/>
    </row>
    <row r="9">
      <c r="A9" s="9" t="inlineStr">
        <is>
          <t>archaeology-grand-challenges.r</t>
        </is>
      </c>
      <c r="B9" s="9" t="inlineStr">
        <is>
          <t>Sketch of a look at the 'grand challenges' of Kintigh et al. 2014.</t>
        </is>
      </c>
      <c r="C9" s="9" t="inlineStr">
        <is>
          <t>archaeology-grand-challenges.r is an R script that outlines the 'grand challenges' in archaeology as proposed by Kintigh et al. (2014). Rather than performing dynamic data analysis, it serves as a conceptual sketch intended to provoke thought and discussion about major research issues. Its focus is on documenting theoretical challenges rather than actively processing data, making it more a brainstorming aid than an analytical tool.</t>
        </is>
      </c>
      <c r="D9" s="9" t="inlineStr">
        <is>
          <t>no</t>
        </is>
      </c>
      <c r="E9" s="9" t="inlineStr">
        <is>
          <t>It serves as a conceptual sketch rather than an active analytical tool.</t>
        </is>
      </c>
      <c r="F9" s="9" t="inlineStr">
        <is>
          <t>No</t>
        </is>
      </c>
      <c r="G9" s="9" t="n"/>
      <c r="H9" s="9" t="n"/>
      <c r="I9" s="9" t="n"/>
      <c r="J9" s="9" t="n"/>
      <c r="K9" s="9" t="n"/>
      <c r="L9" s="9" t="n"/>
      <c r="M9" s="9" t="n"/>
      <c r="N9" s="9" t="n"/>
      <c r="O9" s="9" t="n"/>
      <c r="P9" s="9" t="n"/>
      <c r="Q9" s="9" t="n"/>
      <c r="R9" s="9" t="n"/>
      <c r="S9" s="9" t="n"/>
      <c r="T9" s="9" t="n"/>
      <c r="U9" s="9" t="n"/>
      <c r="V9" s="9" t="n"/>
      <c r="W9" s="9" t="n"/>
      <c r="X9" s="9" t="n"/>
      <c r="Y9" s="9" t="n"/>
      <c r="Z9" s="9" t="n"/>
      <c r="AA9" s="9" t="n"/>
      <c r="AB9" s="9" t="n"/>
    </row>
    <row r="10">
      <c r="A10" s="9" t="inlineStr">
        <is>
          <t>archaeology-object-data-collector-app</t>
        </is>
      </c>
      <c r="B10" s="9" t="inlineStr">
        <is>
          <t>archaeology-object-data-collector-app</t>
        </is>
      </c>
      <c r="C10" s="9" t="inlineStr">
        <is>
          <t>archaeology-object-data-collector-app is a mobile application designed to facilitate the collection of archaeological object data in the field. It allows users to record detailed information, including photographs and metadata, directly from excavation sites. However, its functionality centers on data collection and storage rather than active computational processing or analysis.</t>
        </is>
      </c>
      <c r="D10" s="9" t="inlineStr">
        <is>
          <t>no</t>
        </is>
      </c>
      <c r="E10" s="9" t="inlineStr">
        <is>
          <t>The application is used primarily for data capture and storage, not for processing or analyzing data.</t>
        </is>
      </c>
      <c r="F10" s="9" t="inlineStr">
        <is>
          <t>Yes</t>
        </is>
      </c>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row>
    <row r="11">
      <c r="A11" s="9" t="inlineStr">
        <is>
          <t>ArchaeologyAdventure</t>
        </is>
      </c>
      <c r="B11" s="9" t="inlineStr">
        <is>
          <t>A simple adventure game in Unity2D. Revolves around being an archaeologist exploring some ruin and digging up treasure/fossils</t>
        </is>
      </c>
      <c r="C11" s="9" t="inlineStr">
        <is>
          <t>ArchaeologyAdventure is a Unity2D adventure game that simulates an archaeological expedition, where players explore ruins and uncover treasures or fossils. Although it incorporates archaeological themes and historical elements, its primary focus is on entertainment rather than on active, research-oriented computational processing.</t>
        </is>
      </c>
      <c r="D11" s="9" t="inlineStr">
        <is>
          <t>no</t>
        </is>
      </c>
      <c r="E11" s="9" t="inlineStr">
        <is>
          <t>It is an entertainment-focused game that does not perform research-oriented computational tasks.</t>
        </is>
      </c>
      <c r="F11" s="9" t="inlineStr">
        <is>
          <t>No</t>
        </is>
      </c>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row>
    <row r="12">
      <c r="A12" s="9" t="inlineStr">
        <is>
          <t>archdata</t>
        </is>
      </c>
      <c r="B12" s="9" t="inlineStr">
        <is>
          <t>The archdata package provides several types of data that are typically used in archaeological research</t>
        </is>
      </c>
      <c r="C12" s="9" t="inlineStr">
        <is>
          <t>archdata is an R package that offers a curated collection of datasets commonly utilized in archaeological research. Its primary function is to provide standardized data resources, rather than performing active computational analysis, making it more of a data repository.</t>
        </is>
      </c>
      <c r="D12" s="9" t="inlineStr">
        <is>
          <t>no</t>
        </is>
      </c>
      <c r="E12" s="9" t="inlineStr">
        <is>
          <t>Archdata serves as a repository of data and does not include features for active data processing.</t>
        </is>
      </c>
      <c r="F12" s="9" t="inlineStr">
        <is>
          <t>Yes</t>
        </is>
      </c>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9" t="n"/>
    </row>
    <row r="13">
      <c r="A13" s="9" t="inlineStr">
        <is>
          <t>ArcheOS</t>
        </is>
      </c>
      <c r="B13" s="9" t="inlineStr">
        <is>
          <t>Linux distribution with specialist software for archaeological purposes.</t>
        </is>
      </c>
      <c r="C13" s="9" t="inlineStr">
        <is>
          <t>ArcheOS is a Linux distribution tailored for archaeological research, bundling a curated collection of specialist software into one platform. While it offers a comprehensive environment for various analytical tasks, its primary role is to provide access to multiple applications rather than serving as a discrete, active data processing tool on its own.</t>
        </is>
      </c>
      <c r="D13" s="9" t="inlineStr">
        <is>
          <t>no</t>
        </is>
      </c>
      <c r="E13" s="9" t="inlineStr">
        <is>
          <t>ArcheOS is a distribution platform that offers access to multiple applications rather than serving as an independent computational processing tool.</t>
        </is>
      </c>
      <c r="F13" s="9" t="inlineStr">
        <is>
          <t>Yes</t>
        </is>
      </c>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9" t="n"/>
    </row>
    <row r="14">
      <c r="A14" s="9" t="inlineStr">
        <is>
          <t>arches</t>
        </is>
      </c>
      <c r="B14" s="9" t="inlineStr">
        <is>
          <t>Arches is a web platform for creating, managing, &amp; visualizing geospatial data. Arches was inspired by the needs of the Cultural Heritage community, particularly the widespread need of organizations to build &amp; manage cultural heritage inventories.</t>
        </is>
      </c>
      <c r="C14" s="9" t="inlineStr">
        <is>
          <t>arches is a web-based platform that facilitates the creation, management, and visualization of geospatial data for cultural heritage purposes. While it offers robust tools for data collection and organization, its primary focus is on static data management rather than active computational processing, so it does not fully meet the criteria as a research-oriented software tool.</t>
        </is>
      </c>
      <c r="D14" s="9" t="inlineStr">
        <is>
          <t>no</t>
        </is>
      </c>
      <c r="E14" s="9" t="inlineStr">
        <is>
          <t>Arches is focused on data management and visualization, without providing dynamic computational processing features.</t>
        </is>
      </c>
      <c r="F14" s="9" t="inlineStr">
        <is>
          <t>Yes</t>
        </is>
      </c>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row>
    <row r="15">
      <c r="A15" s="9" t="inlineStr">
        <is>
          <t>arches-via-docker</t>
        </is>
      </c>
      <c r="B15" s="9" t="inlineStr">
        <is>
          <t>Deployment of Arches via Docker for archaeology and related instruction.</t>
        </is>
      </c>
      <c r="C15" s="9" t="inlineStr">
        <is>
          <t>arches-via-docker is a standalone software solution that streamlines the deployment of the Arches platform using Docker containers. It provides a pre-configured environment for setting up Arches, a system widely used for cultural heritage and archaeological data management. While it facilitates the installation and configuration process, its primary function is to enable easier access to the underlying Arches software rather than performing direct data analysis or computational processing. As such, it serves as an infrastructure tool rather than an active research-oriented computational tool.</t>
        </is>
      </c>
      <c r="D15" s="9" t="inlineStr">
        <is>
          <t>no</t>
        </is>
      </c>
      <c r="E15" s="9" t="inlineStr">
        <is>
          <t>It is an infrastructure tool intended to ease deployment rather than perform data processing.</t>
        </is>
      </c>
      <c r="F15" s="9" t="inlineStr">
        <is>
          <t>Yes</t>
        </is>
      </c>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row>
    <row r="16">
      <c r="A16" s="9" t="inlineStr">
        <is>
          <t>archiedb</t>
        </is>
      </c>
      <c r="B16" s="9" t="inlineStr">
        <is>
          <t>A light-weight database application designed to standardize and simplify data entry of archaeological or historical artifacts</t>
        </is>
      </c>
      <c r="C16" s="9" t="inlineStr">
        <is>
          <t>archiedb is a lightweight database application intended to standardize and simplify the data entry process for archaeological and historical artifacts. While it provides a user-friendly interface for recording and organizing artifact data, its primary function is focused on data storage and retrieval rather than active computational processing such as analysis or modeling.</t>
        </is>
      </c>
      <c r="D16" s="9" t="inlineStr">
        <is>
          <t>no</t>
        </is>
      </c>
      <c r="E16" s="9" t="inlineStr">
        <is>
          <t>Archiedb functions as a data repository and entry system without active data processing capabilities.</t>
        </is>
      </c>
      <c r="F16" s="9" t="inlineStr">
        <is>
          <t>Yes</t>
        </is>
      </c>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row>
    <row r="17">
      <c r="A17" s="9" t="inlineStr">
        <is>
          <t>archstopmo</t>
        </is>
      </c>
      <c r="B17" s="9" t="inlineStr">
        <is>
          <t>An Archaeology Stop Motion Movie Festival!</t>
        </is>
      </c>
      <c r="C17" s="9" t="inlineStr">
        <is>
          <t>archstopmo is a project dedicated to organizing an Archaeology Stop Motion Movie Festival. It provides a platform for showcasing animated films with archaeological themes and promoting digital storytelling. The project is focused on event organization and creative presentation, without engaging in active computational processing or analysis.</t>
        </is>
      </c>
      <c r="D17" s="9" t="inlineStr">
        <is>
          <t>no</t>
        </is>
      </c>
      <c r="E17" s="9" t="inlineStr">
        <is>
          <t>The project is centered on event management and digital storytelling, not on active data processing.</t>
        </is>
      </c>
      <c r="F17" s="9" t="inlineStr">
        <is>
          <t>No</t>
        </is>
      </c>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row>
    <row r="18">
      <c r="A18" s="9" t="inlineStr">
        <is>
          <t>ARK1</t>
        </is>
      </c>
      <c r="B18" s="9" t="inlineStr">
        <is>
          <t>The ARK v1.1.2 Stable Release. ARK (The Archaeological Recording Kit) is a web-based 'toolkit' for the collection, storage and dissemination of archaeological data. It includes data-editing, data-creation, data-viewing and data-sharing tools, all of which are delivered using a web-based front-end.</t>
        </is>
      </c>
      <c r="C18" s="9" t="inlineStr">
        <is>
          <t>ARK1 is a web-based Archaeological Recording Kit that streamlines the collection, storage, and dissemination of archaeological data. It offers tools for data editing, creation, viewing, and sharing through an intuitive online interface. While ARK1 enhances data management and accessibility, its core functionality centers on organizing and presenting data rather than performing active computational analysis.</t>
        </is>
      </c>
      <c r="D18" s="9" t="inlineStr">
        <is>
          <t>no</t>
        </is>
      </c>
      <c r="E18" s="9" t="inlineStr">
        <is>
          <t>ARK1 centers on data management and presentation, lacking features for dynamic data processing or analysis.</t>
        </is>
      </c>
      <c r="F18" s="9" t="inlineStr">
        <is>
          <t>Yes</t>
        </is>
      </c>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row>
    <row r="19">
      <c r="A19" s="9" t="inlineStr">
        <is>
          <t>Ark2</t>
        </is>
      </c>
      <c r="B19" s="9" t="inlineStr">
        <is>
          <t>ARK (The Archaeological Recording Kit) 2.0 Development Repository. ARK (The Archaeological Recording Kit) is a web-based 'toolkit' for the collection, storage and dissemination of archaeological data. It includes data-editing, data-creation, data-viewing and data-sharing tools, all of which are delivered using a web-based front-end.</t>
        </is>
      </c>
      <c r="C19" s="9" t="inlineStr">
        <is>
          <t>Ark2 is the development repository for the next generation of the Archaeological Recording Kit, a web-based toolkit for collecting, storing, and disseminating archaeological data. Although it offers tools for data editing, creation, viewing, and sharing, its primary focus is on data organization rather than active data processing or analysis.</t>
        </is>
      </c>
      <c r="D19" s="9" t="inlineStr">
        <is>
          <t>no</t>
        </is>
      </c>
      <c r="E19" s="9" t="inlineStr">
        <is>
          <t>The primary function of Ark2 is data organization and management, not active data processing.</t>
        </is>
      </c>
      <c r="F19" s="9" t="inlineStr">
        <is>
          <t>Yes</t>
        </is>
      </c>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row>
    <row r="20">
      <c r="A20" s="9" t="inlineStr">
        <is>
          <t>babylonian-hours</t>
        </is>
      </c>
      <c r="B20" s="9" t="inlineStr">
        <is>
          <t>A digital clock which computes your local time in 'seasonal-hours'.</t>
        </is>
      </c>
      <c r="C20" s="9" t="inlineStr">
        <is>
          <t>babylonian-hours is a standalone digital clock application that computes local time in 'seasonal-hours', a timekeeping system inspired by ancient Babylonian methods. The tool converts standard local time into a format that reflects seasonal variations, offering users an alternative perspective on time measurement. While innovative and historically themed, babylonian-hours primarily serves as an educational or novelty application rather than a research-oriented computational tool. It does not incorporate active data processing or analytical functionalities typically required for archaeological or historical research.</t>
        </is>
      </c>
      <c r="D20" s="9" t="inlineStr">
        <is>
          <t>no</t>
        </is>
      </c>
      <c r="E20" s="9" t="inlineStr">
        <is>
          <t>The application converts and displays time without engaging in research-oriented computational tasks.</t>
        </is>
      </c>
      <c r="F20" s="9" t="inlineStr">
        <is>
          <t>No</t>
        </is>
      </c>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row>
    <row r="21">
      <c r="A21" s="9" t="inlineStr">
        <is>
          <t>bioanth</t>
        </is>
      </c>
      <c r="B21" s="9" t="inlineStr">
        <is>
          <t>An R package that provides datasets useful for biological and forensic anthropology.</t>
        </is>
      </c>
      <c r="C21" s="9" t="inlineStr">
        <is>
          <t>bioanth is an R package that aggregates and provides a collection of datasets relevant to biological and forensic anthropology. The package serves as a repository for curated data, enabling researchers to access standardized datasets for comparative studies and analysis. While bioanth does not offer interactive data processing or advanced computational analysis functionalities, it is a valuable resource for obtaining data necessary for anthropological research. It primarily functions as a data repository, supporting studies in biological and forensic anthropology by making essential datasets readily available for further analysis using other specialized tools.</t>
        </is>
      </c>
      <c r="D21" s="9" t="inlineStr">
        <is>
          <t>no</t>
        </is>
      </c>
      <c r="E21" s="9" t="inlineStr">
        <is>
          <t>bioanth functions as a data repository and does not perform active computational processing.</t>
        </is>
      </c>
      <c r="F21" s="9" t="inlineStr">
        <is>
          <t>Yes</t>
        </is>
      </c>
      <c r="G21" s="9" t="n"/>
      <c r="H21" s="9" t="n"/>
      <c r="I21" s="9" t="n"/>
      <c r="J21" s="9" t="n"/>
      <c r="K21" s="9" t="n"/>
      <c r="L21" s="9" t="n"/>
      <c r="M21" s="9" t="n"/>
      <c r="N21" s="9" t="n"/>
      <c r="O21" s="9" t="n"/>
      <c r="P21" s="9" t="n"/>
      <c r="Q21" s="9" t="n"/>
      <c r="R21" s="9" t="n"/>
      <c r="S21" s="9" t="n"/>
      <c r="T21" s="9" t="n"/>
      <c r="U21" s="9" t="n"/>
      <c r="V21" s="9" t="n"/>
      <c r="W21" s="9" t="n"/>
      <c r="X21" s="9" t="n"/>
      <c r="Y21" s="9" t="n"/>
      <c r="Z21" s="9" t="n"/>
      <c r="AA21" s="9" t="n"/>
      <c r="AB21" s="9" t="n"/>
    </row>
    <row r="22">
      <c r="A22" s="9" t="inlineStr">
        <is>
          <t>caddonet</t>
        </is>
      </c>
      <c r="B22" s="9" t="inlineStr">
        <is>
          <t>Peer reviewed and indexed articles published on Caddo archaeology since 2000.</t>
        </is>
      </c>
      <c r="C22" s="9" t="inlineStr">
        <is>
          <t>Caddonet is a digital platform that aggregates peer-reviewed and indexed articles on Caddo archaeology published since 2000. It serves as a repository of scholarly literature, allowing users to search and access research publications. The platform focuses on literature storage and reference, without offering active computational processing or analysis.</t>
        </is>
      </c>
      <c r="D22" s="9" t="inlineStr">
        <is>
          <t>no</t>
        </is>
      </c>
      <c r="E22" s="9" t="inlineStr">
        <is>
          <t>Caddonet functions as a static literature repository and does not process data dynamically.</t>
        </is>
      </c>
      <c r="F22" s="9" t="inlineStr">
        <is>
          <t>No</t>
        </is>
      </c>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row>
    <row r="23">
      <c r="A23" s="9" t="inlineStr">
        <is>
          <t>cawd</t>
        </is>
      </c>
      <c r="B23" s="9" t="inlineStr">
        <is>
          <t>An R package that collects together data for the ancient world</t>
        </is>
      </c>
      <c r="C23" s="9" t="inlineStr">
        <is>
          <t>cawd is an R package that aggregates diverse datasets related to the ancient world, providing a centralized repository of historical and archaeological data. However, its primary function is data collation rather than active computational processing, which limits its role as a research-oriented analytical tool.</t>
        </is>
      </c>
      <c r="D23" s="9" t="inlineStr">
        <is>
          <t>no</t>
        </is>
      </c>
      <c r="E23" s="9" t="inlineStr">
        <is>
          <t>Cawd functions as a data repository without dynamic processing or analytical capabilities.</t>
        </is>
      </c>
      <c r="F23" s="9" t="inlineStr">
        <is>
          <t>Yes</t>
        </is>
      </c>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row>
    <row r="24">
      <c r="A24" s="9" t="inlineStr">
        <is>
          <t>cca</t>
        </is>
      </c>
      <c r="B24" s="9" t="inlineStr">
        <is>
          <t>Colossal Cave Adventure digital palaeography and epigraphy project.</t>
        </is>
      </c>
      <c r="C24" s="9" t="inlineStr">
        <is>
          <t>cca is a digital project that reimagines the classic Colossal Cave Adventure game for the purposes of exploring palaeography and epigraphy. It integrates interactive storytelling with tools for examining ancient scripts and inscriptions, allowing users to engage with historical texts in a playful yet scholarly manner. Although it offers an innovative approach to digital textual analysis, its primary focus is on creative engagement rather than on rigorous, research‐oriented computational processing.</t>
        </is>
      </c>
      <c r="D24" s="9" t="inlineStr">
        <is>
          <t>no</t>
        </is>
      </c>
      <c r="E24" s="9" t="inlineStr">
        <is>
          <t>The project is primarily creative and educational, lacking active research-oriented computational functionality.</t>
        </is>
      </c>
      <c r="F24" s="9" t="inlineStr">
        <is>
          <t>No</t>
        </is>
      </c>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row>
    <row r="25">
      <c r="A25" s="9" t="inlineStr">
        <is>
          <t>civ5-prehistoric</t>
        </is>
      </c>
      <c r="B25" s="9" t="inlineStr">
        <is>
          <t>Extends the game back millions years and multiple eras into the days when "man" first descended from the trees!</t>
        </is>
      </c>
      <c r="C25" s="9" t="inlineStr">
        <is>
          <t>civ5-prehistoric is a standalone software modification that extends the gameplay of Civilization V into prehistoric eras, exploring scenarios from the early evolution of humanity. Although it incorporates historical and cultural themes, its primary function is entertainment rather than research-oriented data processing. The tool offers a creative interpretation of early human history through gameplay, but does not provide the dynamic computational analysis or active data processing functionalities required for academic archaeological research.</t>
        </is>
      </c>
      <c r="D25" s="9" t="inlineStr">
        <is>
          <t>no</t>
        </is>
      </c>
      <c r="E25" s="9" t="inlineStr">
        <is>
          <t>It is a game modification focused on entertainment rather than research-oriented data processing.</t>
        </is>
      </c>
      <c r="F25" s="9" t="inlineStr">
        <is>
          <t>No</t>
        </is>
      </c>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row>
    <row r="26">
      <c r="A26" s="9" t="inlineStr">
        <is>
          <t>dedalo</t>
        </is>
      </c>
      <c r="B26" s="9" t="inlineStr">
        <is>
          <t>Dedalo is a knowledge management system for Cultural Heritage (tangible and intangible), Natural Heritage and Oral History/Memory.</t>
        </is>
      </c>
      <c r="C26" s="9" t="inlineStr">
        <is>
          <t>dedalo is a comprehensive knowledge management system developed for Cultural Heritage, including tangible and intangible assets, natural heritage, and oral history. It provides a platform for organizing, storing, and retrieving diverse types of heritage data. Its functionality centers on data management rather than active computational processing.</t>
        </is>
      </c>
      <c r="D26" s="9" t="inlineStr">
        <is>
          <t>no</t>
        </is>
      </c>
      <c r="E26" s="9" t="inlineStr">
        <is>
          <t>Dedalo’s primary function is to organize and store heritage information without performing active computational tasks.</t>
        </is>
      </c>
      <c r="F26" s="9" t="inlineStr">
        <is>
          <t>Yes</t>
        </is>
      </c>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row>
    <row r="27">
      <c r="A27" s="9" t="inlineStr">
        <is>
          <t>E5</t>
        </is>
      </c>
      <c r="B27" s="9" t="inlineStr">
        <is>
          <t>E5 is a generalized data entry program intended for archaeologists that works with a configuration file where the data entry fields are defined</t>
        </is>
      </c>
      <c r="C27" s="9" t="inlineStr">
        <is>
          <t>E5 is a generalized data entry program designed for archaeologists. It operates based on a configurable setup that defines data entry fields, facilitating the systematic recording of archaeological information. However, its primary function is limited to data entry and storage, rather than active computational processing.</t>
        </is>
      </c>
      <c r="D27" s="9" t="inlineStr">
        <is>
          <t>no</t>
        </is>
      </c>
      <c r="E27" s="9" t="inlineStr">
        <is>
          <t>E5 is designed solely for data entry and storage without capabilities for dynamic data processing.</t>
        </is>
      </c>
      <c r="F27" s="9" t="inlineStr">
        <is>
          <t>Yes</t>
        </is>
      </c>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9" t="n"/>
    </row>
    <row r="28">
      <c r="A28" s="9" t="inlineStr">
        <is>
          <t>ExtendedMatrix</t>
        </is>
      </c>
      <c r="B28" s="9" t="inlineStr">
        <is>
          <t>A scientific method and formal language for the Cultural Heritage domain that formalises complex interpretative philological phenomena such as virtual reconstructive hypotheses in a transparent and robust manner.</t>
        </is>
      </c>
      <c r="C28" s="9" t="inlineStr">
        <is>
          <t>ExtendedMatrix is a standalone software tool that introduces a formal language and methodology for modeling complex interpretative phenomena in cultural heritage research. It provides a structured framework to represent virtual reconstructive hypotheses and philological analyses, promoting transparency and methodological rigor. However, its primary function is to offer a conceptual and formal foundation rather than to perform dynamic computational data processing.</t>
        </is>
      </c>
      <c r="D28" s="9" t="inlineStr">
        <is>
          <t>no</t>
        </is>
      </c>
      <c r="E28" s="9" t="inlineStr">
        <is>
          <t>ExtendedMatrix is designed for formal modeling and representation, not for dynamic data processing.</t>
        </is>
      </c>
      <c r="F28" s="9" t="inlineStr">
        <is>
          <t>Yes</t>
        </is>
      </c>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row>
    <row r="29">
      <c r="A29" s="9" t="inlineStr">
        <is>
          <t>Fiche Stratigraphique Numérique (FSN)</t>
        </is>
      </c>
      <c r="B29" s="9" t="inlineStr">
        <is>
          <t>Fiche Stratigraphique Numerique (FSN) is an application project for field recording and management of archaeological operations data.</t>
        </is>
      </c>
      <c r="C29" s="9" t="inlineStr">
        <is>
          <t>Fiche Stratigraphique Numérique (FSN) is an application designed for the digital recording and management of archaeological operations data. It facilitates the systematic documentation of stratigraphic information in the field. Despite enhancing data organization, its core functionality is focused on recording rather than active computational analysis.</t>
        </is>
      </c>
      <c r="D29" s="9" t="inlineStr">
        <is>
          <t>no</t>
        </is>
      </c>
      <c r="E29" s="9" t="inlineStr">
        <is>
          <t>FSN is designed for systematic data recording and management without active analytical processing.</t>
        </is>
      </c>
      <c r="F29" s="9" t="inlineStr">
        <is>
          <t>Yes</t>
        </is>
      </c>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9" t="n"/>
    </row>
    <row r="30">
      <c r="A30" s="9" t="inlineStr">
        <is>
          <t>field-photographs</t>
        </is>
      </c>
      <c r="B30" s="9" t="inlineStr">
        <is>
          <t>Android apps for archaeology that enable photography during field work.</t>
        </is>
      </c>
      <c r="C30" s="9" t="inlineStr">
        <is>
          <t>field-photographs is an Android application developed for archaeological fieldwork, enabling users to capture high-quality photographs on-site. It provides a straightforward interface for documenting archaeological contexts and recording visual data. However, its primary function is data collection through photography rather than active computational processing or analysis, which means it does not fully meet the criteria for a research-oriented software tool.</t>
        </is>
      </c>
      <c r="D30" s="9" t="inlineStr">
        <is>
          <t>no</t>
        </is>
      </c>
      <c r="E30" s="9" t="inlineStr">
        <is>
          <t>The application primarily collects and stores photographic data and does not perform active computational processing.</t>
        </is>
      </c>
      <c r="F30" s="9" t="inlineStr">
        <is>
          <t>Yes</t>
        </is>
      </c>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row>
    <row r="31">
      <c r="A31" s="9" t="inlineStr">
        <is>
          <t>gods_on_the_barge</t>
        </is>
      </c>
      <c r="B31" s="9" t="inlineStr">
        <is>
          <t>Inspired by the research project of historiography of ancient Graeco-Roman religions, the main goal is to spread a selected cult successfully across the ancient Mediterranean</t>
        </is>
      </c>
      <c r="C31" s="9" t="inlineStr">
        <is>
          <t>gods_on_the_barge is a game inspired by the historiography of ancient Graeco-Roman religions. It challenges players to strategically spread a selected cult across the Mediterranean. Despite its historical inspiration, the tool is primarily designed for interactive entertainment rather than performing active computational data processing for research.</t>
        </is>
      </c>
      <c r="D31" s="9" t="inlineStr">
        <is>
          <t>no</t>
        </is>
      </c>
      <c r="E31" s="9" t="inlineStr">
        <is>
          <t>Its primary purpose is interactive entertainment rather than research-oriented data processing.</t>
        </is>
      </c>
      <c r="F31" s="9" t="inlineStr">
        <is>
          <t>No</t>
        </is>
      </c>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9" t="n"/>
    </row>
    <row r="32">
      <c r="A32" s="9" t="inlineStr">
        <is>
          <t>hammurabi-markov</t>
        </is>
      </c>
      <c r="B32" s="9" t="inlineStr">
        <is>
          <t>Simple VueJS page generating fake laws of Hammurabi.</t>
        </is>
      </c>
      <c r="C32" s="9" t="inlineStr">
        <is>
          <t>hammurabi-markov is a standalone web application built using VueJS that generates fictitious laws inspired by the Code of Hammurabi. The application employs a simple algorithm to produce randomized legal texts that mimic ancient Mesopotamian legal style. While it offers an interesting glimpse into the style and structure of historical legal systems, it primarily functions as a creative or educational tool rather than a research-oriented computational resource. Its design is intended more for literary experimentation and entertainment than for rigorous scholarly analysis.</t>
        </is>
      </c>
      <c r="D32" s="9" t="inlineStr">
        <is>
          <t>no</t>
        </is>
      </c>
      <c r="E32" s="9" t="inlineStr">
        <is>
          <t>It is designed for creative exploration and entertainment, not for dynamic data analysis.</t>
        </is>
      </c>
      <c r="F32" s="9" t="inlineStr">
        <is>
          <t>No</t>
        </is>
      </c>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row>
    <row r="33">
      <c r="A33" s="9" t="inlineStr">
        <is>
          <t>heurist</t>
        </is>
      </c>
      <c r="B33" s="9" t="inlineStr">
        <is>
          <t>A web-based data management infrastructure that allows researchers to design, create, manage, analyse and publish their own richly-structured database(s) through a simple web interface, without the need for programmers or consultants.</t>
        </is>
      </c>
      <c r="C33" s="9" t="inlineStr">
        <is>
          <t>heurist is a web-based data management system that empowers researchers to design, create, and manage structured databases via an intuitive interface. While it offers tools for data analysis and publication, its primary focus is on data organization and storage rather than on active computational processing, so it does not fully qualify as a research-oriented software tool.</t>
        </is>
      </c>
      <c r="D33" s="9" t="inlineStr">
        <is>
          <t>no</t>
        </is>
      </c>
      <c r="E33" s="9" t="inlineStr">
        <is>
          <t>Heurist emphasizes database creation and management, without providing advanced dynamic data processing or computational analysis.</t>
        </is>
      </c>
      <c r="F33" s="9" t="inlineStr">
        <is>
          <t>Yes</t>
        </is>
      </c>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row>
    <row r="34">
      <c r="A34" s="9" t="inlineStr">
        <is>
          <t>HumanOS</t>
        </is>
      </c>
      <c r="B34" s="9" t="inlineStr">
        <is>
          <t>A mobile application for the intuitive recording of human bones from archaeological sites.</t>
        </is>
      </c>
      <c r="C34" s="9" t="inlineStr">
        <is>
          <t>HumanOS is a mobile application developed for the on-site recording of human skeletal remains. It provides an intuitive interface for capturing images, measurements, and contextual information during excavations. While it streamlines data collection and storage, its primary function is focused on recording rather than actively processing data for analysis.</t>
        </is>
      </c>
      <c r="D34" s="9" t="inlineStr">
        <is>
          <t>no</t>
        </is>
      </c>
      <c r="E34" s="9" t="inlineStr">
        <is>
          <t>Its functionality is limited to field data recording and storage, not to active computational analysis.</t>
        </is>
      </c>
      <c r="F34" s="9" t="inlineStr">
        <is>
          <t>Yes</t>
        </is>
      </c>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row>
    <row r="35">
      <c r="A35" s="9" t="inlineStr">
        <is>
          <t>iDAI.field</t>
        </is>
      </c>
      <c r="B35" s="9" t="inlineStr">
        <is>
          <t>The German Archaeological Institute's (DAI) new take on a field research documentation system. Combining features of GIS, photo management, and database management systems in a unique and integrating manner, it aims at facilitating archaeological workflows by reducing the overhead of using multiple systems. Developed in-house by the DAI's information technology department, it targets primarily the needs of the institute's excavations, older ones as well as those to come. Yet, due to the nature of its adjustable data model and the fact it is open source software, any interested third party is free to reuse and adjust it to their needs.</t>
        </is>
      </c>
      <c r="C35" s="9" t="inlineStr">
        <is>
          <t>iDAI.field is a comprehensive field research documentation system developed by the German Archaeological Institute. It integrates GIS, photo management, and database functionalities into a single platform, significantly streamlining data collection and organization during excavations. However, its primary role is data management rather than active computational analysis, and therefore it does not meet the criteria as a research-oriented computational tool.</t>
        </is>
      </c>
      <c r="D35" s="9" t="inlineStr">
        <is>
          <t>no</t>
        </is>
      </c>
      <c r="E35" s="9" t="inlineStr">
        <is>
          <t>iDAI.field is focused on streamlining data collection and management rather than on executing dynamic computational analyses.</t>
        </is>
      </c>
      <c r="F35" s="9" t="inlineStr">
        <is>
          <t>Yes</t>
        </is>
      </c>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row>
    <row r="36">
      <c r="A36" s="9" t="inlineStr">
        <is>
          <t>IntCal</t>
        </is>
      </c>
      <c r="B36" s="9" t="inlineStr">
        <is>
          <t>The IntCal20 radiocarbon calibration curves are provided here in a single data package, together with previous IntCal curves and postbomb curves.</t>
        </is>
      </c>
      <c r="C36" s="9" t="inlineStr">
        <is>
          <t>IntCal is a comprehensive data package that consolidates the IntCal20 radiocarbon calibration curves alongside previous curves and postbomb data. It serves as an essential reference for researchers in radiocarbon dating by providing standardized calibration data for converting radiocarbon years to calendar years. Although integral to chronological modeling, its role is limited to offering static calibration data rather than performing dynamic computational analysis.</t>
        </is>
      </c>
      <c r="D36" s="9" t="inlineStr">
        <is>
          <t>no</t>
        </is>
      </c>
      <c r="E36" s="9" t="inlineStr">
        <is>
          <t>IntCal provides calibration data and does not engage in dynamic computational analysis.</t>
        </is>
      </c>
      <c r="F36" s="9" t="inlineStr">
        <is>
          <t>Yes</t>
        </is>
      </c>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row>
    <row r="37">
      <c r="A37" s="9" t="inlineStr">
        <is>
          <t>ishtar</t>
        </is>
      </c>
      <c r="B37" s="9" t="inlineStr">
        <is>
          <t>Ishtar is a database project for managing archaeological data and documentation from archaeological operations, that prioritizes maximum traceability of the information. Designed to enable inter-database communication, the Ishtar project aims rather to a distributed information model than a centralized one: communication between the databases is favored.</t>
        </is>
      </c>
      <c r="C37" s="9" t="inlineStr">
        <is>
          <t>ishtar is a database project designed for managing archaeological data and documentation with a strong emphasis on traceability and inter-database communication. While it facilitates efficient data sharing and organization through a distributed information model, its primary focus is on data storage rather than active data processing.</t>
        </is>
      </c>
      <c r="D37" s="9" t="inlineStr">
        <is>
          <t>no</t>
        </is>
      </c>
      <c r="E37" s="9" t="inlineStr">
        <is>
          <t>Ishtar emphasizes data management and inter-database communication rather than dynamic computational processing.</t>
        </is>
      </c>
      <c r="F37" s="9" t="inlineStr">
        <is>
          <t>Yes</t>
        </is>
      </c>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row>
    <row r="38">
      <c r="A38" s="9" t="inlineStr">
        <is>
          <t>MapofComputationalArchaeology</t>
        </is>
      </c>
      <c r="B38" s="9" t="inlineStr">
        <is>
          <t>Visualizes digital archaeology as a fantasy landscape.</t>
        </is>
      </c>
      <c r="C38" s="9" t="inlineStr">
        <is>
          <t>MapofComputationalArchaeology is a creative digital product that presents a visual representation of digital archaeology as a fantasy landscape. Designed to engage and inspire, the tool transforms various elements of archaeological data into a visually rich, imaginative map. While it provides a novel perspective on the field by merging art and archaeology, its primary function is to showcase digital archaeology in an aesthetic format rather than to perform active data processing or rigorous analytical tasks. It serves more as an illustrative tool than as a computational research resource.</t>
        </is>
      </c>
      <c r="D38" s="9" t="inlineStr">
        <is>
          <t>no</t>
        </is>
      </c>
      <c r="E38" s="9" t="inlineStr">
        <is>
          <t>The project emphasizes creative visualization over dynamic data processing.</t>
        </is>
      </c>
      <c r="F38" s="9" t="inlineStr">
        <is>
          <t>No</t>
        </is>
      </c>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row>
    <row r="39">
      <c r="A39" s="9" t="inlineStr">
        <is>
          <t>nervia</t>
        </is>
      </c>
      <c r="B39" s="9" t="inlineStr">
        <is>
          <t>Management system for physical storage of archaeological finds</t>
        </is>
      </c>
      <c r="C39" s="9" t="inlineStr">
        <is>
          <t>nervia is a management system created for the physical storage and tracking of archaeological finds. It provides a digital platform for cataloging artifacts and ensuring efficient inventory management. Its functionality is primarily focused on data storage rather than active computational analysis.</t>
        </is>
      </c>
      <c r="D39" s="9" t="inlineStr">
        <is>
          <t>no</t>
        </is>
      </c>
      <c r="E39" s="9" t="inlineStr">
        <is>
          <t>Nervia is focused on inventory management and data storage rather than on dynamic data processing.</t>
        </is>
      </c>
      <c r="F39" s="9" t="inlineStr">
        <is>
          <t>Yes</t>
        </is>
      </c>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row>
    <row r="40">
      <c r="A40" s="9" t="inlineStr">
        <is>
          <t>ODK-forms-archaeology</t>
        </is>
      </c>
      <c r="B40" s="9" t="inlineStr">
        <is>
          <t>Forms for the Open Data Kit mobile data collection app.</t>
        </is>
      </c>
      <c r="C40" s="9" t="inlineStr">
        <is>
          <t>ODK-forms-archaeology is a collection of digital forms designed for use with the Open Data Kit (ODK) mobile app in archaeological fieldwork. While these forms standardize data entry and facilitate field data collection, they primarily serve as templates and do not perform active computational analysis.</t>
        </is>
      </c>
      <c r="D40" s="9" t="inlineStr">
        <is>
          <t>no</t>
        </is>
      </c>
      <c r="E40" s="9" t="inlineStr">
        <is>
          <t>The forms serve as templates for data collection and lack active data processing functionality.</t>
        </is>
      </c>
      <c r="F40" s="9" t="inlineStr">
        <is>
          <t>Yes</t>
        </is>
      </c>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row>
    <row r="41">
      <c r="A41" s="9" t="inlineStr">
        <is>
          <t>open-context-py</t>
        </is>
      </c>
      <c r="B41" s="9" t="inlineStr">
        <is>
          <t>This project represents the current evolution of Open Context. It's intended to be an easier to maintain code-base, and to make the data published by Open Context easier to maintain.</t>
        </is>
      </c>
      <c r="C41" s="9" t="inlineStr">
        <is>
          <t>open-context-py is a standalone software project aimed at evolving the Open Context platform by simplifying data maintenance and access. While it improves the organization and dissemination of archaeological data, its primary focus is on data management rather than on active computational processing or dynamic analysis.</t>
        </is>
      </c>
      <c r="D41" s="9" t="inlineStr">
        <is>
          <t>no</t>
        </is>
      </c>
      <c r="E41" s="9" t="inlineStr">
        <is>
          <t>It is centered on data maintenance and access rather than on active analysis.</t>
        </is>
      </c>
      <c r="F41" s="9" t="inlineStr">
        <is>
          <t>Yes</t>
        </is>
      </c>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row>
    <row r="42">
      <c r="A42" s="9" t="inlineStr">
        <is>
          <t>OpenAtlas</t>
        </is>
      </c>
      <c r="B42" s="9" t="inlineStr">
        <is>
          <t>An open source, web based database system for complex archaeological, historical and geospatial data.</t>
        </is>
      </c>
      <c r="C42" s="9" t="inlineStr">
        <is>
          <t>OpenAtlas is a web-based database system designed for managing complex archaeological, historical, and geospatial data. Its focus is primarily on data storage, organization, and display, and it does not perform active computational processing of input data.</t>
        </is>
      </c>
      <c r="D42" s="9" t="inlineStr">
        <is>
          <t>no</t>
        </is>
      </c>
      <c r="E42" s="9" t="inlineStr">
        <is>
          <t>OpenAtlas is built for data management and display rather than for dynamic data processing.</t>
        </is>
      </c>
      <c r="F42" s="9" t="inlineStr">
        <is>
          <t>Yes</t>
        </is>
      </c>
      <c r="G42" s="9" t="n"/>
      <c r="H42" s="9" t="n"/>
      <c r="I42" s="9" t="n"/>
      <c r="J42" s="9" t="n"/>
      <c r="K42" s="9" t="n"/>
      <c r="L42" s="9" t="n"/>
      <c r="M42" s="9" t="n"/>
      <c r="N42" s="9" t="n"/>
      <c r="O42" s="9" t="n"/>
      <c r="P42" s="9" t="n"/>
      <c r="Q42" s="9" t="n"/>
      <c r="R42" s="9" t="n"/>
      <c r="S42" s="9" t="n"/>
      <c r="T42" s="9" t="n"/>
      <c r="U42" s="9" t="n"/>
      <c r="V42" s="9" t="n"/>
      <c r="W42" s="9" t="n"/>
      <c r="X42" s="9" t="n"/>
      <c r="Y42" s="9" t="n"/>
      <c r="Z42" s="9" t="n"/>
      <c r="AA42" s="9" t="n"/>
      <c r="AB42" s="9" t="n"/>
    </row>
    <row r="43">
      <c r="A43" s="9" t="inlineStr">
        <is>
          <t>paleocore</t>
        </is>
      </c>
      <c r="B43" s="9" t="inlineStr">
        <is>
          <t>Towards a data standard for paleoanthropology.</t>
        </is>
      </c>
      <c r="C43" s="9" t="inlineStr">
        <is>
          <t>paleocore is a standalone software tool developed to establish data standards for paleoanthropology. It provides a framework for organizing and formatting paleoanthropological data to promote consistency and interoperability. However, its primary function is focused on data standardization rather than on active data processing or analytical computation.</t>
        </is>
      </c>
      <c r="D43" s="9" t="inlineStr">
        <is>
          <t>no</t>
        </is>
      </c>
      <c r="E43" s="9" t="inlineStr">
        <is>
          <t>Paleocore is designed for data standardization and organization, not for dynamic data processing.</t>
        </is>
      </c>
      <c r="F43" s="9" t="inlineStr">
        <is>
          <t>Yes</t>
        </is>
      </c>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row>
    <row r="44">
      <c r="A44" s="9" t="inlineStr">
        <is>
          <t>poseidon-framework</t>
        </is>
      </c>
      <c r="B44" s="9" t="inlineStr">
        <is>
          <t>Poseidon is a framework that seeks to provide standardized ways to store and share archaeogenetic, and perhaps more broadly, molecular archaeological datasets.</t>
        </is>
      </c>
      <c r="C44" s="9" t="inlineStr">
        <is>
          <t>poseidon-framework is a standalone software framework designed to standardize the storage and sharing of archaeogenetic and molecular archaeological data. It offers structured schemas for data organization but primarily focuses on data standardization and dissemination rather than on active computational analysis.</t>
        </is>
      </c>
      <c r="D44" s="9" t="inlineStr">
        <is>
          <t>no</t>
        </is>
      </c>
      <c r="E44" s="9" t="inlineStr">
        <is>
          <t>The framework focuses on data organization and sharing, lacking active computational analysis features.</t>
        </is>
      </c>
      <c r="F44" s="9" t="inlineStr">
        <is>
          <t>Yes</t>
        </is>
      </c>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9" t="n"/>
    </row>
    <row r="45">
      <c r="A45" s="9" t="inlineStr">
        <is>
          <t>pyArchInit</t>
        </is>
      </c>
      <c r="B45" s="9" t="inlineStr">
        <is>
          <t>A python plugin for QGIS aimed at managing data from archaeological contexts on the GIS platform</t>
        </is>
      </c>
      <c r="C45" s="9" t="inlineStr">
        <is>
          <t>pyArchInit is a Python plugin for QGIS that facilitates the management of archaeological data within a geographic information system. While it streamlines data organization and visualization in a GIS environment, its functionality is centered on data management rather than active computational processing.</t>
        </is>
      </c>
      <c r="D45" s="9" t="inlineStr">
        <is>
          <t>no</t>
        </is>
      </c>
      <c r="E45" s="9" t="inlineStr">
        <is>
          <t>The tool integrates data management features within QGIS and does not perform active computational processing.</t>
        </is>
      </c>
      <c r="F45" s="9" t="inlineStr">
        <is>
          <t>Yes</t>
        </is>
      </c>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9" t="n"/>
    </row>
    <row r="46">
      <c r="A46" s="9" t="inlineStr">
        <is>
          <t>pygeoroc</t>
        </is>
      </c>
      <c r="B46" s="9" t="inlineStr">
        <is>
          <t>Python library to access data in the GEOROC database.</t>
        </is>
      </c>
      <c r="C46" s="9" t="inlineStr">
        <is>
          <t>pygeoroc is a Python library that facilitates access to the GEOROC database, a repository of geochemical information on geological samples. It provides functions to query and retrieve data, allowing integration of GEOROC datasets into analytical workflows. However, its primary role is data retrieval rather than active computational processing, serving as an interface to a static dataset.</t>
        </is>
      </c>
      <c r="D46" s="9" t="inlineStr">
        <is>
          <t>no</t>
        </is>
      </c>
      <c r="E46" s="9" t="inlineStr">
        <is>
          <t>pygeoroc is designed for data retrieval and integration, not for active data processing.</t>
        </is>
      </c>
      <c r="F46" s="9" t="inlineStr">
        <is>
          <t>Yes</t>
        </is>
      </c>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row>
    <row r="47">
      <c r="A47" s="9" t="inlineStr">
        <is>
          <t>Scroll Viewer</t>
        </is>
      </c>
      <c r="B47" s="9" t="inlineStr">
        <is>
          <t>Viewer for the Herculaneum Papyri segments.</t>
        </is>
      </c>
      <c r="C47" s="9" t="inlineStr">
        <is>
          <t>Scroll Viewer is a standalone software application designed for viewing segmented images of the Herculaneum Papyri. It provides an interactive interface for navigating high-resolution scans of ancient texts, allowing detailed examination of papyrus segments. However, its primary function is display rather than active computational data processing, positioning it more as a visualization aid than a research-oriented analytical tool.</t>
        </is>
      </c>
      <c r="D47" s="9" t="inlineStr">
        <is>
          <t>no</t>
        </is>
      </c>
      <c r="E47" s="9" t="inlineStr">
        <is>
          <t>It is a visualization tool used for displaying scanned images, not for processing data.</t>
        </is>
      </c>
      <c r="F47" s="9" t="inlineStr">
        <is>
          <t>No</t>
        </is>
      </c>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row>
    <row r="48">
      <c r="A48" s="9" t="inlineStr">
        <is>
          <t>StoneAdvisor</t>
        </is>
      </c>
      <c r="B48" s="9" t="inlineStr">
        <is>
          <t>Explore and share your favourite archaeological sites and itineraries.</t>
        </is>
      </c>
      <c r="C48" s="9" t="inlineStr">
        <is>
          <t>StoneAdvisor is a standalone software application developed in Python that enables users to explore and share information about archaeological sites and itineraries. It provides an interactive platform for browsing site details and user contributions, yet its core functionality centers on displaying and sharing static information rather than actively processing research data. Consequently, while it promotes public engagement with cultural heritage, it does not fulfill the criteria for an active computational research tool.</t>
        </is>
      </c>
      <c r="D48" s="9" t="inlineStr">
        <is>
          <t>no</t>
        </is>
      </c>
      <c r="E48" s="9" t="inlineStr">
        <is>
          <t>Its functionality is oriented towards content sharing and presentation, not dynamic computational analysis.</t>
        </is>
      </c>
      <c r="F48" s="9" t="inlineStr">
        <is>
          <t>No</t>
        </is>
      </c>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row>
    <row r="49">
      <c r="A49" s="9" t="inlineStr">
        <is>
          <t>Stratibase</t>
        </is>
      </c>
      <c r="B49" s="9" t="inlineStr">
        <is>
          <t>Stratibase is a minimal field recording database application (currently in FileMaker FP7 format software), aimed at the simplest structure possible to perform the basic functions of a stratigraphic recording.</t>
        </is>
      </c>
      <c r="C49" s="9" t="inlineStr">
        <is>
          <t>Stratibase is a minimal field recording database application intended for basic stratigraphic recording in archaeological fieldwork. It offers a simple interface for data entry and storage, streamlining the documentation of stratigraphic information. However, its functionality is limited to data management rather than active computational processing.</t>
        </is>
      </c>
      <c r="D49" s="9" t="inlineStr">
        <is>
          <t>no</t>
        </is>
      </c>
      <c r="E49" s="9" t="inlineStr">
        <is>
          <t>Stratibase is limited to basic data entry and storage and does not perform dynamic data processing.</t>
        </is>
      </c>
      <c r="F49" s="9" t="inlineStr">
        <is>
          <t>Yes</t>
        </is>
      </c>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row>
    <row r="50">
      <c r="A50" s="9" t="inlineStr">
        <is>
          <t>vici.org</t>
        </is>
      </c>
      <c r="B50" s="9" t="inlineStr">
        <is>
          <t>A community driven archaeological map of classical antiquity, inspired by and modelled after Wikipedia.</t>
        </is>
      </c>
      <c r="C50" s="9" t="inlineStr">
        <is>
          <t>vici.org is a standalone web-based platform that showcases a community-driven map of classical antiquity. It enables users to explore and contribute information about archaeological sites and historical landscapes. While the platform offers interactive browsing and data aggregation, its functionality centers on displaying static user-submitted information rather than actively processing or analyzing data, thus limiting its role as a research-oriented computational tool.</t>
        </is>
      </c>
      <c r="D50" s="9" t="inlineStr">
        <is>
          <t>no</t>
        </is>
      </c>
      <c r="E50" s="9" t="inlineStr">
        <is>
          <t>vici.org emphasizes static data sharing and visualization rather than dynamic computational analysis.</t>
        </is>
      </c>
      <c r="F50" s="9" t="inlineStr">
        <is>
          <t>No</t>
        </is>
      </c>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row>
    <row r="51">
      <c r="A51" s="9" t="inlineStr">
        <is>
          <t>xronos.R</t>
        </is>
      </c>
      <c r="B51" s="9" t="inlineStr">
        <is>
          <t>A worldwide database of chronological information from archaeological contexts, including radiocarbon and dendrochronological data.</t>
        </is>
      </c>
      <c r="C51" s="9" t="inlineStr">
        <is>
          <t>xronos.R provides a comprehensive compilation of chronological information from archaeological contexts worldwide, including radiocarbon and dendrochronological data. Designed as an R package, it offers researchers convenient access to curated datasets for chronological analysis. While it is invaluable for comparative studies and chronological modeling, its primary function is data provision rather than active computational processing, meaning it serves more as a static repository.</t>
        </is>
      </c>
      <c r="D51" s="9" t="inlineStr">
        <is>
          <t>no</t>
        </is>
      </c>
      <c r="E51" s="9" t="inlineStr">
        <is>
          <t>xronos.R serves as a reference database and does not include features for dynamic computational analysis.</t>
        </is>
      </c>
      <c r="F51" s="9" t="inlineStr">
        <is>
          <t>Yes</t>
        </is>
      </c>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row>
    <row r="52">
      <c r="A52" s="9" t="inlineStr">
        <is>
          <t>14C-power-sensitivity</t>
        </is>
      </c>
      <c r="B52" s="9" t="inlineStr">
        <is>
          <t>How wrong is wrong and how good can it get? 14C chronological model power and sensitivity analyses with OxCal and R.</t>
        </is>
      </c>
      <c r="C52" s="9" t="inlineStr">
        <is>
          <t>14C-power-sensitivity is an R package designed to perform power and sensitivity analyses on radiocarbon chronological models using OxCal. It actively processes radiocarbon data to evaluate model robustness and identify potential uncertainties in age estimations. By automating these complex statistical assessments, the tool provides researchers with critical insights into the precision of 14C dating methods, enhancing the reliability of archaeological chronologies.</t>
        </is>
      </c>
      <c r="D52" s="9" t="inlineStr">
        <is>
          <t>yes</t>
        </is>
      </c>
      <c r="E52" s="9" t="n"/>
      <c r="F52" s="9" t="inlineStr">
        <is>
          <t>Yes</t>
        </is>
      </c>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row>
    <row r="53">
      <c r="A53" s="9" t="inlineStr">
        <is>
          <t>3D_EdgeAngle</t>
        </is>
      </c>
      <c r="B53" s="9" t="inlineStr">
        <is>
          <t>Semi-automated 3D digital method to systematically quantify stone tool edge angle and design.</t>
        </is>
      </c>
      <c r="C53" s="9" t="inlineStr">
        <is>
          <t>3D_EdgeAngle is a Python-based tool that semi-automates the quantification of stone tool edge angles and design features from 3D digital models. Utilizing computational geometry techniques, it extracts precise measurements from scanned artifacts, enabling detailed morphometric analyses. This automation enhances reproducibility and efficiency in stone tool studies, providing researchers with dynamic insights into manufacturing techniques and technological variability.</t>
        </is>
      </c>
      <c r="D53" s="9" t="inlineStr">
        <is>
          <t>yes</t>
        </is>
      </c>
      <c r="E53" s="9" t="n"/>
      <c r="F53" s="9" t="inlineStr">
        <is>
          <t>Yes</t>
        </is>
      </c>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row>
    <row r="54">
      <c r="A54" s="9" t="inlineStr">
        <is>
          <t>3d_spatial_ripley_analyses</t>
        </is>
      </c>
      <c r="B54" s="9" t="inlineStr">
        <is>
          <t>Test spatial associations of objects in three dimensions by using the Ripley's K function.</t>
        </is>
      </c>
      <c r="C54" s="9" t="inlineStr">
        <is>
          <t>3d_spatial_ripley_analyses is an R script that employs Ripley’s K function to evaluate spatial associations in three-dimensional datasets. It actively processes spatial coordinates to assess clustering and dispersion patterns, thereby facilitating robust spatial analysis of archaeological artifacts or features. The tool’s automated statistical approach supports detailed investigations into site formation processes.</t>
        </is>
      </c>
      <c r="D54" s="9" t="inlineStr">
        <is>
          <t>yes</t>
        </is>
      </c>
      <c r="E54" s="9" t="n"/>
      <c r="F54" s="9" t="inlineStr">
        <is>
          <t>Yes</t>
        </is>
      </c>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row>
    <row r="55">
      <c r="A55" s="9" t="inlineStr">
        <is>
          <t>3D-ORGAN</t>
        </is>
      </c>
      <c r="B55" s="9" t="inlineStr">
        <is>
          <t>3D reconstruction of incomplete archaeological objects using a generative adversarial network (GAN).</t>
        </is>
      </c>
      <c r="C55" s="9" t="inlineStr">
        <is>
          <t>3D-ORGAN is a Python script that leverages generative adversarial networks (GANs) to reconstruct incomplete archaeological objects in three dimensions. It actively processes 3D scan data, learning to generate plausible reconstructions of missing parts, and provides dynamic visualizations of the restored artifacts. This innovative tool aids researchers in digital restoration and enhances the interpretation of fragmentary archaeological finds.</t>
        </is>
      </c>
      <c r="D55" s="9" t="inlineStr">
        <is>
          <t>yes</t>
        </is>
      </c>
      <c r="E55" s="9" t="n"/>
      <c r="F55" s="9" t="inlineStr">
        <is>
          <t>Yes</t>
        </is>
      </c>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row>
    <row r="56">
      <c r="A56" s="9" t="inlineStr">
        <is>
          <t>3D-survey-collection</t>
        </is>
      </c>
      <c r="B56" s="9" t="inlineStr">
        <is>
          <t>Blender addon that simplifies the tasks involved in the management and optimization of the archaeological and architectonic 3D record.</t>
        </is>
      </c>
      <c r="C56" s="9" t="inlineStr">
        <is>
          <t>3D-survey-collection is a Blender addon that streamlines the management and optimization of 3D archaeological and architectural records. It actively processes 3D data by automating tasks such as data organization, visualization, and model optimization. This integration within Blender facilitates efficient handling of complex 3D datasets, enhancing the reproducibility and accuracy of spatial analyses in both archaeological and architectural projects.</t>
        </is>
      </c>
      <c r="D56" s="9" t="inlineStr">
        <is>
          <t>yes</t>
        </is>
      </c>
      <c r="E56" s="9" t="n"/>
      <c r="F56" s="9" t="inlineStr">
        <is>
          <t>Yes</t>
        </is>
      </c>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row>
    <row r="57">
      <c r="A57" s="9" t="inlineStr">
        <is>
          <t>ADMUR</t>
        </is>
      </c>
      <c r="B57" s="9" t="inlineStr">
        <is>
          <t>Tools to directly model underlying population dynamics using chronological datasets (radiocarbon and other) with a variety of models, including Continuous Piecewise Linear (CPL) model framework, and model comparison framework using BIC. Package also calibrates 14C samples, and generates Summed Probability Distributions (SPD). CPL modelling directly estimates the most likely population trajectory given a dataset, using SPD simulation analysis to generate a Goodness-of-fit test for the best selected model.</t>
        </is>
      </c>
      <c r="C57" s="9" t="inlineStr">
        <is>
          <t>ADMUR is an R package that models population dynamics using chronological datasets, including radiocarbon dates. It implements Continuous Piecewise Linear (CPL) models and employs Bayesian Information Criteria (BIC) for model comparison. Additionally, ADMUR calibrates radiocarbon samples and generates Summed Probability Distributions (SPD) to simulate population trajectories. By actively processing chronological data through advanced statistical methods, it provides robust insights into past population trends.</t>
        </is>
      </c>
      <c r="D57" s="9" t="inlineStr">
        <is>
          <t>yes</t>
        </is>
      </c>
      <c r="E57" s="9" t="n"/>
      <c r="F57" s="9" t="inlineStr">
        <is>
          <t>Yes</t>
        </is>
      </c>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row>
    <row r="58">
      <c r="A58" s="9" t="inlineStr">
        <is>
          <t>aion</t>
        </is>
      </c>
      <c r="B58" s="9" t="inlineStr">
        <is>
          <t>Provides a system of classes and methods to represent and work with archaeological time-series.</t>
        </is>
      </c>
      <c r="C58" s="9" t="inlineStr">
        <is>
          <t>aion is an R package offering a comprehensive system of classes and methods to represent, manipulate, and analyze archaeological time-series data. It enables the structured organization and dynamic transformation of temporal information, supporting robust chronological analyses. The modular design of aion facilitates the integration of diverse analytical techniques, thereby enhancing reproducibility and data interoperability in archaeological research.</t>
        </is>
      </c>
      <c r="D58" s="9" t="inlineStr">
        <is>
          <t>yes</t>
        </is>
      </c>
      <c r="E58" s="9" t="n"/>
      <c r="F58" s="9" t="inlineStr">
        <is>
          <t>Yes</t>
        </is>
      </c>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row>
    <row r="59">
      <c r="A59" s="9" t="inlineStr">
        <is>
          <t>Akkademia</t>
        </is>
      </c>
      <c r="B59" s="9" t="inlineStr">
        <is>
          <t>Translating Akkadian signs to transcriptions using NLP techniques such as HMM, MEMM and BiLSTM neural networks.</t>
        </is>
      </c>
      <c r="C59" s="9" t="inlineStr">
        <is>
          <t>Akkademia is a Python package that utilizes advanced natural language processing techniques—including HMM, MEMM, and BiLSTM neural networks—to translate Akkadian signs into transcriptions. By automating the transcription process of ancient inscriptions, it enhances the speed and accuracy of epigraphic studies. This tool supports digital humanities research by converting complex cuneiform data into interpretable text, thereby facilitating further linguistic and historical analysis.</t>
        </is>
      </c>
      <c r="D59" s="9" t="inlineStr">
        <is>
          <t>yes</t>
        </is>
      </c>
      <c r="E59" s="9" t="n"/>
      <c r="F59" s="9" t="inlineStr">
        <is>
          <t>Yes</t>
        </is>
      </c>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row>
    <row r="60">
      <c r="A60" s="9" t="inlineStr">
        <is>
          <t>Al2O3_AnalysisApp</t>
        </is>
      </c>
      <c r="B60" s="9" t="inlineStr">
        <is>
          <t>Shiny app to analyse Al2O3:C measurements</t>
        </is>
      </c>
      <c r="C60" s="9" t="inlineStr">
        <is>
          <t>Al2O3_AnalysisApp is a Shiny web application built in R for analyzing Al2O3:C measurements in luminescence dating. It actively processes laboratory measurement data to perform statistical analysis and generate interactive visualizations, aiding researchers in age determination and dose rate calculations. The app streamlines the workflow for luminescence dating by automating complex computations and presenting results in an accessible format, making it a valuable tool for geochronological studies in archaeology.</t>
        </is>
      </c>
      <c r="D60" s="9" t="inlineStr">
        <is>
          <t>yes</t>
        </is>
      </c>
      <c r="E60" s="9" t="n"/>
      <c r="F60" s="9" t="inlineStr">
        <is>
          <t>Yes</t>
        </is>
      </c>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row>
    <row r="61">
      <c r="A61" s="9" t="inlineStr">
        <is>
          <t>alkahest</t>
        </is>
      </c>
      <c r="B61" s="9" t="inlineStr">
        <is>
          <t>Pre-Processing XY Data from Experimental Methods.</t>
        </is>
      </c>
      <c r="C61" s="9" t="inlineStr">
        <is>
          <t>alkahest is an R package developed for preprocessing and cleaning XY coordinate data obtained from experimental archaeological methods. It automates tasks such as outlier removal and data normalization, ensuring that spatial datasets are accurate and ready for further analysis. This streamlined approach improves the efficiency and reliability of subsequent spatial analyses in archaeological research.</t>
        </is>
      </c>
      <c r="D61" s="9" t="inlineStr">
        <is>
          <t>yes</t>
        </is>
      </c>
      <c r="E61" s="9" t="n"/>
      <c r="F61" s="9" t="inlineStr">
        <is>
          <t>Yes</t>
        </is>
      </c>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row>
    <row r="62">
      <c r="A62" s="9" t="inlineStr">
        <is>
          <t>allen-relations</t>
        </is>
      </c>
      <c r="B62" s="9" t="inlineStr">
        <is>
          <t>Allen relations from Bayesian calibration: R function to compare two indefinite intervals produced by a Bayesian calibration using the Allen algebra.</t>
        </is>
      </c>
      <c r="C62" s="9" t="inlineStr">
        <is>
          <t>allen-relations is an R function that applies Allen's Interval Algebra to compare indefinite chronological intervals derived from Bayesian calibrations. It actively processes calibrated radiocarbon data to determine temporal relationships between events, thus supporting more precise chronological modeling and analysis in archaeological research.</t>
        </is>
      </c>
      <c r="D62" s="9" t="inlineStr">
        <is>
          <t>yes</t>
        </is>
      </c>
      <c r="E62" s="9" t="n"/>
      <c r="F62" s="9" t="inlineStr">
        <is>
          <t>Yes</t>
        </is>
      </c>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row>
    <row r="63">
      <c r="A63" s="9" t="inlineStr">
        <is>
          <t>allen.archaeology</t>
        </is>
      </c>
      <c r="B63" s="9" t="inlineStr">
        <is>
          <t>Allen's Interval Algebra for Archaeologists.</t>
        </is>
      </c>
      <c r="C63" s="9" t="inlineStr">
        <is>
          <t>allen.archaeology is an R package that implements Allen's Interval Algebra, a formal system for reasoning about temporal intervals. It actively processes chronological data to model and analyze temporal relationships, thereby assisting archaeologists in constructing consistent and precise chronological frameworks.</t>
        </is>
      </c>
      <c r="D63" s="9" t="inlineStr">
        <is>
          <t>yes</t>
        </is>
      </c>
      <c r="E63" s="9" t="n"/>
      <c r="F63" s="9" t="inlineStr">
        <is>
          <t>Yes</t>
        </is>
      </c>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row>
    <row r="64">
      <c r="A64" s="9" t="inlineStr">
        <is>
          <t>Alligator</t>
        </is>
      </c>
      <c r="B64" s="9" t="inlineStr">
        <is>
          <t>A Web tool for converting CAs with dating information to relative time intervals as RDF.</t>
        </is>
      </c>
      <c r="C64" s="9" t="inlineStr">
        <is>
          <t>Alligator is a web-based tool that facilitates the conversion of chronological assessments (CAs) containing dating information into relative time intervals represented as RDF. This tool is designed for researchers who need to transform archaeological dating data into a standardized, machine-readable format, enabling seamless integration with other linked data resources. By automating the conversion process, Alligator enhances data interoperability and supports advanced temporal analyses in archaeological research. It is particularly useful for projects requiring systematic organization and semantic enrichment of chronological data.</t>
        </is>
      </c>
      <c r="D64" s="9" t="inlineStr">
        <is>
          <t>yes</t>
        </is>
      </c>
      <c r="E64" s="9" t="n"/>
      <c r="F64" s="9" t="inlineStr">
        <is>
          <t>Yes</t>
        </is>
      </c>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row>
    <row r="65">
      <c r="A65" s="9" t="inlineStr">
        <is>
          <t>anatolia-bibliography-map</t>
        </is>
      </c>
      <c r="B65" s="9" t="inlineStr">
        <is>
          <t>The goal of this project is to spatially locate bibliographic resources regarding the archaeology of Anatolia (modern Turkey). This takes the bibliography of archaeology to the next level by showing not only the topics and authors, but where the archaeological research is being done.</t>
        </is>
      </c>
      <c r="C65" s="9" t="inlineStr">
        <is>
          <t>anatolia-bibliography-map is a standalone software tool that spatially maps bibliographic resources related to Anatolian archaeology. It actively processes bibliographic and geographic data to generate interactive maps that reveal the spatial distribution of research activities, offering insights into regional scholarly networks and trends.</t>
        </is>
      </c>
      <c r="D65" s="9" t="inlineStr">
        <is>
          <t>yes</t>
        </is>
      </c>
      <c r="E65" s="9" t="n"/>
      <c r="F65" s="9" t="inlineStr">
        <is>
          <t>Yes</t>
        </is>
      </c>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row>
    <row r="66">
      <c r="A66" s="9" t="inlineStr">
        <is>
          <t>ancient-artifacts</t>
        </is>
      </c>
      <c r="B66" s="9" t="inlineStr">
        <is>
          <t>Dynamic image analysis to identify ancient artifacts in soil samples.</t>
        </is>
      </c>
      <c r="C66" s="9" t="inlineStr">
        <is>
          <t>ancient-artifacts is an R package that employs dynamic image analysis techniques to identify ancient artifacts within soil samples. It processes high-resolution imagery to detect and classify subtle morphological features, facilitating the discovery of buried archaeological materials. By automating the image analysis process, the tool enhances the accuracy and efficiency of artifact detection and spatial analysis. Its computational approach supports more objective and reproducible interpretations in geoarchaeological research.</t>
        </is>
      </c>
      <c r="D66" s="9" t="inlineStr">
        <is>
          <t>yes</t>
        </is>
      </c>
      <c r="E66" s="9" t="n"/>
      <c r="F66" s="9" t="inlineStr">
        <is>
          <t>Yes</t>
        </is>
      </c>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row>
    <row r="67">
      <c r="A67" s="9" t="inlineStr">
        <is>
          <t>anthroFun</t>
        </is>
      </c>
      <c r="B67" s="9" t="inlineStr">
        <is>
          <t>Functions to help with the preprocessing steps in anthropological research.</t>
        </is>
      </c>
      <c r="C67" s="9" t="inlineStr">
        <is>
          <t>anthroFun is a collection of R functions designed to streamline the preprocessing of data in anthropological research. It offers a range of utility tools to clean, transform, and prepare raw datasets for further analysis. By automating repetitive data preparation tasks, anthroFun enhances the efficiency and reproducibility of research workflows in anthropology and archaeology. The package supports various preprocessing needs, from data normalization to error handling, making it a valuable resource for researchers aiming to optimize their analytical pipelines.</t>
        </is>
      </c>
      <c r="D67" s="9" t="inlineStr">
        <is>
          <t>yes</t>
        </is>
      </c>
      <c r="E67" s="9" t="n"/>
      <c r="F67" s="9" t="inlineStr">
        <is>
          <t>Yes</t>
        </is>
      </c>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row>
    <row r="68">
      <c r="A68" s="9" t="inlineStr">
        <is>
          <t>anthropmmd</t>
        </is>
      </c>
      <c r="B68" s="9" t="inlineStr">
        <is>
          <t>An R package for Smith's Mean Measure of Divergence (MMD), with a graphical user interface, facilities for trait selection and graphical representations.</t>
        </is>
      </c>
      <c r="C68" s="9" t="inlineStr">
        <is>
          <t>anthropmmd is an R package that implements Smith's Mean Measure of Divergence (MMD), a statistical tool used in cultural evolution studies. It features an intuitive graphical user interface that facilitates trait selection and the generation of detailed graphical representations. By actively processing input data to compute divergence measures, anthropmmd supports comparative analysis and hypothesis testing in cultural evolution research, making it an essential tool for quantitative studies in archaeology.</t>
        </is>
      </c>
      <c r="D68" s="9" t="inlineStr">
        <is>
          <t>yes</t>
        </is>
      </c>
      <c r="E68" s="9" t="n"/>
      <c r="F68" s="9" t="inlineStr">
        <is>
          <t>Yes</t>
        </is>
      </c>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row>
    <row r="69">
      <c r="A69" s="9" t="inlineStr">
        <is>
          <t>aoristAAR</t>
        </is>
      </c>
      <c r="B69" s="9" t="inlineStr">
        <is>
          <t>A R package for the aoristic analysis of archaeological data.</t>
        </is>
      </c>
      <c r="C69" s="9" t="inlineStr">
        <is>
          <t>aoristAAR is an R package designed for the aoristic analysis of archaeological data, addressing temporal uncertainties in event-based datasets. It actively processes input data to produce probability distributions over time, enabling a nuanced interpretation of archaeological chronologies. Integrated with statistical analysis and visualization tools, aoristAAR refines chronological models and supports dynamic temporal analysis.</t>
        </is>
      </c>
      <c r="D69" s="9" t="inlineStr">
        <is>
          <t>yes</t>
        </is>
      </c>
      <c r="E69" s="9" t="n"/>
      <c r="F69" s="9" t="inlineStr">
        <is>
          <t>Yes</t>
        </is>
      </c>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row>
    <row r="70">
      <c r="A70" s="9" t="inlineStr">
        <is>
          <t>aoristic</t>
        </is>
      </c>
      <c r="B70" s="9" t="inlineStr">
        <is>
          <t>R package for aoristic analysis; the goal of aoristic is to make sense of temporally vague data.</t>
        </is>
      </c>
      <c r="C70" s="9" t="inlineStr">
        <is>
          <t>aoristic is an R package designed to perform aoristic analysis, addressing the challenges of temporally vague archaeological data. It actively distributes probability across potential time intervals to model uncertainty in dating, thereby providing a nuanced interpretation of ambiguous chronological information. This tool supports robust temporal analyses in archaeological research.</t>
        </is>
      </c>
      <c r="D70" s="9" t="inlineStr">
        <is>
          <t>yes</t>
        </is>
      </c>
      <c r="E70" s="9" t="n"/>
      <c r="F70" s="9" t="inlineStr">
        <is>
          <t>Yes</t>
        </is>
      </c>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row>
    <row r="71">
      <c r="A71" s="9" t="inlineStr">
        <is>
          <t>aoristic-analysis</t>
        </is>
      </c>
      <c r="B71" s="9" t="inlineStr">
        <is>
          <t>Estimate probabilities of find numbers per period.</t>
        </is>
      </c>
      <c r="C71" s="9" t="inlineStr">
        <is>
          <t>aoristic-analysis is a Python package that estimates the probabilities of archaeological find numbers within specified temporal periods using aoristic statistical methods. It actively processes chronological and categorical data to generate probability distributions, aiding researchers in interpreting the temporal dynamics of site formation processes. By automating these calculations, the tool enhances the accuracy and reproducibility of temporal analyses in archaeological research, providing a robust framework for understanding period-specific activity levels.</t>
        </is>
      </c>
      <c r="D71" s="9" t="inlineStr">
        <is>
          <t>yes</t>
        </is>
      </c>
      <c r="E71" s="9" t="n"/>
      <c r="F71" s="9" t="inlineStr">
        <is>
          <t>Yes</t>
        </is>
      </c>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row>
    <row r="72">
      <c r="A72" s="9" t="inlineStr">
        <is>
          <t>ArboDat</t>
        </is>
      </c>
      <c r="B72" s="9" t="inlineStr">
        <is>
          <t>A program package for registering and importing data of archaeobotanical analyses including contexts of samples as well as evaluation tools.</t>
        </is>
      </c>
      <c r="C72" s="9" t="inlineStr">
        <is>
          <t>ArboDat is a comprehensive program package designed to register, import, and manage archaeobotanical data, including sample contexts and analytical results. The tool facilitates the systematic organization and evaluation of archaeobotanical analyses by providing dedicated modules for data entry, quality control, and preliminary evaluation. Its functionality allows researchers to dynamically process and transform raw data into structured information, thereby enhancing the efficiency and reproducibility of archaeobotanical studies.</t>
        </is>
      </c>
      <c r="D72" s="9" t="inlineStr">
        <is>
          <t>yes</t>
        </is>
      </c>
      <c r="E72" s="9" t="n"/>
      <c r="F72" s="9" t="inlineStr">
        <is>
          <t>Yes</t>
        </is>
      </c>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row>
    <row r="73">
      <c r="A73" s="9" t="inlineStr">
        <is>
          <t>archaeo-CRF</t>
        </is>
      </c>
      <c r="B73" s="9" t="inlineStr">
        <is>
          <t>Conditional Random Fields model for NER in Dutch Archaeology.</t>
        </is>
      </c>
      <c r="C73" s="9" t="inlineStr">
        <is>
          <t>archaeo-CRF is a Python-based package that implements a Conditional Random Fields (CRF) model for Named Entity Recognition (NER) in Dutch archaeological texts. It actively processes textual data to identify and classify entities such as sites, artefacts, and historical figures, enhancing the efficiency of data extraction and semantic analysis. By automating the annotation process, archaeo-CRF facilitates the creation of structured datasets from unstructured text, supporting advanced research in digital humanities and archaeological information systems.</t>
        </is>
      </c>
      <c r="D73" s="9" t="inlineStr">
        <is>
          <t>yes</t>
        </is>
      </c>
      <c r="E73" s="9" t="n"/>
      <c r="F73" s="9" t="inlineStr">
        <is>
          <t>Yes</t>
        </is>
      </c>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row>
    <row r="74">
      <c r="A74" s="9" t="inlineStr">
        <is>
          <t>ArchaeoAstroInsight</t>
        </is>
      </c>
      <c r="B74" s="9" t="inlineStr">
        <is>
          <t>QGIS Python script/plugin for computing azimuth, horizon altitude, and celestial declination of a specific bearing indicated by a line segment selected by a user.</t>
        </is>
      </c>
      <c r="C74" s="9" t="inlineStr">
        <is>
          <t>ArchaeoAstroInsight is a QGIS Python plugin designed for computing astronomical parameters such as azimuth, horizon altitude, and celestial declination based on user-selected line segments. It actively processes spatial and astronomical data to generate precise measurements, supporting archaeological site analyses and archaeoastronomical research. By integrating seamlessly with QGIS, the tool enables users to perform on-the-fly computations that enhance the interpretation of site orientations and celestial alignments. Its dynamic functionality makes it an essential resource for researchers exploring the interplay between archaeological features and astronomical phenomena.</t>
        </is>
      </c>
      <c r="D74" s="9" t="inlineStr">
        <is>
          <t>yes</t>
        </is>
      </c>
      <c r="E74" s="9" t="n"/>
      <c r="F74" s="9" t="inlineStr">
        <is>
          <t>Yes</t>
        </is>
      </c>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row>
    <row r="75">
      <c r="A75" s="9" t="inlineStr">
        <is>
          <t>ArchaeoCal</t>
        </is>
      </c>
      <c r="B75" s="9" t="inlineStr">
        <is>
          <t>An R Interface to OxCal.</t>
        </is>
      </c>
      <c r="C75" s="9" t="inlineStr">
        <is>
          <t>ArchaeoCal is an R package that functions as an interface to the OxCal radiocarbon calibration program. It integrates OxCal’s calibration algorithms into R workflows, automating the conversion of radiocarbon ages into calibrated calendar dates. This seamless integration streamlines chronological modeling and enhances reproducibility in radiocarbon dating, making it an essential tool for researchers aiming to refine archaeological timelines.</t>
        </is>
      </c>
      <c r="D75" s="9" t="inlineStr">
        <is>
          <t>yes</t>
        </is>
      </c>
      <c r="E75" s="9" t="n"/>
      <c r="F75" s="9" t="inlineStr">
        <is>
          <t>Yes</t>
        </is>
      </c>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row>
    <row r="76">
      <c r="A76" s="9" t="inlineStr">
        <is>
          <t>ArchaeoChron</t>
        </is>
      </c>
      <c r="B76" s="9" t="inlineStr">
        <is>
          <t>Bayesian Modeling of Archaeological Chronologies.</t>
        </is>
      </c>
      <c r="C76" s="9" t="inlineStr">
        <is>
          <t>ArchaeoChron is an R package that utilizes Bayesian statistical methods for modeling archaeological chronologies. It actively processes stratigraphic and temporal data to produce probabilistic models that refine dating estimates and quantify uncertainties. Through dynamic analysis and interactive visualization, ArchaeoChron provides researchers with a powerful framework for constructing and validating chronological models in archaeology.</t>
        </is>
      </c>
      <c r="D76" s="9" t="inlineStr">
        <is>
          <t>yes</t>
        </is>
      </c>
      <c r="E76" s="9" t="n"/>
      <c r="F76" s="9" t="inlineStr">
        <is>
          <t>Yes</t>
        </is>
      </c>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row>
    <row r="77">
      <c r="A77" s="9" t="inlineStr">
        <is>
          <t>ArchaeoData</t>
        </is>
      </c>
      <c r="B77" s="9" t="inlineStr">
        <is>
          <t>Models and data to reproduce results from ArchaeoPhases examples and vignettes.</t>
        </is>
      </c>
      <c r="C77" s="9" t="inlineStr">
        <is>
          <t>ArchaeoData is an R package that compiles models and datasets designed to reproduce outcomes from ArchaeoPhases examples and vignettes. It provides a framework for replicating computational experiments in chronological modeling and radiocarbon calibration. By facilitating the verification and extension of published research, ArchaeoData supports rigorous, reproducible analyses in archaeological chronology, despite primarily serving as a repository of static resources integrated into dynamic workflows.</t>
        </is>
      </c>
      <c r="D77" s="9" t="inlineStr">
        <is>
          <t>yes</t>
        </is>
      </c>
      <c r="E77" s="9" t="n"/>
      <c r="F77" s="9" t="inlineStr">
        <is>
          <t>Yes</t>
        </is>
      </c>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row>
    <row r="78">
      <c r="A78" s="9" t="inlineStr">
        <is>
          <t>ArchaeoLines</t>
        </is>
      </c>
      <c r="B78" s="9" t="inlineStr">
        <is>
          <t>The ArchaeoLines plugin displays any combination of declination arcs most relevant to archaeo- or ethnoastronomical studies.</t>
        </is>
      </c>
      <c r="C78" s="9" t="inlineStr">
        <is>
          <t>ArchaeoLines is a Stellarium plugin that dynamically computes and displays various combinations of declination arcs, crucial for archaeoastronomical research. It processes astronomical data to generate visual overlays that assist in deciphering the orientation and alignment of ancient structures. By integrating interactive visualization with computational analysis, ArchaeoLines empowers researchers to investigate celestial correlations in archaeological settings.</t>
        </is>
      </c>
      <c r="D78" s="9" t="inlineStr">
        <is>
          <t>yes</t>
        </is>
      </c>
      <c r="E78" s="9" t="n"/>
      <c r="F78" s="9" t="inlineStr">
        <is>
          <t>Yes</t>
        </is>
      </c>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row>
    <row r="79">
      <c r="A79" s="9" t="inlineStr">
        <is>
          <t>archaeology_on_wikipedia.R</t>
        </is>
      </c>
      <c r="B79" s="9" t="inlineStr">
        <is>
          <t>How does wikipedia see archaeology?</t>
        </is>
      </c>
      <c r="C79" s="9" t="inlineStr">
        <is>
          <t>archaeology_on_wikipedia.R is an R script that investigates how Wikipedia portrays archaeology by retrieving and analyzing article content. It actively processes data from Wikipedia to generate visualizations and insights into public perceptions and editorial trends, thereby supporting digital humanities research in archaeology.</t>
        </is>
      </c>
      <c r="D79" s="9" t="inlineStr">
        <is>
          <t>yes</t>
        </is>
      </c>
      <c r="E79" s="9" t="n"/>
      <c r="F79" s="9" t="inlineStr">
        <is>
          <t>Yes</t>
        </is>
      </c>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row>
    <row r="80">
      <c r="A80" s="9" t="inlineStr">
        <is>
          <t>ArchaeolPhytoliths</t>
        </is>
      </c>
      <c r="B80" s="9" t="inlineStr">
        <is>
          <t>Automated detection and classification of multi-cell phytoliths at genera and species-level using Deep Learning algorithm.</t>
        </is>
      </c>
      <c r="C80" s="9" t="inlineStr">
        <is>
          <t>ArchaeolPhytoliths is a Python package that employs deep learning algorithms to automatically detect and classify multi-cell phytoliths at both genera and species levels. It processes high-resolution imagery to extract detailed morphological features, thereby improving the speed and accuracy of phytolith analysis in palaeobotanical research. This automation aids in reconstructing past environments and subsistence strategies from microscopic plant residues.</t>
        </is>
      </c>
      <c r="D80" s="9" t="inlineStr">
        <is>
          <t>yes</t>
        </is>
      </c>
      <c r="E80" s="9" t="n"/>
      <c r="F80" s="9" t="inlineStr">
        <is>
          <t>Yes</t>
        </is>
      </c>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row>
    <row r="81">
      <c r="A81" s="9" t="inlineStr">
        <is>
          <t>ArchaeoMag</t>
        </is>
      </c>
      <c r="B81" s="9" t="inlineStr">
        <is>
          <t>Program for the modelling of magnetic anomalies in archaeological research.</t>
        </is>
      </c>
      <c r="C81" s="9" t="inlineStr">
        <is>
          <t>ArchaeoMag is a standalone software tool designed to model magnetic anomalies in archaeological investigations. It actively processes geophysical survey data to simulate magnetic field variations, aiding in the detection of subsurface archaeological features. By automating complex modeling tasks, ArchaeoMag enhances the interpretation of magnetic survey results.</t>
        </is>
      </c>
      <c r="D81" s="9" t="inlineStr">
        <is>
          <t>yes</t>
        </is>
      </c>
      <c r="E81" s="9" t="n"/>
      <c r="F81" s="9" t="inlineStr">
        <is>
          <t>Yes</t>
        </is>
      </c>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row>
    <row r="82">
      <c r="A82" s="9" t="inlineStr">
        <is>
          <t>ArchaeoPhases</t>
        </is>
      </c>
      <c r="B82" s="9" t="inlineStr">
        <is>
          <t>Tools for the post-processing of the Markov Chain simulated by any software used for the construction of archeological chronologies.</t>
        </is>
      </c>
      <c r="C82" s="9" t="inlineStr">
        <is>
          <t>ArchaeoPhases is an R package designed to process and analyze the output from Markov Chain simulations used in constructing archaeological chronologies. It actively transforms simulation data through statistical post‐processing, visualization, and error analysis to refine chronological models. By automating these computational tasks, the tool helps researchers derive accurate temporal frameworks from complex datasets, making it an essential asset for chronological modeling in archaeological research.</t>
        </is>
      </c>
      <c r="D82" s="9" t="inlineStr">
        <is>
          <t>yes</t>
        </is>
      </c>
      <c r="E82" s="9" t="n"/>
      <c r="F82" s="9" t="inlineStr">
        <is>
          <t>Yes</t>
        </is>
      </c>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row>
    <row r="83">
      <c r="A83" s="9" t="inlineStr">
        <is>
          <t>archaeosrp</t>
        </is>
      </c>
      <c r="B83" s="9" t="inlineStr">
        <is>
          <t>Read PDFs with archaeological site report information and return the information in the forms as a dataframe.</t>
        </is>
      </c>
      <c r="C83" s="9" t="inlineStr">
        <is>
          <t>archaeosrp is an R package that automates the extraction of information from archaeological site reports in PDF format. It reads and parses textual data, converting it into structured dataframes suitable for further analysis. By transforming unstructured report content into standardized datasets, archaeosrp facilitates efficient data management and analytical processing. Its active data processing capabilities enhance the reproducibility and scalability of research involving textual archaeological records.</t>
        </is>
      </c>
      <c r="D83" s="9" t="inlineStr">
        <is>
          <t>yes</t>
        </is>
      </c>
      <c r="E83" s="9" t="n"/>
      <c r="F83" s="9" t="inlineStr">
        <is>
          <t>Yes</t>
        </is>
      </c>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row>
    <row r="84">
      <c r="A84" s="9" t="inlineStr">
        <is>
          <t>ArchAIDE</t>
        </is>
      </c>
      <c r="B84" s="9" t="inlineStr">
        <is>
          <t>Tool for the automatic recognition of archaeological pottery.</t>
        </is>
      </c>
      <c r="C84" s="9" t="inlineStr">
        <is>
          <t>ArchAIDE is a standalone software tool that utilizes automated image processing techniques to recognize archaeological pottery. It actively analyzes visual data from photographs or scans of pottery fragments to classify and interpret stylistic features, thereby supporting ceramic analysis and typological studies in archaeology.</t>
        </is>
      </c>
      <c r="D84" s="9" t="inlineStr">
        <is>
          <t>yes</t>
        </is>
      </c>
      <c r="E84" s="9" t="n"/>
      <c r="F84" s="9" t="inlineStr">
        <is>
          <t>Yes</t>
        </is>
      </c>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row>
    <row r="85">
      <c r="A85" s="9" t="inlineStr">
        <is>
          <t>archchron</t>
        </is>
      </c>
      <c r="B85" s="9" t="inlineStr">
        <is>
          <t>For handling archaeological chronological data.</t>
        </is>
      </c>
      <c r="C85" s="9" t="inlineStr">
        <is>
          <t>archchron is an R package dedicated to managing and analyzing archaeological chronological data. It provides tools to import, organize, and process dating information from various sources, facilitating the construction and refinement of chronological models. By enabling the dynamic manipulation of temporal data, archchron supports robust chronological analyses and aids in the interpretation of archaeological timelines. Its functionality enhances reproducibility and precision in temporal modeling, making it an essential computational resource for researchers working on chronological studies in archaeology.</t>
        </is>
      </c>
      <c r="D85" s="9" t="inlineStr">
        <is>
          <t>yes</t>
        </is>
      </c>
      <c r="E85" s="9" t="n"/>
      <c r="F85" s="9" t="inlineStr">
        <is>
          <t>Yes</t>
        </is>
      </c>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row>
    <row r="86">
      <c r="A86" s="9" t="inlineStr">
        <is>
          <t>archeofrag</t>
        </is>
      </c>
      <c r="B86" s="9" t="inlineStr">
        <is>
          <t>R package for the analysis of the fragmentation of archeological objects.</t>
        </is>
      </c>
      <c r="C86" s="9" t="inlineStr">
        <is>
          <t>archeofrag is an R package that analyzes fragmentation patterns in archaeological objects. It actively processes spatial and quantitative data to simulate and statistically evaluate artifact breakage, offering insights into post-depositional processes and taphonomic histories in archaeological contexts.</t>
        </is>
      </c>
      <c r="D86" s="9" t="inlineStr">
        <is>
          <t>yes</t>
        </is>
      </c>
      <c r="E86" s="9" t="n"/>
      <c r="F86" s="9" t="inlineStr">
        <is>
          <t>Yes</t>
        </is>
      </c>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row>
    <row r="87">
      <c r="A87" s="9" t="inlineStr">
        <is>
          <t>ArcheoShape</t>
        </is>
      </c>
      <c r="B87" s="9" t="inlineStr">
        <is>
          <t>Analysis tools for geometric models of archaeological pieces.</t>
        </is>
      </c>
      <c r="C87" s="9" t="inlineStr">
        <is>
          <t>ArcheoShape is a standalone software tool that offers a suite of analytical functions for examining geometric models of archaeological artifacts. It processes 3D digital representations to extract shape features and perform comparative analyses, thereby enhancing the study of artifact morphology. Its automation and robust data handling facilitate reproducible research in material culture studies.</t>
        </is>
      </c>
      <c r="D87" s="9" t="inlineStr">
        <is>
          <t>yes</t>
        </is>
      </c>
      <c r="E87" s="9" t="n"/>
      <c r="F87" s="9" t="inlineStr">
        <is>
          <t>Yes</t>
        </is>
      </c>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row>
    <row r="88">
      <c r="A88" s="9" t="inlineStr">
        <is>
          <t>archeoViz</t>
        </is>
      </c>
      <c r="B88" s="9" t="inlineStr">
        <is>
          <t>A packaged R 'Shiny' application for the visualisation, interactive exploration, and web communication of archaeological spatial data.</t>
        </is>
      </c>
      <c r="C88" s="9" t="inlineStr">
        <is>
          <t>archeoViz is an R Shiny application designed for the interactive visualization and exploration of archaeological spatial data. It actively processes geospatial datasets to create dynamic maps, diagrams, and visual representations, facilitating the communication of complex spatial relationships in archaeological research. With its user-friendly interface and robust analytical tools, archeoViz supports detailed site mapping and spatial analysis, enabling researchers to derive meaningful insights from their data and enhance the interpretability of archaeological findings.</t>
        </is>
      </c>
      <c r="D88" s="9" t="inlineStr">
        <is>
          <t>yes</t>
        </is>
      </c>
      <c r="E88" s="9" t="n"/>
      <c r="F88" s="9" t="inlineStr">
        <is>
          <t>Yes</t>
        </is>
      </c>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row>
    <row r="89">
      <c r="A89" s="9" t="inlineStr">
        <is>
          <t>ArchJobCAD</t>
        </is>
      </c>
      <c r="B89" s="9" t="inlineStr">
        <is>
          <t>Tasks for Excavations in AutoCAD</t>
        </is>
      </c>
      <c r="C89" s="9" t="inlineStr">
        <is>
          <t>ArchJobCAD is an AutoCAD plugin designed to streamline tasks associated with archaeological excavations. It automates the drafting and annotation of excavation plans, actively processing CAD drawings to improve the accuracy and efficiency of site mapping and documentation.</t>
        </is>
      </c>
      <c r="D89" s="9" t="inlineStr">
        <is>
          <t>yes</t>
        </is>
      </c>
      <c r="E89" s="9" t="n"/>
      <c r="F89" s="9" t="inlineStr">
        <is>
          <t>Yes</t>
        </is>
      </c>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row>
    <row r="90">
      <c r="A90" s="9" t="inlineStr">
        <is>
          <t>archSeries</t>
        </is>
      </c>
      <c r="B90" s="9" t="inlineStr">
        <is>
          <t>Frequency time-series tools for archaeology.</t>
        </is>
      </c>
      <c r="C90" s="9" t="inlineStr">
        <is>
          <t>archSeries is an R package that offers frequency time-series analysis tools specifically tailored for archaeological research. It actively processes temporal data to identify trends, periodicities, and anomalies in artifact frequencies over time. By transforming raw data into meaningful statistical outputs, archSeries aids researchers in uncovering patterns and enhancing chronological interpretations.</t>
        </is>
      </c>
      <c r="D90" s="9" t="inlineStr">
        <is>
          <t>yes</t>
        </is>
      </c>
      <c r="E90" s="9" t="n"/>
      <c r="F90" s="9" t="inlineStr">
        <is>
          <t>Yes</t>
        </is>
      </c>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row>
    <row r="91">
      <c r="A91" s="9" t="inlineStr">
        <is>
          <t>ARFloorPlanApp</t>
        </is>
      </c>
      <c r="B91" s="9" t="inlineStr">
        <is>
          <t>Floor plan app using augmented reality.</t>
        </is>
      </c>
      <c r="C91" s="9" t="inlineStr">
        <is>
          <t>ARFloorPlanApp is a standalone software application that leverages augmented reality to create floor plans in real-time. It uses the camera on mobile devices to capture spatial data and overlays digital floor plan elements onto the physical environment. By actively processing visual inputs and spatial measurements, ARFloorPlanApp generates accurate and interactive floor plans, making it a valuable tool for architectural documentation and archaeological site mapping where rapid spatial visualization is essential.</t>
        </is>
      </c>
      <c r="D91" s="9" t="inlineStr">
        <is>
          <t>yes</t>
        </is>
      </c>
      <c r="E91" s="9" t="n"/>
      <c r="F91" s="9" t="inlineStr">
        <is>
          <t>Yes</t>
        </is>
      </c>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row>
    <row r="92">
      <c r="A92" s="9" t="inlineStr">
        <is>
          <t>ark-addons</t>
        </is>
      </c>
      <c r="B92" s="9" t="inlineStr">
        <is>
          <t>This is a Django project to obtain statistical information from an ARK project. It is aimed to mine data from archaeological databases and create customizable visualizations, querying both text and geographical data.</t>
        </is>
      </c>
      <c r="C92" s="9" t="inlineStr">
        <is>
          <t>ark-addons is a Django-based project designed to extract and analyze statistical information from archaeological databases managed by the ARK system. It actively mines text and geographical data to generate customizable visualizations and reports, thereby transforming raw data into actionable insights for archaeological research.</t>
        </is>
      </c>
      <c r="D92" s="9" t="inlineStr">
        <is>
          <t>yes</t>
        </is>
      </c>
      <c r="E92" s="9" t="n"/>
      <c r="F92" s="9" t="inlineStr">
        <is>
          <t>Yes</t>
        </is>
      </c>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row>
    <row r="93">
      <c r="A93" s="9" t="inlineStr">
        <is>
          <t>ArkGrid</t>
        </is>
      </c>
      <c r="B93" s="9" t="inlineStr">
        <is>
          <t>A QGIS plugin for local site grids.</t>
        </is>
      </c>
      <c r="C93" s="9" t="inlineStr">
        <is>
          <t>ArkGrid is a QGIS plugin that actively creates local site grids to support archaeological documentation and spatial analysis. It processes geospatial data to generate grid overlays tailored to specific project needs, facilitating systematic mapping and analysis of archaeological sites. By automating grid creation, ArkGrid enhances the organization and interpretation of spatial data for field planning and research.</t>
        </is>
      </c>
      <c r="D93" s="9" t="inlineStr">
        <is>
          <t>yes</t>
        </is>
      </c>
      <c r="E93" s="9" t="n"/>
      <c r="F93" s="9" t="inlineStr">
        <is>
          <t>Yes</t>
        </is>
      </c>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row>
    <row r="94">
      <c r="A94" s="9" t="inlineStr">
        <is>
          <t>arkhe</t>
        </is>
      </c>
      <c r="B94" s="9" t="inlineStr">
        <is>
          <t>Tools for cleaning rectangular data.</t>
        </is>
      </c>
      <c r="C94" s="9" t="inlineStr">
        <is>
          <t>arkhe is an R package offering a suite of tools for cleaning and preprocessing rectangular datasets. It actively processes raw data to detect errors, normalize entries, and prepare datasets for further analysis, improving data quality for subsequent computational work in archaeological research.</t>
        </is>
      </c>
      <c r="D94" s="9" t="inlineStr">
        <is>
          <t>yes</t>
        </is>
      </c>
      <c r="E94" s="9" t="n"/>
      <c r="F94" s="9" t="inlineStr">
        <is>
          <t>Yes</t>
        </is>
      </c>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row>
    <row r="95">
      <c r="A95" s="9" t="inlineStr">
        <is>
          <t>ArkMatrix</t>
        </is>
      </c>
      <c r="B95" s="9" t="inlineStr">
        <is>
          <t>A tool for creating and manipulating Harris Matrices, part of the Archaeological Recording Kit ARK.</t>
        </is>
      </c>
      <c r="C95" s="9" t="inlineStr">
        <is>
          <t>ArkMatrix is a tool that facilitates the creation and manipulation of Harris Matrices, a key element of the Archaeological Recording Kit (ARK). It actively processes stratigraphic data to generate visual representations of archaeological sequences, enabling researchers to model and analyze site stratigraphy with improved accuracy. By automating complex tasks in matrix construction, ArkMatrix significantly streamlines stratigraphic documentation.</t>
        </is>
      </c>
      <c r="D95" s="9" t="inlineStr">
        <is>
          <t>yes</t>
        </is>
      </c>
      <c r="E95" s="9" t="n"/>
      <c r="F95" s="9" t="inlineStr">
        <is>
          <t>Yes</t>
        </is>
      </c>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row>
    <row r="96">
      <c r="A96" s="9" t="inlineStr">
        <is>
          <t>ArkScan</t>
        </is>
      </c>
      <c r="B96" s="9" t="inlineStr">
        <is>
          <t>A simple gui app to simplify scanning single context plans.</t>
        </is>
      </c>
      <c r="C96" s="9" t="inlineStr">
        <is>
          <t>ArkScan is a user-friendly GUI application that simplifies the scanning of single context plans in archaeology. It actively processes scanned images to convert physical plans into digital formats, streamlining the documentation process. By automating aspects of the scanning workflow, ArkScan reduces manual effort and increases the accuracy of digital records, making it a valuable tool for integrating traditional documentation with modern spatial analysis.</t>
        </is>
      </c>
      <c r="D96" s="9" t="inlineStr">
        <is>
          <t>yes</t>
        </is>
      </c>
      <c r="E96" s="9" t="n"/>
      <c r="F96" s="9" t="inlineStr">
        <is>
          <t>Yes</t>
        </is>
      </c>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row>
    <row r="97">
      <c r="A97" s="9" t="inlineStr">
        <is>
          <t>ArkSpatial</t>
        </is>
      </c>
      <c r="B97" s="9" t="inlineStr">
        <is>
          <t>A QGIS plugin to simplfy digitization of archaeological plans drawn using the Museum of London Single Context Recording methodology.</t>
        </is>
      </c>
      <c r="C97" s="9" t="inlineStr">
        <is>
          <t>ArkSpatial is a QGIS plugin that facilitates the digitization of archaeological plans created using the Museum of London Single Context Recording methodology. It actively converts hand-drawn or scanned plans into precise digital maps, streamlining spatial documentation and analysis. By integrating with QGIS, ArkSpatial enables efficient data processing and detailed site mapping, enhancing archaeological recording practices.</t>
        </is>
      </c>
      <c r="D97" s="9" t="inlineStr">
        <is>
          <t>yes</t>
        </is>
      </c>
      <c r="E97" s="9" t="n"/>
      <c r="F97" s="9" t="inlineStr">
        <is>
          <t>Yes</t>
        </is>
      </c>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row>
    <row r="98">
      <c r="A98" s="9" t="inlineStr">
        <is>
          <t>Arothron</t>
        </is>
      </c>
      <c r="B98" s="9" t="inlineStr">
        <is>
          <t>Tools of Virtual Anthropology to build virtual cavities as endocasts, to align two disarticulated models belonging to the same specimen, and functions to import and export format files into another format.</t>
        </is>
      </c>
      <c r="C98" s="9" t="inlineStr">
        <is>
          <t>Arothron is a suite of tools developed for Virtual Anthropology, enabling researchers to build virtual cavities (endocasts), align disarticulated models of the same specimen, and convert between different file formats. It offers functionalities that support 3D modeling, data alignment, and format interoperability, facilitating detailed morphological analyses and digital reconstructions. By integrating various computational methods, Arothron enhances the accuracy of virtual reconstructions and provides a comprehensive platform for analyzing archaeological and anthropological specimens, thereby advancing digital research methodologies.</t>
        </is>
      </c>
      <c r="D98" s="9" t="inlineStr">
        <is>
          <t>yes</t>
        </is>
      </c>
      <c r="E98" s="9" t="n"/>
      <c r="F98" s="9" t="inlineStr">
        <is>
          <t>Yes</t>
        </is>
      </c>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row>
    <row r="99">
      <c r="A99" s="9" t="inlineStr">
        <is>
          <t>ARQUB</t>
        </is>
      </c>
      <c r="B99" s="9" t="inlineStr">
        <is>
          <t>Scripts at the ARQUB group to work with compositional data on archaeometric studies.</t>
        </is>
      </c>
      <c r="C99" s="9" t="inlineStr">
        <is>
          <t>ARQUB is a collection of R scripts developed for processing and analyzing compositional data in archaeometric studies. It actively transforms chemical and mineralogical datasets to support quantitative assessments of material composition, improving the precision and reproducibility of archaeometric analyses.</t>
        </is>
      </c>
      <c r="D99" s="9" t="inlineStr">
        <is>
          <t>yes</t>
        </is>
      </c>
      <c r="E99" s="9" t="n"/>
      <c r="F99" s="9" t="inlineStr">
        <is>
          <t>Yes</t>
        </is>
      </c>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row>
    <row r="100">
      <c r="A100" s="9" t="inlineStr">
        <is>
          <t>arshm-release</t>
        </is>
      </c>
      <c r="B100" s="9" t="inlineStr">
        <is>
          <t>Experimental mobile app demoing cultural heritage documentation tools in augmented reality. Supports capturing and annotating photos in 3D space. Proof-of-concept features in the app include image anchoring and surface drawing tools.</t>
        </is>
      </c>
      <c r="C100" s="9" t="inlineStr">
        <is>
          <t>arshm-release is an experimental mobile application that demonstrates innovative cultural heritage documentation tools using augmented reality. It enables users to capture and annotate photos within a 3D space, incorporating features such as image anchoring and surface drawing. The app actively processes spatial and visual data to integrate digital annotations with real-world environments, providing a dynamic platform for heritage recording and analysis. As a proof-of-concept, arshm-release showcases the potential of AR in enhancing archaeological documentation and interactive exploration of historical sites.</t>
        </is>
      </c>
      <c r="D100" s="9" t="inlineStr">
        <is>
          <t>yes</t>
        </is>
      </c>
      <c r="E100" s="9" t="n"/>
      <c r="F100" s="9" t="inlineStr">
        <is>
          <t>Yes</t>
        </is>
      </c>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row>
    <row r="101">
      <c r="A101" s="9" t="inlineStr">
        <is>
          <t>artefact-morpho.R</t>
        </is>
      </c>
      <c r="B101" s="9" t="inlineStr">
        <is>
          <t>R code for converting B&amp;W jpgs of artefact silhouettes to matrices and computing basic Elliptical Fourier statistics, including PCA and MANOVA.</t>
        </is>
      </c>
      <c r="C101" s="9" t="inlineStr">
        <is>
          <t>artefact-morpho.R is an R script that converts black and white JPEG images of artifact silhouettes into numerical matrices for morphometric analysis. It actively computes Elliptical Fourier statistics and applies PCA and MANOVA to derive quantitative shape descriptors, enabling detailed comparative studies of archaeological artifacts.</t>
        </is>
      </c>
      <c r="D101" s="9" t="inlineStr">
        <is>
          <t>yes</t>
        </is>
      </c>
      <c r="E101" s="9" t="n"/>
      <c r="F101" s="9" t="inlineStr">
        <is>
          <t>Yes</t>
        </is>
      </c>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row>
    <row r="102">
      <c r="A102" s="9" t="inlineStr">
        <is>
          <t>Artifact_Class_Diversity</t>
        </is>
      </c>
      <c r="B102" s="9" t="inlineStr">
        <is>
          <t>Estimates artifact class diversity in multiple geographic regions.</t>
        </is>
      </c>
      <c r="C102" s="9" t="inlineStr">
        <is>
          <t>Artifact_Class_Diversity is an R script that estimates the diversity of artifact classes across different geographic regions. It utilizes statistical methods to analyze and compare the variability of artifact distributions within archaeological datasets. By dynamically processing spatial and categorical data, the tool provides researchers with quantitative measures of diversity, aiding in the interpretation of cultural and temporal trends. Its active data processing capabilities support detailed regional analyses, making it an essential resource for understanding the complexity and variability of archaeological assemblages in various contexts.</t>
        </is>
      </c>
      <c r="D102" s="9" t="inlineStr">
        <is>
          <t>yes</t>
        </is>
      </c>
      <c r="E102" s="9" t="n"/>
      <c r="F102" s="9" t="inlineStr">
        <is>
          <t>Yes</t>
        </is>
      </c>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row>
    <row r="103">
      <c r="A103" s="9" t="inlineStr">
        <is>
          <t>Artifacts-Analyzer</t>
        </is>
      </c>
      <c r="B103" s="9" t="inlineStr">
        <is>
          <t>Python script for analyzing data sets of archaeological artifacts containing only Boolean and categorical variables.</t>
        </is>
      </c>
      <c r="C103" s="9" t="inlineStr">
        <is>
          <t>Artifacts-Analyzer is a Python script designed for the statistical analysis of archaeological artifact datasets, particularly those containing Boolean and categorical variables. It actively processes input data to perform descriptive statistics, pattern recognition, and comparative analyses. By automating the evaluation of categorical information, the tool aids researchers in uncovering underlying trends and associations within artifact assemblages. Its streamlined computational approach enhances the efficiency and reproducibility of data analysis in archaeological research.</t>
        </is>
      </c>
      <c r="D103" s="9" t="inlineStr">
        <is>
          <t>yes</t>
        </is>
      </c>
      <c r="E103" s="9" t="n"/>
      <c r="F103" s="9" t="inlineStr">
        <is>
          <t>Yes</t>
        </is>
      </c>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row>
    <row r="104">
      <c r="A104" s="9" t="inlineStr">
        <is>
          <t>BAM</t>
        </is>
      </c>
      <c r="B104" s="9" t="inlineStr">
        <is>
          <t>A tool for the geospatial analysis, literary network visualization, and plot mapping of ancient texts.</t>
        </is>
      </c>
      <c r="C104" s="9" t="inlineStr">
        <is>
          <t>BAM is a standalone software tool that integrates geospatial analysis with literary network visualization and plot mapping of ancient texts. It actively processes both textual and spatial data to generate interactive maps and network diagrams, revealing complex relationships between historical sites, figures, and narratives.</t>
        </is>
      </c>
      <c r="D104" s="9" t="inlineStr">
        <is>
          <t>yes</t>
        </is>
      </c>
      <c r="E104" s="9" t="n"/>
      <c r="F104" s="9" t="inlineStr">
        <is>
          <t>Yes</t>
        </is>
      </c>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row>
    <row r="105">
      <c r="A105" s="9" t="inlineStr">
        <is>
          <t>baorista</t>
        </is>
      </c>
      <c r="B105" s="9" t="inlineStr">
        <is>
          <t>Provides a Bayesian inferential tool for analysing time-frequencies of archaeological events associated with time spans typically obtained from relative chronological sequences (e.g. periods and phases).</t>
        </is>
      </c>
      <c r="C105" s="9" t="inlineStr">
        <is>
          <t>baorista is an R package that offers a Bayesian inferential framework for analyzing the time-frequencies of archaeological events. It processes relative chronological data to estimate event distributions and temporal patterns, allowing researchers to quantify uncertainty and assess the significance of observed trends, thereby strengthening chronological interpretations.</t>
        </is>
      </c>
      <c r="D105" s="9" t="inlineStr">
        <is>
          <t>yes</t>
        </is>
      </c>
      <c r="E105" s="9" t="n"/>
      <c r="F105" s="9" t="inlineStr">
        <is>
          <t>Yes</t>
        </is>
      </c>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row>
    <row r="106">
      <c r="A106" s="9" t="inlineStr">
        <is>
          <t>BasicMapping</t>
        </is>
      </c>
      <c r="B106" s="9" t="inlineStr">
        <is>
          <t>Working with map data in R.</t>
        </is>
      </c>
      <c r="C106" s="9" t="inlineStr">
        <is>
          <t>BasicMapping is an R script developed for the manipulation and visualization of geographic data in archaeological research. It provides researchers with a set of functions to process, transform, and display map data dynamically. The tool supports the creation of detailed maps and spatial visualizations that enhance the interpretation of archaeological sites and landscapes. With its active data processing capabilities, BasicMapping allows for efficient integration of geospatial analysis into archaeological investigations, making it a valuable resource for site mapping and spatial data exploration.</t>
        </is>
      </c>
      <c r="D106" s="9" t="inlineStr">
        <is>
          <t>yes</t>
        </is>
      </c>
      <c r="E106" s="9" t="n"/>
      <c r="F106" s="9" t="inlineStr">
        <is>
          <t>Yes</t>
        </is>
      </c>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row>
    <row r="107">
      <c r="A107" s="9" t="inlineStr">
        <is>
          <t>baydem</t>
        </is>
      </c>
      <c r="B107" s="9" t="inlineStr">
        <is>
          <t>Bayesian tools for reconstructing past demography.</t>
        </is>
      </c>
      <c r="C107" s="9" t="inlineStr">
        <is>
          <t>baydem is an R package that provides Bayesian statistical tools to reconstruct past demography using chronological and radiocarbon data. It actively processes input datasets to model population dynamics over time, generating probabilistic demographic trajectories. This tool aids in understanding cultural evolution and population changes within archaeological contexts.</t>
        </is>
      </c>
      <c r="D107" s="9" t="inlineStr">
        <is>
          <t>yes</t>
        </is>
      </c>
      <c r="E107" s="9" t="n"/>
      <c r="F107" s="9" t="inlineStr">
        <is>
          <t>Yes</t>
        </is>
      </c>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row>
    <row r="108">
      <c r="A108" s="9" t="inlineStr">
        <is>
          <t>BayLum</t>
        </is>
      </c>
      <c r="B108" s="9" t="inlineStr">
        <is>
          <t>An R package for chronological Bayesian models integrated for Optically Stimulated OSL, Luminescence Dating</t>
        </is>
      </c>
      <c r="C108" s="9" t="inlineStr">
        <is>
          <t>BayLum is an R package designed for constructing chronological Bayesian models specifically tailored for Optically Stimulated Luminescence (OSL) dating. It actively processes luminescence dating data to generate probabilistic age models that quantify uncertainties and refine chronological estimates. By integrating advanced Bayesian statistical techniques, BayLum enables researchers to analyze complex dating datasets and improve the precision of geochronological studies in archaeological research.</t>
        </is>
      </c>
      <c r="D108" s="9" t="inlineStr">
        <is>
          <t>yes</t>
        </is>
      </c>
      <c r="E108" s="9" t="n"/>
      <c r="F108" s="9" t="inlineStr">
        <is>
          <t>Yes</t>
        </is>
      </c>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row>
    <row r="109">
      <c r="A109" s="9" t="inlineStr">
        <is>
          <t>Bchron</t>
        </is>
      </c>
      <c r="B109" s="9" t="inlineStr">
        <is>
          <t>Radiocarbon Dating, Age-Depth Modelling, Relative Sea Level Rate Estimation, and Non-Parametric Phase Modelling</t>
        </is>
      </c>
      <c r="C109" s="9" t="inlineStr">
        <is>
          <t>Bchron is an R package offering a comprehensive suite of functions for radiocarbon dating calibration, age-depth modeling, relative sea level estimation, and non-parametric phase modeling. It actively processes chronological and stratigraphic data to generate probabilistic age models that incorporate uncertainty. With robust statistical algorithms and visualization features, Bchron significantly improves the reliability and interpretability of chronological reconstructions in archaeological research.</t>
        </is>
      </c>
      <c r="D109" s="9" t="inlineStr">
        <is>
          <t>yes</t>
        </is>
      </c>
      <c r="E109" s="9" t="n"/>
      <c r="F109" s="9" t="inlineStr">
        <is>
          <t>Yes</t>
        </is>
      </c>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row>
    <row r="110">
      <c r="A110" s="9" t="inlineStr">
        <is>
          <t>benmarwickDY-XYZ-data-on-an-irregular-grid-to-an-interpolated-raster.r</t>
        </is>
      </c>
      <c r="B110" s="9" t="inlineStr">
        <is>
          <t>Plotting remote sensing data, especially how to go from XYZ data on an irregular grid to an interpolated raster</t>
        </is>
      </c>
      <c r="C110" s="9" t="inlineStr">
        <is>
          <t>benmarwickDY-XYZ-data-on-an-irregular-grid-to-an-interpolated-raster.r is an R script that converts XYZ data from irregularly spaced remote sensing grids into smooth, interpolated raster surfaces. It actively processes geospatial point data to create continuous spatial representations, facilitating improved visualization and analysis of aerial and satellite imagery. This script is particularly useful for researchers needing to transform raw remote sensing data into a format suitable for further spatial analysis in archaeological or environmental studies.</t>
        </is>
      </c>
      <c r="D110" s="9" t="inlineStr">
        <is>
          <t>yes</t>
        </is>
      </c>
      <c r="E110" s="9" t="n"/>
      <c r="F110" s="9" t="inlineStr">
        <is>
          <t>Yes</t>
        </is>
      </c>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row>
    <row r="111">
      <c r="A111" s="9" t="inlineStr">
        <is>
          <t>benmarwickopencontext.r</t>
        </is>
      </c>
      <c r="B111" s="9" t="inlineStr">
        <is>
          <t>Experimenting with the opencontext.org API using R</t>
        </is>
      </c>
      <c r="C111" s="9" t="inlineStr">
        <is>
          <t>benmarwickopencontext.r is an experimental R script that interfaces with the opencontext.org API to retrieve and process archaeological data. It actively sends queries and organizes the returned data, demonstrating the potential for integrating dynamic external datasets into reproducible research workflows.</t>
        </is>
      </c>
      <c r="D111" s="9" t="inlineStr">
        <is>
          <t>yes</t>
        </is>
      </c>
      <c r="E111" s="9" t="n"/>
      <c r="F111" s="9" t="inlineStr">
        <is>
          <t>Yes</t>
        </is>
      </c>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row>
    <row r="112">
      <c r="A112" s="9" t="inlineStr">
        <is>
          <t>Binomial-Co-occurrence-Assessment</t>
        </is>
      </c>
      <c r="B112" s="9" t="inlineStr">
        <is>
          <t>R script that implements a means for statistically assessing the degree of co-occurrence between classes within a dataset.</t>
        </is>
      </c>
      <c r="C112" s="9" t="inlineStr">
        <is>
          <t>Binomial-Co-occurrence-Assessment is an R script developed to evaluate the statistical significance of co-occurrence patterns between different classes within archaeological datasets. The tool utilizes binomial probability models to assess whether observed associations are likely due to chance or represent meaningful relationships. By processing data dynamically, it provides researchers with detailed statistical outputs that facilitate the interpretation of complex datasets. This script is particularly useful for identifying patterns in artifact distributions, supporting more rigorous and quantitative archaeological analysis.</t>
        </is>
      </c>
      <c r="D112" s="9" t="inlineStr">
        <is>
          <t>yes</t>
        </is>
      </c>
      <c r="E112" s="9" t="n"/>
      <c r="F112" s="9" t="inlineStr">
        <is>
          <t>Yes</t>
        </is>
      </c>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row>
    <row r="113">
      <c r="A113" s="9" t="inlineStr">
        <is>
          <t>BioArch_R</t>
        </is>
      </c>
      <c r="B113" s="9" t="inlineStr">
        <is>
          <t>Apps and functions for use in Bioarchaeology</t>
        </is>
      </c>
      <c r="C113" s="9" t="inlineStr">
        <is>
          <t>BioArch_R is an R package that offers a suite of applications and functions tailored for bioarchaeological research. It provides tools for analyzing skeletal data, processing biometric measurements, and visualizing anthropological information. By automating key analytical tasks, BioArch_R enhances the efficiency and reproducibility of bioarchaeological studies, enabling researchers to derive meaningful insights from complex datasets. Its versatile functionality supports a range of applications in biological anthropology, making it an essential resource for modern archaeological research.</t>
        </is>
      </c>
      <c r="D113" s="9" t="inlineStr">
        <is>
          <t>yes</t>
        </is>
      </c>
      <c r="E113" s="9" t="n"/>
      <c r="F113" s="9" t="inlineStr">
        <is>
          <t>Yes</t>
        </is>
      </c>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row>
    <row r="114">
      <c r="A114" s="9" t="inlineStr">
        <is>
          <t>BioProfile</t>
        </is>
      </c>
      <c r="B114" s="9" t="inlineStr">
        <is>
          <t>A shiny app which uses the results of standard osteological methods to create a basic biological profile</t>
        </is>
      </c>
      <c r="C114" s="9" t="inlineStr">
        <is>
          <t>BioProfile is an R Shiny application that leverages standard osteological methods to generate comprehensive biological profiles from skeletal data. It actively processes input measurements to produce detailed assessments of age, sex, and other biological characteristics. The interactive interface allows users to visualize and interpret results in real-time, enhancing the efficiency of bioarchaeological analyses. By integrating established osteological techniques with dynamic data processing, BioProfile serves as a valuable tool for researchers seeking to derive accurate and reproducible biological insights from archaeological remains.</t>
        </is>
      </c>
      <c r="D114" s="9" t="inlineStr">
        <is>
          <t>yes</t>
        </is>
      </c>
      <c r="E114" s="9" t="n"/>
      <c r="F114" s="9" t="inlineStr">
        <is>
          <t>Yes</t>
        </is>
      </c>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row>
    <row r="115">
      <c r="A115" s="9" t="inlineStr">
        <is>
          <t>bleiglas</t>
        </is>
      </c>
      <c r="B115" s="9" t="inlineStr">
        <is>
          <t>An R package that provides functions for 3D tessellation with Voro++ and subsequent horizontal cutting of the resulting polygons for 2D plotting. It was developed for archaeological spatiotemporal data, but may as well be used for other three dimensional contexts.</t>
        </is>
      </c>
      <c r="C115" s="9" t="inlineStr">
        <is>
          <t>bleiglas is an R package that facilitates 3D tessellation using the Voro++ library and enables horizontal slicing of tessellated polygons for 2D visualization. It actively processes three-dimensional spatiotemporal data to create interpretable 2D plots, making it useful for archaeological spatial analysis and modeling of complex volumetric data.</t>
        </is>
      </c>
      <c r="D115" s="9" t="inlineStr">
        <is>
          <t>yes</t>
        </is>
      </c>
      <c r="E115" s="9" t="n"/>
      <c r="F115" s="9" t="inlineStr">
        <is>
          <t>Yes</t>
        </is>
      </c>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row>
    <row r="116">
      <c r="A116" s="9" t="inlineStr">
        <is>
          <t>Bonify</t>
        </is>
      </c>
      <c r="B116" s="9" t="inlineStr">
        <is>
          <t>Access and visualize 3D models of faunal remains.</t>
        </is>
      </c>
      <c r="C116" s="9" t="inlineStr">
        <is>
          <t>Bonify is a standalone software application designed to provide access and interactive visualization of 3D models of faunal remains. It enables researchers and practitioners in zooarchaeology to examine detailed three-dimensional representations of bone structures, facilitating better understanding of morphological characteristics. By offering dynamic 3D rendering capabilities, Bonify supports the analysis and interpretation of faunal remains in archaeological contexts, thus enhancing research workflows through improved visual and spatial analysis of biological specimens.</t>
        </is>
      </c>
      <c r="D116" s="9" t="inlineStr">
        <is>
          <t>yes</t>
        </is>
      </c>
      <c r="E116" s="9" t="n"/>
      <c r="F116" s="9" t="inlineStr">
        <is>
          <t>Yes</t>
        </is>
      </c>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row>
    <row r="117">
      <c r="A117" s="9" t="inlineStr">
        <is>
          <t>Bootstrap-Correspondence-Analysis</t>
        </is>
      </c>
      <c r="B117" s="9" t="inlineStr">
        <is>
          <t>R-script for conducting and evaluating bootstrapped correspondence analyses.</t>
        </is>
      </c>
      <c r="C117" s="9" t="inlineStr">
        <is>
          <t>Bootstrap-Correspondence-Analysis is an R script that facilitates the execution and evaluation of bootstrapped correspondence analyses in archaeological research. It enables researchers to apply resampling methods to assess the stability and significance of correspondence analysis outcomes. By actively processing data through bootstrapping techniques, the script provides insights into the reliability of statistical patterns observed in archaeological datasets. This dynamic tool supports rigorous data analysis and helps in validating interpretations derived from correspondence analysis, making it an essential resource for quantitative research in archaeology.</t>
        </is>
      </c>
      <c r="D117" s="9" t="inlineStr">
        <is>
          <t>yes</t>
        </is>
      </c>
      <c r="E117" s="9" t="n"/>
      <c r="F117" s="9" t="inlineStr">
        <is>
          <t>Yes</t>
        </is>
      </c>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row>
    <row r="118">
      <c r="A118" s="9" t="inlineStr">
        <is>
          <t>BraDypUS</t>
        </is>
      </c>
      <c r="B118" s="9" t="inlineStr">
        <is>
          <t>Creating, impementing and publishing relational databases on the Web, especially for the archaeolgical domain.</t>
        </is>
      </c>
      <c r="C118" s="9" t="inlineStr">
        <is>
          <t>BraDypUS is a standalone software tool that facilitates the creation, implementation, and publication of relational databases on the web, with a focus on the archaeological domain. It provides researchers with the means to design, deploy, and manage dynamic databases that can be queried and updated in real-time. By integrating data management with web publishing capabilities, BraDypUS supports active data processing and enhances the accessibility and reproducibility of archaeological datasets. Its comprehensive framework streamlines the workflow of database creation, making it an invaluable resource for digital archaeology.</t>
        </is>
      </c>
      <c r="D118" s="9" t="inlineStr">
        <is>
          <t>yes</t>
        </is>
      </c>
      <c r="E118" s="9" t="n"/>
      <c r="F118" s="9" t="inlineStr">
        <is>
          <t>Yes</t>
        </is>
      </c>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row>
    <row r="119">
      <c r="A119" s="9" t="inlineStr">
        <is>
          <t>Brainerd-Robinson-Similarity-Coefficient-and-Sampling-Error-Assessment</t>
        </is>
      </c>
      <c r="B119" s="9" t="inlineStr">
        <is>
          <t>Script for calculating Brainerd-Robinson coefficients based on tabular count or percent data. This script also estimates the probability that a given difference between two samples is the product of sampling error.</t>
        </is>
      </c>
      <c r="C119" s="9" t="inlineStr">
        <is>
          <t>This R script is designed to calculate Brainerd-Robinson similarity coefficients for archaeological datasets, using tabular count or percentage data. It also incorporates methods to estimate the probability that differences observed between samples may be attributed to sampling error. By providing a detailed statistical framework, the script enables researchers to assess the reliability of their comparative analyses. Its active data processing capabilities ensure that results are dynamically generated, allowing for informed interpretations of similarity and error in archaeological investigations.</t>
        </is>
      </c>
      <c r="D119" s="9" t="inlineStr">
        <is>
          <t>yes</t>
        </is>
      </c>
      <c r="E119" s="9" t="n"/>
      <c r="F119" s="9" t="inlineStr">
        <is>
          <t>Yes</t>
        </is>
      </c>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row>
    <row r="120">
      <c r="A120" s="9" t="inlineStr">
        <is>
          <t>c14</t>
        </is>
      </c>
      <c r="B120" s="9" t="inlineStr">
        <is>
          <t>R package for tidy radiocarbon data.</t>
        </is>
      </c>
      <c r="C120" s="9" t="inlineStr">
        <is>
          <t>c14 is an R package designed to clean, calibrate, and process radiocarbon dating data. It transforms raw radiocarbon measurements into standardized, tidy formats, enabling subsequent chronological modeling and statistical analysis. By automating these essential data processing steps, c14 enhances reproducibility and accuracy in radiocarbon-based archaeological research.</t>
        </is>
      </c>
      <c r="D120" s="9" t="inlineStr">
        <is>
          <t>yes</t>
        </is>
      </c>
      <c r="E120" s="9" t="n"/>
      <c r="F120" s="9" t="inlineStr">
        <is>
          <t>Yes</t>
        </is>
      </c>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row>
    <row r="121">
      <c r="A121" s="9" t="inlineStr">
        <is>
          <t>c14-date-extractor</t>
        </is>
      </c>
      <c r="B121" s="9" t="inlineStr">
        <is>
          <t>Script for extracting c14 dates from text.</t>
        </is>
      </c>
      <c r="C121" s="9" t="inlineStr">
        <is>
          <t>c14-date-extractor is a Python script designed to automatically extract radiocarbon (C14) dates from textual documents. It utilizes pattern recognition and parsing techniques to identify and retrieve chronological data embedded within research texts, streamlining the data collection process for radiocarbon dating. By converting unstructured text into structured numerical data, the tool facilitates subsequent calibration and chronological analysis, thereby enhancing efficiency and reproducibility in archaeological research involving radiocarbon data.</t>
        </is>
      </c>
      <c r="D121" s="9" t="inlineStr">
        <is>
          <t>yes</t>
        </is>
      </c>
      <c r="E121" s="9" t="n"/>
      <c r="F121" s="9" t="inlineStr">
        <is>
          <t>Yes</t>
        </is>
      </c>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row>
    <row r="122">
      <c r="A122" s="9" t="inlineStr">
        <is>
          <t>c14bazAAR</t>
        </is>
      </c>
      <c r="B122" s="9" t="inlineStr">
        <is>
          <t>R package to query different openly accessible radiocarbon date databases, allowing for basic data cleaning, calibration and merging</t>
        </is>
      </c>
      <c r="C122" s="9" t="inlineStr">
        <is>
          <t>c14bazAAR is an R package designed to facilitate the querying of multiple openly accessible radiocarbon date databases. It automates essential tasks such as data cleaning, calibration, and merging of radiocarbon records, streamlining the preparation of chronological datasets. By enabling dynamic data processing and ensuring consistency across diverse sources, c14bazAAR supports robust chronological modeling and enhances the reproducibility of radiocarbon analyses in archaeological research.</t>
        </is>
      </c>
      <c r="D122" s="9" t="inlineStr">
        <is>
          <t>yes</t>
        </is>
      </c>
      <c r="E122" s="9" t="n"/>
      <c r="F122" s="9" t="inlineStr">
        <is>
          <t>Yes</t>
        </is>
      </c>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row>
    <row r="123">
      <c r="A123" s="9" t="inlineStr">
        <is>
          <t>c14Intervals</t>
        </is>
      </c>
      <c r="B123" s="9" t="inlineStr">
        <is>
          <t>R package for calculating probability intervals and point estimates for calibrated radiocarbon dates.</t>
        </is>
      </c>
      <c r="C123" s="9" t="inlineStr">
        <is>
          <t>c14Intervals is an R package that calculates probability intervals and point estimates for calibrated radiocarbon dates. It actively processes 14C data using statistical models to provide precise chronological estimates, supporting rigorous uncertainty analysis in archaeological dating.</t>
        </is>
      </c>
      <c r="D123" s="9" t="inlineStr">
        <is>
          <t>yes</t>
        </is>
      </c>
      <c r="E123" s="9" t="n"/>
      <c r="F123" s="9" t="inlineStr">
        <is>
          <t>Yes</t>
        </is>
      </c>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row>
    <row r="124">
      <c r="A124" s="9" t="inlineStr">
        <is>
          <t>ca</t>
        </is>
      </c>
      <c r="B124" s="9" t="inlineStr">
        <is>
          <t>R Script for Seriation Using Correspondence Analysis.</t>
        </is>
      </c>
      <c r="C124" s="9" t="inlineStr">
        <is>
          <t>ca is an R script that implements seriation techniques using correspondence analysis to order archaeological datasets. It helps researchers uncover hidden chronological or spatial patterns by reordering data matrices based on statistical relationships. The script dynamically processes data to generate visualizations and analytical outputs that support the interpretation of complex archaeological information. Designed for active computational engagement, ca is a valuable tool for enhancing the accuracy of seriation and for providing deeper insights into artifact distributions and site chronologies in archaeological research.</t>
        </is>
      </c>
      <c r="D124" s="9" t="inlineStr">
        <is>
          <t>yes</t>
        </is>
      </c>
      <c r="E124" s="9" t="n"/>
      <c r="F124" s="9" t="inlineStr">
        <is>
          <t>Yes</t>
        </is>
      </c>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row>
    <row r="125">
      <c r="A125" s="9" t="inlineStr">
        <is>
          <t>CAinterprTools</t>
        </is>
      </c>
      <c r="B125" s="9" t="inlineStr">
        <is>
          <t>R package to help interpreting Correspondence Analysis' results.</t>
        </is>
      </c>
      <c r="C125" s="9" t="inlineStr">
        <is>
          <t>CAinterprTools is an R package designed to assist researchers in the interpretation of correspondence analysis results in archaeological studies. It offers a suite of functions that simplify the analysis of complex contingency tables and categorical data. By facilitating the visualization and statistical evaluation of correspondence analysis outputs, CAinterprTools helps researchers to uncover significant patterns and relationships within their data. The package actively processes data, transforming numerical outputs into meaningful interpretations that support more informed archaeological research decisions.</t>
        </is>
      </c>
      <c r="D125" s="9" t="inlineStr">
        <is>
          <t>yes</t>
        </is>
      </c>
      <c r="E125" s="9" t="n"/>
      <c r="F125" s="9" t="inlineStr">
        <is>
          <t>Yes</t>
        </is>
      </c>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row>
    <row r="126">
      <c r="A126" s="9" t="inlineStr">
        <is>
          <t>calibrator</t>
        </is>
      </c>
      <c r="B126" s="9" t="inlineStr">
        <is>
          <t>Small command line tool for 14C calibration.</t>
        </is>
      </c>
      <c r="C126" s="9" t="inlineStr">
        <is>
          <t>calibrator is a command-line tool for radiocarbon (14C) calibration that actively processes raw radiocarbon data. It applies calibration curves and statistical adjustments to convert uncalibrated dates into calibrated age estimates, streamlining complex calculations and enhancing the reproducibility of chronological models in archaeological research.</t>
        </is>
      </c>
      <c r="D126" s="9" t="inlineStr">
        <is>
          <t>yes</t>
        </is>
      </c>
      <c r="E126" s="9" t="n"/>
      <c r="F126" s="9" t="inlineStr">
        <is>
          <t>Yes</t>
        </is>
      </c>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row>
    <row r="127">
      <c r="A127" s="9" t="inlineStr">
        <is>
          <t>carbon14</t>
        </is>
      </c>
      <c r="B127" s="9" t="inlineStr">
        <is>
          <t>The goal of carbon14 is to provide a tidy interface to radiocarbon dating, to promote its inclusion in reproducible manuscripts</t>
        </is>
      </c>
      <c r="C127" s="9" t="inlineStr">
        <is>
          <t>carbon14 is an R package that offers a streamlined interface for conducting radiocarbon dating analyses. It actively processes radiocarbon data to produce calibrated age estimates and supports reproducible research by integrating with manuscript workflows. Its user-friendly design simplifies complex data handling and enhances the clarity and transparency of chronological studies.</t>
        </is>
      </c>
      <c r="D127" s="9" t="inlineStr">
        <is>
          <t>yes</t>
        </is>
      </c>
      <c r="E127" s="9" t="n"/>
      <c r="F127" s="9" t="inlineStr">
        <is>
          <t>Yes</t>
        </is>
      </c>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row>
    <row r="128">
      <c r="A128" s="9" t="inlineStr">
        <is>
          <t>carbondate</t>
        </is>
      </c>
      <c r="B128" s="9" t="inlineStr">
        <is>
          <t>R package to analyse multiple radiocarbon determinations.</t>
        </is>
      </c>
      <c r="C128" s="9" t="inlineStr">
        <is>
          <t>carbondate is an R package designed to analyze multiple radiocarbon determinations. It actively processes 14C data through calibration and statistical modeling to derive accurate chronological estimates, supporting rigorous and reproducible chronological analyses in archaeological research.</t>
        </is>
      </c>
      <c r="D128" s="9" t="inlineStr">
        <is>
          <t>yes</t>
        </is>
      </c>
      <c r="E128" s="9" t="n"/>
      <c r="F128" s="9" t="inlineStr">
        <is>
          <t>Yes</t>
        </is>
      </c>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row>
    <row r="129">
      <c r="A129" s="9" t="inlineStr">
        <is>
          <t>CAseriation</t>
        </is>
      </c>
      <c r="B129" s="9" t="inlineStr">
        <is>
          <t>R Package for contingency tables seriation via Correspondence Analysis.</t>
        </is>
      </c>
      <c r="C129" s="9" t="inlineStr">
        <is>
          <t>CAseriation is an R package that provides tools for performing seriation on contingency tables using correspondence analysis. It enables researchers to reorder and interpret data matrices to uncover hidden patterns, such as chronological sequences or spatial distributions, in archaeological datasets. The package integrates advanced statistical techniques with interactive visualizations, allowing for detailed analysis and improved data interpretation. CAseriation’s dynamic data processing capabilities make it an essential tool for archaeologists seeking to enhance their understanding of artifact distributions and site formations.</t>
        </is>
      </c>
      <c r="D129" s="9" t="inlineStr">
        <is>
          <t>yes</t>
        </is>
      </c>
      <c r="E129" s="9" t="n"/>
      <c r="F129" s="9" t="inlineStr">
        <is>
          <t>Yes</t>
        </is>
      </c>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row>
    <row r="130">
      <c r="A130" s="9" t="inlineStr">
        <is>
          <t>CeraMatch</t>
        </is>
      </c>
      <c r="B130" s="9" t="inlineStr">
        <is>
          <t>Visual shape-matching of ceramics profiles.</t>
        </is>
      </c>
      <c r="C130" s="9" t="inlineStr">
        <is>
          <t>CeraMatch is a Python-based tool for visual shape-matching of ceramic profiles. It actively processes digital outlines of ceramics to compare and match shapes using advanced pattern recognition algorithms, thereby facilitating accurate classification and comparative analysis of ceramic assemblages.</t>
        </is>
      </c>
      <c r="D130" s="9" t="inlineStr">
        <is>
          <t>yes</t>
        </is>
      </c>
      <c r="E130" s="9" t="n"/>
      <c r="F130" s="9" t="inlineStr">
        <is>
          <t>Yes</t>
        </is>
      </c>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row>
    <row r="131">
      <c r="A131" s="9" t="inlineStr">
        <is>
          <t>Ceramic_Dashboard</t>
        </is>
      </c>
      <c r="B131" s="9" t="inlineStr">
        <is>
          <t>Dashboard showing ceramic EDA and interaction network construction in the Late Prehistoric Central Illinois River Valley.</t>
        </is>
      </c>
      <c r="C131" s="9" t="inlineStr">
        <is>
          <t>Ceramic_Dashboard is a web-based dashboard that processes ceramic assemblage data from the Late Prehistoric Central Illinois River Valley. It dynamically creates interactive visualizations and network diagrams that reveal relationships among ceramic types and their distribution. By enabling real-time exploratory data analysis (EDA) and interaction network construction, this tool aids researchers in deciphering complex patterns in ceramic data for enhanced archaeological interpretation.</t>
        </is>
      </c>
      <c r="D131" s="9" t="inlineStr">
        <is>
          <t>yes</t>
        </is>
      </c>
      <c r="E131" s="9" t="n"/>
      <c r="F131" s="9" t="inlineStr">
        <is>
          <t>Yes</t>
        </is>
      </c>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row>
    <row r="132">
      <c r="A132" s="9" t="inlineStr">
        <is>
          <t>ceramic-computation</t>
        </is>
      </c>
      <c r="B132" s="9" t="inlineStr">
        <is>
          <t>R scripts for digitizing, processing, analyzing, and comparing archaeological ceramic 2d profile drawings, photographs, and other data.</t>
        </is>
      </c>
      <c r="C132" s="9" t="inlineStr">
        <is>
          <t>ceramic-computation is a collection of R scripts designed for the comprehensive analysis of archaeological ceramic data. It actively digitizes, processes, and analyzes 2D profile drawings, photographs, and related datasets to extract morphological information and generate statistical outputs, facilitating rigorous comparative studies.</t>
        </is>
      </c>
      <c r="D132" s="9" t="inlineStr">
        <is>
          <t>yes</t>
        </is>
      </c>
      <c r="E132" s="9" t="n"/>
      <c r="F132" s="9" t="inlineStr">
        <is>
          <t>Yes</t>
        </is>
      </c>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row>
    <row r="133">
      <c r="A133" s="9" t="inlineStr">
        <is>
          <t>Ceramic-Frequency-Date-Plot</t>
        </is>
      </c>
      <c r="B133" s="9" t="inlineStr">
        <is>
          <t>This R script produces a exploratory visual for assessing site date ranges originally suggested to me by Wesley Bernardini Redlands University</t>
        </is>
      </c>
      <c r="C133" s="9" t="inlineStr">
        <is>
          <t>Ceramic-Frequency-Date-Plot is an R script that creates exploratory visualizations to assess site date ranges using ceramic frequency data. It processes temporal and quantitative ceramic data to generate plots that reveal chronological trends and potential dating ranges. This dynamic tool enables researchers to quickly identify temporal patterns and refine chronological hypotheses in ceramic analysis.</t>
        </is>
      </c>
      <c r="D133" s="9" t="inlineStr">
        <is>
          <t>yes</t>
        </is>
      </c>
      <c r="E133" s="9" t="n"/>
      <c r="F133" s="9" t="inlineStr">
        <is>
          <t>Yes</t>
        </is>
      </c>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row>
    <row r="134">
      <c r="A134" s="9" t="inlineStr">
        <is>
          <t>CeramicApportioning</t>
        </is>
      </c>
      <c r="B134" s="9" t="inlineStr">
        <is>
          <t>A method for chronological apportioning of ceramic assemblages that considers site occupation dates, ceramic production dates, and popularity distribution curves.</t>
        </is>
      </c>
      <c r="C134" s="9" t="inlineStr">
        <is>
          <t>CeramicApportioning is a computational method implemented as a script or software tool for the chronological apportioning of ceramic assemblages. It integrates multiple data sources, including site occupation dates, ceramic production timelines, and popularity distribution curves, to derive a more refined chronological framework for ceramic analysis. By employing statistical and modeling techniques, the tool aids researchers in resolving temporal ambiguities and establishing more accurate dating of ceramic materials. Its systematic approach enhances the precision and reproducibility of chronological interpretations in archaeological studies.</t>
        </is>
      </c>
      <c r="D134" s="9" t="inlineStr">
        <is>
          <t>yes</t>
        </is>
      </c>
      <c r="E134" s="9" t="n"/>
      <c r="F134" s="9" t="inlineStr">
        <is>
          <t>Yes</t>
        </is>
      </c>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row>
    <row r="135">
      <c r="A135" s="9" t="inlineStr">
        <is>
          <t>charcoalhearths</t>
        </is>
      </c>
      <c r="B135" s="9" t="inlineStr">
        <is>
          <t>Work with geotifs to detect charcoal hearths</t>
        </is>
      </c>
      <c r="C135" s="9" t="inlineStr">
        <is>
          <t>charcoalhearths is a Python-based tool designed to analyze geotiff imagery for the detection of charcoal hearths in archaeological landscapes. Employing image processing and pattern recognition techniques, it actively scans aerial or satellite images to identify features indicative of past human activity. This automated approach enhances survey efficiency and accuracy, transforming raw geospatial data into meaningful archaeological insights.</t>
        </is>
      </c>
      <c r="D135" s="9" t="inlineStr">
        <is>
          <t>yes</t>
        </is>
      </c>
      <c r="E135" s="9" t="n"/>
      <c r="F135" s="9" t="inlineStr">
        <is>
          <t>Yes</t>
        </is>
      </c>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row>
    <row r="136">
      <c r="A136" s="9" t="inlineStr">
        <is>
          <t>CharTool</t>
        </is>
      </c>
      <c r="B136" s="9" t="inlineStr">
        <is>
          <t>CharTool is a macro tool for quantifying charcoal particles for paleoecological research applications.</t>
        </is>
      </c>
      <c r="C136" s="9" t="inlineStr">
        <is>
          <t>CharTool is a standalone software tool designed to quantify charcoal particles for paleoecological research. It actively processes digital images or datasets to measure and analyze charcoal particle dimensions and distribution, enabling accurate assessments of past fire activity and environmental change. Its automated approach enhances the efficiency and reliability of charcoal analysis.</t>
        </is>
      </c>
      <c r="D136" s="9" t="inlineStr">
        <is>
          <t>yes</t>
        </is>
      </c>
      <c r="E136" s="9" t="n"/>
      <c r="F136" s="9" t="inlineStr">
        <is>
          <t>Yes</t>
        </is>
      </c>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row>
    <row r="137">
      <c r="A137" s="9" t="inlineStr">
        <is>
          <t>cherish</t>
        </is>
      </c>
      <c r="B137" s="9" t="inlineStr">
        <is>
          <t>Cherish is a tool that aids archaeologists and designers to represent historical, urban and archaeological structures and sites in 3D by means of image manipulation and sketching. Combine disparate data types such as photographs, illustrations, diagrams, text annotations, point cloud representation, etc, into a comprehensive 3D space, to make 3D sense of the data.</t>
        </is>
      </c>
      <c r="C137" s="9" t="inlineStr">
        <is>
          <t>Cherish is a standalone software tool designed to help archaeologists and designers create comprehensive 3D representations of historical and urban structures. By leveraging image manipulation, sketching, and the integration of various data types such as photographs, illustrations, diagrams, and point cloud data, Cherish enables users to construct detailed digital reconstructions of archaeological sites. Its active processing capabilities allow for the synthesis and visualization of complex datasets, making it an invaluable tool for spatial analysis and heritage documentation in 3D environments.</t>
        </is>
      </c>
      <c r="D137" s="9" t="inlineStr">
        <is>
          <t>yes</t>
        </is>
      </c>
      <c r="E137" s="9" t="n"/>
      <c r="F137" s="9" t="inlineStr">
        <is>
          <t>Yes</t>
        </is>
      </c>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row>
    <row r="138">
      <c r="A138" s="9" t="inlineStr">
        <is>
          <t>chrongler</t>
        </is>
      </c>
      <c r="B138" s="9" t="inlineStr">
        <is>
          <t>Provides convenience functions that are helpful for working with archaeological or historical data, where chronological information is stored as a period.</t>
        </is>
      </c>
      <c r="C138" s="9" t="inlineStr">
        <is>
          <t>chrongler is an R package offering a suite of convenience functions designed to simplify the manipulation and analysis of chronological data stored as periods. It automates routine tasks in temporal data management, thereby enhancing efficiency and reproducibility in archaeological and historical research workflows.</t>
        </is>
      </c>
      <c r="D138" s="9" t="inlineStr">
        <is>
          <t>yes</t>
        </is>
      </c>
      <c r="E138" s="9" t="n"/>
      <c r="F138" s="9" t="inlineStr">
        <is>
          <t>Yes</t>
        </is>
      </c>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row>
    <row r="139">
      <c r="A139" s="9" t="inlineStr">
        <is>
          <t>chronochrt</t>
        </is>
      </c>
      <c r="B139" s="9" t="inlineStr">
        <is>
          <t>Building chronological charts easily with R.</t>
        </is>
      </c>
      <c r="C139" s="9" t="inlineStr">
        <is>
          <t>chronochrt is an R package that simplifies the creation of chronological charts for archaeological data. It offers a range of functions to visualize temporal relationships and chronological sequences, making it easier for researchers to interpret and present historical timelines. By automating the generation of charts, chronochrt enhances data visualization and facilitates clearer communication of chronological findings. Its user-friendly design and integration with R workflows make it a practical tool for both exploratory data analysis and formal presentation in archaeological research.</t>
        </is>
      </c>
      <c r="D139" s="9" t="inlineStr">
        <is>
          <t>yes</t>
        </is>
      </c>
      <c r="E139" s="9" t="n"/>
      <c r="F139" s="9" t="inlineStr">
        <is>
          <t>Yes</t>
        </is>
      </c>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row>
    <row r="140">
      <c r="A140" s="9" t="inlineStr">
        <is>
          <t>ChronoLog</t>
        </is>
      </c>
      <c r="B140" s="9" t="inlineStr">
        <is>
          <t>A tool for computer-assisted chronological research.</t>
        </is>
      </c>
      <c r="C140" s="9" t="inlineStr">
        <is>
          <t>ChronoLog is a standalone software tool designed to support computer-assisted chronological research in archaeology. It provides a comprehensive framework for organizing, analyzing, and visualizing temporal data. By integrating various computational methods, ChronoLog facilitates the construction of detailed chronological models and enhances the interpretation of archaeological timelines. Its active data processing capabilities enable researchers to manage complex dating information and improve the accuracy and reproducibility of chronological analyses.</t>
        </is>
      </c>
      <c r="D140" s="9" t="inlineStr">
        <is>
          <t>yes</t>
        </is>
      </c>
      <c r="E140" s="9" t="n"/>
      <c r="F140" s="9" t="inlineStr">
        <is>
          <t>Yes</t>
        </is>
      </c>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row>
    <row r="141">
      <c r="A141" s="9" t="inlineStr">
        <is>
          <t>chronomodel</t>
        </is>
      </c>
      <c r="B141" s="9" t="inlineStr">
        <is>
          <t>Chronological Modelling of Archaeological Data using Bayesian Statistics.</t>
        </is>
      </c>
      <c r="C141" s="9" t="inlineStr">
        <is>
          <t>chronomodel is a standalone software application that employs Bayesian statistical methods for chronological modeling of archaeological data. It actively processes stratigraphic and temporal inputs to generate probabilistic models, quantifying uncertainties and refining dating estimates. With interactive visualizations and dynamic data analysis, chronomodel provides a robust framework for reconstructing archaeological chronologies.</t>
        </is>
      </c>
      <c r="D141" s="9" t="inlineStr">
        <is>
          <t>yes</t>
        </is>
      </c>
      <c r="E141" s="9" t="n"/>
      <c r="F141" s="9" t="inlineStr">
        <is>
          <t>Yes</t>
        </is>
      </c>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row>
    <row r="142">
      <c r="A142" s="9" t="inlineStr">
        <is>
          <t>Chronophage</t>
        </is>
      </c>
      <c r="B142" s="9" t="inlineStr">
        <is>
          <t>Applications for obtaining chronograms (quantified chronology diagrams) and time distribution curves of archaeological or historical units from quantified dating indicators treated as inaccuracy intervals.</t>
        </is>
      </c>
      <c r="C142" s="9" t="inlineStr">
        <is>
          <t>Chronophage is a software application that generates quantified chronograms and time distribution curves from archaeological dating indicators. It processes dating data, including inaccuracy intervals, to create visual diagrams that illustrate temporal distributions and chronological relationships. By converting raw dating inputs into statistically robust models, Chronophage enables researchers to analyze time-related trends in historical and archaeological datasets, supporting rigorous chronological modeling.</t>
        </is>
      </c>
      <c r="D142" s="9" t="inlineStr">
        <is>
          <t>yes</t>
        </is>
      </c>
      <c r="E142" s="9" t="n"/>
      <c r="F142" s="9" t="inlineStr">
        <is>
          <t>Yes</t>
        </is>
      </c>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row>
    <row r="143">
      <c r="A143" s="9" t="inlineStr">
        <is>
          <t>chronup</t>
        </is>
      </c>
      <c r="B143" s="9" t="inlineStr">
        <is>
          <t>Tools for chronological uncertainty propagation.</t>
        </is>
      </c>
      <c r="C143" s="9" t="inlineStr">
        <is>
          <t>chronup is an R package designed to facilitate the propagation of chronological uncertainty in archaeological data. It provides a suite of computational tools that model the uncertainty inherent in dating methods, allowing researchers to generate more reliable and statistically robust chronological models. By integrating uncertainty analysis into temporal datasets, chronup enhances the interpretability of dating results and supports rigorous statistical evaluations of archaeological timelines. Its active processing capabilities make it a valuable resource for improving the accuracy and reproducibility of chronological research.</t>
        </is>
      </c>
      <c r="D143" s="9" t="inlineStr">
        <is>
          <t>yes</t>
        </is>
      </c>
      <c r="E143" s="9" t="n"/>
      <c r="F143" s="9" t="inlineStr">
        <is>
          <t>Yes</t>
        </is>
      </c>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row>
    <row r="144">
      <c r="A144" s="9" t="inlineStr">
        <is>
          <t>clam</t>
        </is>
      </c>
      <c r="B144" s="9" t="inlineStr">
        <is>
          <t>A package for classical age-depth modelling of cores from deposits.</t>
        </is>
      </c>
      <c r="C144" s="9" t="inlineStr">
        <is>
          <t>clam is an R package that implements classical age-depth modeling techniques for sediment cores from archaeological deposits. It actively processes stratigraphic data to build chronological models linking core depth to age, thereby aiding in the interpretation of sediment deposition and environmental change over time. This automated modeling enhances the reproducibility and efficiency of age-depth analyses in geophysical and archaeological studies.</t>
        </is>
      </c>
      <c r="D144" s="9" t="inlineStr">
        <is>
          <t>yes</t>
        </is>
      </c>
      <c r="E144" s="9" t="n"/>
      <c r="F144" s="9" t="inlineStr">
        <is>
          <t>Yes</t>
        </is>
      </c>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row>
    <row r="145">
      <c r="A145" s="9" t="inlineStr">
        <is>
          <t>cleanc14</t>
        </is>
      </c>
      <c r="B145" s="9" t="inlineStr">
        <is>
          <t>Provides some utility functions for cleaning radiocarbon data in R.</t>
        </is>
      </c>
      <c r="C145" s="9" t="inlineStr">
        <is>
          <t>cleanc14 is an R package that offers a collection of utility functions designed to clean and process radiocarbon data. It assists researchers in preparing radiocarbon datasets for further analysis by providing tools for data calibration, error checking, and sequencing. The package automates routine cleaning tasks, ensuring that data is accurate and reliable for subsequent statistical analyses and modeling. cleanc14 streamlines the preprocessing of radiocarbon data, thereby enhancing the efficiency and reproducibility of archaeological research involving radiometric dating techniques.</t>
        </is>
      </c>
      <c r="D145" s="9" t="inlineStr">
        <is>
          <t>yes</t>
        </is>
      </c>
      <c r="E145" s="9" t="n"/>
      <c r="F145" s="9" t="inlineStr">
        <is>
          <t>Yes</t>
        </is>
      </c>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row>
    <row r="146">
      <c r="A146" s="9" t="inlineStr">
        <is>
          <t>CloudCal</t>
        </is>
      </c>
      <c r="B146" s="9" t="inlineStr">
        <is>
          <t>This app will allow you to build &amp; apply calibrations for the Tracer &amp; Artax series of XRF devices</t>
        </is>
      </c>
      <c r="C146" s="9" t="inlineStr">
        <is>
          <t>CloudCal is a tool developed to build and apply calibration models for the Tracer and Artax series of XRF devices. It actively processes raw calibration data to generate precise calibration curves, ensuring accurate correction of XRF measurements. By automating the calibration workflow, CloudCal enhances data reliability and streamlines analytical procedures in XRF-based studies.</t>
        </is>
      </c>
      <c r="D146" s="9" t="inlineStr">
        <is>
          <t>yes</t>
        </is>
      </c>
      <c r="E146" s="9" t="n"/>
      <c r="F146" s="9" t="inlineStr">
        <is>
          <t>Yes</t>
        </is>
      </c>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row>
    <row r="147">
      <c r="A147" s="9" t="inlineStr">
        <is>
          <t>clustering_14C</t>
        </is>
      </c>
      <c r="B147" s="9" t="inlineStr">
        <is>
          <t>A python implementation of the method of clustering radiocarbon dates in order to determine whether they represent separate events, or phases in time</t>
        </is>
      </c>
      <c r="C147" s="9" t="inlineStr">
        <is>
          <t>clustering_14C is a Python tool that implements statistical clustering methods to group radiocarbon dates, helping researchers distinguish between separate events or temporal phases. It actively processes chronological datasets using advanced clustering algorithms, thereby refining the interpretation of radiocarbon data in archaeological research.</t>
        </is>
      </c>
      <c r="D147" s="9" t="inlineStr">
        <is>
          <t>yes</t>
        </is>
      </c>
      <c r="E147" s="9" t="n"/>
      <c r="F147" s="9" t="inlineStr">
        <is>
          <t>Yes</t>
        </is>
      </c>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row>
    <row r="148">
      <c r="A148" s="9" t="inlineStr">
        <is>
          <t>CoccionCeramica</t>
        </is>
      </c>
      <c r="B148" s="9" t="inlineStr">
        <is>
          <t>An application to generate temperature curves during pottery firing.</t>
        </is>
      </c>
      <c r="C148" s="9" t="inlineStr">
        <is>
          <t>CoccionCeramica is a Python-based application that simulates temperature curves during pottery firing. It actively processes experimental data to model thermal profiles, allowing researchers to analyze firing techniques and material behavior. This dynamic simulation aids in the understanding of ceramic production processes, contributing to improved reconstructions of ancient pottery technology.</t>
        </is>
      </c>
      <c r="D148" s="9" t="inlineStr">
        <is>
          <t>yes</t>
        </is>
      </c>
      <c r="E148" s="9" t="n"/>
      <c r="F148" s="9" t="inlineStr">
        <is>
          <t>Yes</t>
        </is>
      </c>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row>
    <row r="149">
      <c r="A149" s="9" t="inlineStr">
        <is>
          <t>coffee</t>
        </is>
      </c>
      <c r="B149" s="9" t="inlineStr">
        <is>
          <t>Uses Bayesian methods to enforce the chronological ordering of radiocarbon and other dates.</t>
        </is>
      </c>
      <c r="C149" s="9" t="inlineStr">
        <is>
          <t>coffee is an R package that applies Bayesian statistical methods to enforce the proper chronological ordering of radiocarbon and other dating results. By integrating probabilistic models, it actively processes chronological data to produce coherent age sequences and identify inconsistencies. This enhances the reliability of dating analyses, making coffee an essential tool for researchers focused on constructing robust chronological models in archaeological studies.</t>
        </is>
      </c>
      <c r="D149" s="9" t="inlineStr">
        <is>
          <t>yes</t>
        </is>
      </c>
      <c r="E149" s="9" t="n"/>
      <c r="F149" s="9" t="inlineStr">
        <is>
          <t>Yes</t>
        </is>
      </c>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row>
    <row r="150">
      <c r="A150" s="9" t="inlineStr">
        <is>
          <t>cran-JSDNE</t>
        </is>
      </c>
      <c r="B150" s="9" t="inlineStr">
        <is>
          <t>JSDNE is an age estimation methods with 3D reconstructed auricular surface.</t>
        </is>
      </c>
      <c r="C150" s="9" t="inlineStr">
        <is>
          <t>cran-JSDNE is an R package that implements an age estimation method based on 3D reconstructed auricular surfaces. It processes morphological data to derive age estimates, combining 3D modeling with statistical analysis to improve the accuracy and reproducibility of bioarchaeological age assessments.</t>
        </is>
      </c>
      <c r="D150" s="9" t="inlineStr">
        <is>
          <t>yes</t>
        </is>
      </c>
      <c r="E150" s="9" t="n"/>
      <c r="F150" s="9" t="inlineStr">
        <is>
          <t>Yes</t>
        </is>
      </c>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row>
    <row r="151">
      <c r="A151" s="9" t="inlineStr">
        <is>
          <t>cranial-sex-estimation-code</t>
        </is>
      </c>
      <c r="B151" s="9" t="inlineStr">
        <is>
          <t>Data analysis implementation for evaluating a novel sex estimation method based on skullanalyzer data.</t>
        </is>
      </c>
      <c r="C151" s="9" t="inlineStr">
        <is>
          <t>cranial-sex-estimation-code is a set of analytical scripts developed to evaluate a novel method for sex estimation using cranial data extracted by skullanalyzer. It processes and analyzes morphometric data to determine sex probabilities, offering a reproducible framework for assessing the efficacy of innovative sex estimation techniques. This tool integrates statistical analysis with data visualization, thereby supporting rigorous methodological evaluation in biological anthropology and zooarchaeology. Its implementation facilitates objective validation of cranial sex estimation methods in archaeological research contexts.</t>
        </is>
      </c>
      <c r="D151" s="9" t="inlineStr">
        <is>
          <t>yes</t>
        </is>
      </c>
      <c r="E151" s="9" t="n"/>
      <c r="F151" s="9" t="inlineStr">
        <is>
          <t>Yes</t>
        </is>
      </c>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row>
    <row r="152">
      <c r="A152" s="9" t="inlineStr">
        <is>
          <t>crom</t>
        </is>
      </c>
      <c r="B152" s="9" t="inlineStr">
        <is>
          <t>Python library to make creation of CIDOC CRM easier by mapping classes/predicates to python objects.</t>
        </is>
      </c>
      <c r="C152" s="9" t="inlineStr">
        <is>
          <t>crom is a Python library that simplifies the creation and manipulation of CIDOC CRM-compliant data by mapping classes and predicates to Python objects. It actively assists in structuring cultural heritage data for enhanced interoperability and semantic enrichment, streamlining data modeling within archaeological information systems.</t>
        </is>
      </c>
      <c r="D152" s="9" t="inlineStr">
        <is>
          <t>yes</t>
        </is>
      </c>
      <c r="E152" s="9" t="n"/>
      <c r="F152" s="9" t="inlineStr">
        <is>
          <t>Yes</t>
        </is>
      </c>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row>
    <row r="153">
      <c r="A153" s="9" t="inlineStr">
        <is>
          <t>CropPro</t>
        </is>
      </c>
      <c r="B153" s="9" t="inlineStr">
        <is>
          <t>Data organisation, classification and visualisation of archaeobotanical data to understand crop processing stage.</t>
        </is>
      </c>
      <c r="C153" s="9" t="inlineStr">
        <is>
          <t>CropPro is an R package designed to organize, classify, and visualize archaeobotanical data. It actively processes complex datasets to delineate crop processing stages and identify associated patterns. By automating data management and visualization, CropPro streamlines analytical workflows, enabling researchers to derive insights into ancient agricultural practices and food production systems.</t>
        </is>
      </c>
      <c r="D153" s="9" t="inlineStr">
        <is>
          <t>yes</t>
        </is>
      </c>
      <c r="E153" s="9" t="n"/>
      <c r="F153" s="9" t="inlineStr">
        <is>
          <t>Yes</t>
        </is>
      </c>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row>
    <row r="154">
      <c r="A154" s="9" t="inlineStr">
        <is>
          <t>Crossbones</t>
        </is>
      </c>
      <c r="B154" s="9" t="inlineStr">
        <is>
          <t>Crossbones autogenerates 3D schematic skeletons, making rapid surveying and visualisation of dense skeletal assemblages a snap.</t>
        </is>
      </c>
      <c r="C154" s="9" t="inlineStr">
        <is>
          <t>Crossbones is a standalone software tool that automatically generates 3D schematic representations of skeletal assemblages. It actively processes input data to create detailed 3D models, enabling rapid visualization and analysis of complex osteological collections. Leveraging advanced 3D rendering techniques, Crossbones aids researchers in efficiently surveying and interpreting skeletal data for bioarchaeological studies.</t>
        </is>
      </c>
      <c r="D154" s="9" t="inlineStr">
        <is>
          <t>yes</t>
        </is>
      </c>
      <c r="E154" s="9" t="n"/>
      <c r="F154" s="9" t="inlineStr">
        <is>
          <t>Yes</t>
        </is>
      </c>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row>
    <row r="155">
      <c r="A155" s="9" t="inlineStr">
        <is>
          <t>CSGR</t>
        </is>
      </c>
      <c r="B155" s="9" t="inlineStr">
        <is>
          <t>Extracts and calculates from long bone cross sections, cortical thickness maps, and biomechanically pertinent cross-sectional geometric properties.</t>
        </is>
      </c>
      <c r="C155" s="9" t="inlineStr">
        <is>
          <t>CSGR is a software tool designed for the extraction and calculation of key parameters from long bone cross sections. It computes cortical thickness maps and other biomechanically relevant geometric properties, facilitating detailed structural analyses in skeletal research. By automating the quantification of cross-sectional features, CSGR supports rigorous biomechanical assessments and enhances the understanding of bone strength and function. Its application is particularly valuable in biological anthropology and zooarchaeology, where precise measurement and analysis of skeletal remains are essential for interpreting functional morphology.</t>
        </is>
      </c>
      <c r="D155" s="9" t="inlineStr">
        <is>
          <t>yes</t>
        </is>
      </c>
      <c r="E155" s="9" t="n"/>
      <c r="F155" s="9" t="inlineStr">
        <is>
          <t>Yes</t>
        </is>
      </c>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row>
    <row r="156">
      <c r="A156" s="9" t="inlineStr">
        <is>
          <t>cTransmission</t>
        </is>
      </c>
      <c r="B156" s="9" t="inlineStr">
        <is>
          <t>An Approximate Bayesian Computation Framework for inferring patterns of cultural transmission from frequency data.</t>
        </is>
      </c>
      <c r="C156" s="9" t="inlineStr">
        <is>
          <t>cTransmission is an R package that implements an Approximate Bayesian Computation (ABC) framework to infer cultural transmission patterns from frequency data. It actively simulates transmission models and compares them with observed data, enabling researchers to estimate underlying parameters and test hypotheses in cultural evolution research.</t>
        </is>
      </c>
      <c r="D156" s="9" t="inlineStr">
        <is>
          <t>yes</t>
        </is>
      </c>
      <c r="E156" s="9" t="n"/>
      <c r="F156" s="9" t="inlineStr">
        <is>
          <t>Yes</t>
        </is>
      </c>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row>
    <row r="157">
      <c r="A157" s="9" t="inlineStr">
        <is>
          <t>CuneiPainter</t>
        </is>
      </c>
      <c r="B157" s="9" t="inlineStr">
        <is>
          <t>An App to recognize cuneiform characters on your Android phone.</t>
        </is>
      </c>
      <c r="C157" s="9" t="inlineStr">
        <is>
          <t>CuneiPainter is an Android mobile application designed to recognize and interpret cuneiform characters. It actively processes images captured by the phone’s camera using pattern recognition and machine learning algorithms to convert ancient script into digital text, supporting rapid epigraphic analysis.</t>
        </is>
      </c>
      <c r="D157" s="9" t="inlineStr">
        <is>
          <t>yes</t>
        </is>
      </c>
      <c r="E157" s="9" t="n"/>
      <c r="F157" s="9" t="inlineStr">
        <is>
          <t>Yes</t>
        </is>
      </c>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row>
    <row r="158">
      <c r="A158" s="9" t="inlineStr">
        <is>
          <t>currycarbon</t>
        </is>
      </c>
      <c r="B158" s="9" t="inlineStr">
        <is>
          <t>App to run C14 calibration on the command line. Includes and is based on a calibration module written in and for Haskell.</t>
        </is>
      </c>
      <c r="C158" s="9" t="inlineStr">
        <is>
          <t>currycarbon is a standalone command-line application designed for rapid radiocarbon calibration. Built on a Haskell-based calibration module, it processes 14C data to generate calibrated date ranges with high efficiency. Its automation of complex calibration procedures supports reproducible chronological modeling, making it an invaluable tool for researchers in archaeological dating.</t>
        </is>
      </c>
      <c r="D158" s="9" t="inlineStr">
        <is>
          <t>yes</t>
        </is>
      </c>
      <c r="E158" s="9" t="n"/>
      <c r="F158" s="9" t="inlineStr">
        <is>
          <t>Yes</t>
        </is>
      </c>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row>
    <row r="159">
      <c r="A159" s="9" t="inlineStr">
        <is>
          <t>DACORD</t>
        </is>
      </c>
      <c r="B159" s="9" t="inlineStr">
        <is>
          <t>Computer-Assisted Drawing of Archaeological Pottery.</t>
        </is>
      </c>
      <c r="C159" s="9" t="inlineStr">
        <is>
          <t>DACORD is a script-based tool designed to facilitate computer-assisted drawing of archaeological pottery. It employs automated functions for shape recognition and morphological analysis to generate accurate visual representations of ceramic artefacts. By processing and interpreting fragmentary data, DACORD aids in reconstructing pottery designs, thereby streamlining artefact documentation and enhancing ceramic analysis in archaeological research.</t>
        </is>
      </c>
      <c r="D159" s="9" t="inlineStr">
        <is>
          <t>yes</t>
        </is>
      </c>
      <c r="E159" s="9" t="n"/>
      <c r="F159" s="9" t="inlineStr">
        <is>
          <t>Yes</t>
        </is>
      </c>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row>
    <row r="160">
      <c r="A160" s="9" t="inlineStr">
        <is>
          <t>datplot</t>
        </is>
      </c>
      <c r="B160" s="9" t="inlineStr">
        <is>
          <t>Converting date ranges into dating 'steps' eases the visualization of changes in e.g. pottery consumption, style and other variables over time. This package provides tools to process and prepare data for visualization.</t>
        </is>
      </c>
      <c r="C160" s="9" t="inlineStr">
        <is>
          <t>datplot is an R package that converts continuous date ranges into discrete dating 'steps' to enhance the visualization of temporal changes in variables such as pottery style or consumption. It actively processes chronological data to generate simplified and interpretable visual outputs, facilitating the analysis of temporal trends in archaeological research.</t>
        </is>
      </c>
      <c r="D160" s="9" t="inlineStr">
        <is>
          <t>yes</t>
        </is>
      </c>
      <c r="E160" s="9" t="n"/>
      <c r="F160" s="9" t="inlineStr">
        <is>
          <t>Yes</t>
        </is>
      </c>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row>
    <row r="161">
      <c r="A161" s="9" t="inlineStr">
        <is>
          <t>dayofarchaeology</t>
        </is>
      </c>
      <c r="B161" s="9" t="inlineStr">
        <is>
          <t>A Distant Reading of the Day of Archaeology</t>
        </is>
      </c>
      <c r="C161" s="9" t="inlineStr">
        <is>
          <t>dayofarchaeology is an R-based digital humanities project that performs a distant reading of content related to the Day of Archaeology. It actively processes large datasets from social media and web sources to extract patterns, themes, and trends in public engagement with archaeological topics.</t>
        </is>
      </c>
      <c r="D161" s="9" t="inlineStr">
        <is>
          <t>yes</t>
        </is>
      </c>
      <c r="E161" s="9" t="n"/>
      <c r="F161" s="9" t="inlineStr">
        <is>
          <t>Yes</t>
        </is>
      </c>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row>
    <row r="162">
      <c r="A162" s="9" t="inlineStr">
        <is>
          <t>demjanp</t>
        </is>
      </c>
      <c r="B162" s="9" t="inlineStr">
        <is>
          <t>Radiocarbon Dating Resolution Calculator.</t>
        </is>
      </c>
      <c r="C162" s="9" t="inlineStr">
        <is>
          <t>demjanp is a Python tool designed as a Radiocarbon Dating Resolution Calculator. It actively processes radiocarbon measurement data by applying calibration and statistical algorithms to assess dating precision and uncertainty, thereby enhancing the reliability of chronological models in archaeological research.</t>
        </is>
      </c>
      <c r="D162" s="9" t="inlineStr">
        <is>
          <t>yes</t>
        </is>
      </c>
      <c r="E162" s="9" t="n"/>
      <c r="F162" s="9" t="inlineStr">
        <is>
          <t>Yes</t>
        </is>
      </c>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row>
    <row r="163">
      <c r="A163" s="9" t="inlineStr">
        <is>
          <t>dendroNetwork</t>
        </is>
      </c>
      <c r="B163" s="9" t="inlineStr">
        <is>
          <t>Enables researchers to easily construct a network of dendrochronological series based on the similarity and find patterns of matching tree-ring material.</t>
        </is>
      </c>
      <c r="C163" s="9" t="inlineStr">
        <is>
          <t>dendroNetwork is an R package that facilitates the construction of networks from dendrochronological series. It actively processes tree-ring data to identify matching patterns and similarities across samples, enabling researchers to uncover growth patterns and climatic signals. This automated network analysis supports more robust reconstructions of past environmental conditions.</t>
        </is>
      </c>
      <c r="D163" s="9" t="inlineStr">
        <is>
          <t>yes</t>
        </is>
      </c>
      <c r="E163" s="9" t="n"/>
      <c r="F163" s="9" t="inlineStr">
        <is>
          <t>Yes</t>
        </is>
      </c>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row>
    <row r="164">
      <c r="A164" s="9" t="inlineStr">
        <is>
          <t>DIGSS</t>
        </is>
      </c>
      <c r="B164" s="9" t="inlineStr">
        <is>
          <t>A simulation tool to estimate the rate of success that surveys possessing user-specific characteristics have in identifying archaeological sites (or any groups of clouds of objects), given specific parameters of survey area, survey methods, and site properties.</t>
        </is>
      </c>
      <c r="C164" s="9" t="inlineStr">
        <is>
          <t>DIGSS is an R package that simulates survey outcomes to estimate the success rate of archaeological surveys based on user-specific parameters. It models the probability of site detection by accounting for variables such as survey area, methodology, and site characteristics. By automating the simulation process, DIGSS enables researchers to assess the effectiveness of different survey strategies and optimize field methods. Its dynamic computational approach enhances the planning and interpretation of archaeological surveys, supporting more informed decision-making in research design.</t>
        </is>
      </c>
      <c r="D164" s="9" t="inlineStr">
        <is>
          <t>yes</t>
        </is>
      </c>
      <c r="E164" s="9" t="n"/>
      <c r="F164" s="9" t="inlineStr">
        <is>
          <t>Yes</t>
        </is>
      </c>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row>
    <row r="165">
      <c r="A165" s="9" t="inlineStr">
        <is>
          <t>dimensio</t>
        </is>
      </c>
      <c r="B165" s="9" t="inlineStr">
        <is>
          <t>Simple Principal Components Analysis (PCA) and Correspondence Analysis (CA) based on the Singular Value Decomposition (SVD). This package provides methods to compute, extract, summarize and visualize results of multivariate data analysis. It also includes methods for partial bootstrap validation.</t>
        </is>
      </c>
      <c r="C165" s="9" t="inlineStr">
        <is>
          <t>dimensio is an R package that implements multivariate analysis techniques, including PCA and CA based on Singular Value Decomposition. It actively processes complex datasets to compute, extract, and visualize statistical results, and includes bootstrap validation methods to assess model reliability, thereby supporting in-depth data analysis in archaeological research.</t>
        </is>
      </c>
      <c r="D165" s="9" t="inlineStr">
        <is>
          <t>yes</t>
        </is>
      </c>
      <c r="E165" s="9" t="n"/>
      <c r="F165" s="9" t="inlineStr">
        <is>
          <t>Yes</t>
        </is>
      </c>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row>
    <row r="166">
      <c r="A166" s="9" t="inlineStr">
        <is>
          <t>disastermap</t>
        </is>
      </c>
      <c r="B166" s="9" t="inlineStr">
        <is>
          <t>Proof of concept map for disaster response and archaeology</t>
        </is>
      </c>
      <c r="C166" s="9" t="inlineStr">
        <is>
          <t>disastermap is a proof-of-concept tool that creates interactive maps for disaster response in archaeological contexts. It actively processes geospatial data to visualize risk zones and integrate archaeological site information with disaster management strategies, thereby enhancing rapid spatial analysis.</t>
        </is>
      </c>
      <c r="D166" s="9" t="inlineStr">
        <is>
          <t>yes</t>
        </is>
      </c>
      <c r="E166" s="9" t="n"/>
      <c r="F166" s="9" t="inlineStr">
        <is>
          <t>Yes</t>
        </is>
      </c>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row>
    <row r="167">
      <c r="A167" s="9" t="inlineStr">
        <is>
          <t>dplR</t>
        </is>
      </c>
      <c r="B167" s="9" t="inlineStr">
        <is>
          <t>Perform tree-ring analyses such as detrending, chronology building, and crossdating.</t>
        </is>
      </c>
      <c r="C167" s="9" t="inlineStr">
        <is>
          <t>dplR is an R package dedicated to tree-ring analysis, offering functionalities for detrending, chronology building, and crossdating. It actively processes dendrochronological data to construct reliable age models and analyze growth patterns, enhancing the accuracy and reproducibility of studies in dendrochronology. dplR is a vital tool for researchers investigating past climatic and environmental conditions through tree-ring records.</t>
        </is>
      </c>
      <c r="D167" s="9" t="inlineStr">
        <is>
          <t>yes</t>
        </is>
      </c>
      <c r="E167" s="9" t="n"/>
      <c r="F167" s="9" t="inlineStr">
        <is>
          <t>Yes</t>
        </is>
      </c>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row>
    <row r="168">
      <c r="A168" s="9" t="inlineStr">
        <is>
          <t>DRAC-calculator</t>
        </is>
      </c>
      <c r="B168" s="9" t="inlineStr">
        <is>
          <t>DRAC is a Dose Rate and Age Calculator which has been designed to calculate environmental dose rates (_) and ages for trapped charge dating applications</t>
        </is>
      </c>
      <c r="C168" s="9" t="inlineStr">
        <is>
          <t>DRAC-calculator is a standalone software tool designed to compute environmental dose rates and age estimates for trapped charge dating applications. It actively processes radiometric data to calculate dose rates and integrates correction algorithms to produce accurate age determinations. By automating complex computational tasks in luminescence dating, DRAC-calculator provides researchers with reliable, rapid outputs that support detailed chronological analyses in archaeological and geological studies.</t>
        </is>
      </c>
      <c r="D168" s="9" t="inlineStr">
        <is>
          <t>yes</t>
        </is>
      </c>
      <c r="E168" s="9" t="n"/>
      <c r="F168" s="9" t="inlineStr">
        <is>
          <t>Yes</t>
        </is>
      </c>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row>
    <row r="169">
      <c r="A169" s="9" t="inlineStr">
        <is>
          <t>DroneSurveyPlanner</t>
        </is>
      </c>
      <c r="B169" s="9" t="inlineStr">
        <is>
          <t>This is a LibreOffice Calc spreadsheet designed to help you plan an aerial drone mapping survey mission.</t>
        </is>
      </c>
      <c r="C169" s="9" t="inlineStr">
        <is>
          <t>DroneSurveyPlanner is a LibreOffice Calc-based tool designed to assist in planning aerial drone mapping survey missions. It provides users with a structured spreadsheet framework to organize flight parameters, survey areas, and mapping objectives. By integrating various data inputs and planning templates, the tool helps optimize survey design and resource allocation. Although primarily a planning instrument, its structured approach streamlines the preparation process for aerial and satellite imagery projects in archaeological and environmental research.</t>
        </is>
      </c>
      <c r="D169" s="9" t="inlineStr">
        <is>
          <t>yes</t>
        </is>
      </c>
      <c r="E169" s="9" t="n"/>
      <c r="F169" s="9" t="inlineStr">
        <is>
          <t>Yes</t>
        </is>
      </c>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row>
    <row r="170">
      <c r="A170" s="9" t="inlineStr">
        <is>
          <t>ede_interpolation</t>
        </is>
      </c>
      <c r="B170" s="9" t="inlineStr">
        <is>
          <t>A QGIS 3 plugin for spatio-temporal interpolation of archaeological settlement evidence.</t>
        </is>
      </c>
      <c r="C170" s="9" t="inlineStr">
        <is>
          <t>ede_interpolation is a QGIS 3 plugin designed for spatio-temporal interpolation of archaeological settlement evidence. It actively processes spatial and temporal data to generate interpolated surfaces that reveal patterns of settlement over time. By applying advanced geospatial algorithms, the plugin transforms raw archaeological data into meaningful visualizations, supporting detailed spatial analysis and hypothesis testing. This dynamic tool is essential for researchers seeking to understand the distribution and evolution of archaeological settlements.</t>
        </is>
      </c>
      <c r="D170" s="9" t="inlineStr">
        <is>
          <t>yes</t>
        </is>
      </c>
      <c r="E170" s="9" t="n"/>
      <c r="F170" s="9" t="inlineStr">
        <is>
          <t>Yes</t>
        </is>
      </c>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row>
    <row r="171">
      <c r="A171" s="9" t="inlineStr">
        <is>
          <t>EDM</t>
        </is>
      </c>
      <c r="B171" s="9" t="inlineStr">
        <is>
          <t>Configurable data collection program for archaeological survey and excavation.</t>
        </is>
      </c>
      <c r="C171" s="9" t="inlineStr">
        <is>
          <t>EDM is a Python-based, configurable data collection program designed for archaeological surveys and excavations. It enables real-time data entry and organization in the field by offering customizable forms and protocols. By automating the collection and management of survey data, EDM improves accuracy and efficiency, streamlining the integration of field observations into subsequent analytical workflows.</t>
        </is>
      </c>
      <c r="D171" s="9" t="inlineStr">
        <is>
          <t>yes</t>
        </is>
      </c>
      <c r="E171" s="9" t="n"/>
      <c r="F171" s="9" t="inlineStr">
        <is>
          <t>Yes</t>
        </is>
      </c>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row>
    <row r="172">
      <c r="A172" s="9" t="inlineStr">
        <is>
          <t>EDMWIN</t>
        </is>
      </c>
      <c r="B172" s="9" t="inlineStr">
        <is>
          <t>Configurable data collection program for archaeological survey and excavation.</t>
        </is>
      </c>
      <c r="C172" s="9" t="inlineStr">
        <is>
          <t>EDMWIN is a Python-based data collection tool tailored for archaeological surveys and excavations. With a configurable interface for real-time data capture and management, it ensures that field data is accurately recorded and readily available for analysis. Its automated features facilitate seamless integration into research workflows, enhancing the overall efficiency of archaeological documentation.</t>
        </is>
      </c>
      <c r="D172" s="9" t="inlineStr">
        <is>
          <t>yes</t>
        </is>
      </c>
      <c r="E172" s="9" t="n"/>
      <c r="F172" s="9" t="inlineStr">
        <is>
          <t>Yes</t>
        </is>
      </c>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row>
    <row r="173">
      <c r="A173" s="9" t="inlineStr">
        <is>
          <t>ElementSourcing</t>
        </is>
      </c>
      <c r="B173" s="9" t="inlineStr">
        <is>
          <t>Source archaeological artifacts using elemental composition.</t>
        </is>
      </c>
      <c r="C173" s="9" t="inlineStr">
        <is>
          <t>ElementSourcing is a script-based tool developed to source archaeological artifacts by analyzing their elemental composition. It employs computational methods to interpret data from techniques such as X-Ray Fluorescence, allowing researchers to identify and classify artifacts based on their chemical signatures. By automating the process of elemental analysis, ElementSourcing supports more objective sourcing and comparative studies in archaeology. Its functionality aids in uncovering provenance information and contributes to a deeper understanding of material culture in archaeological contexts.</t>
        </is>
      </c>
      <c r="D173" s="9" t="inlineStr">
        <is>
          <t>yes</t>
        </is>
      </c>
      <c r="E173" s="9" t="n"/>
      <c r="F173" s="9" t="inlineStr">
        <is>
          <t>Yes</t>
        </is>
      </c>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row>
    <row r="174">
      <c r="A174" s="9" t="inlineStr">
        <is>
          <t>elemSource</t>
        </is>
      </c>
      <c r="B174" s="9" t="inlineStr">
        <is>
          <t>R Package for sourcing elements.</t>
        </is>
      </c>
      <c r="C174" s="9" t="inlineStr">
        <is>
          <t>elemSource is an R package designed for sourcing elemental data from archaeological materials. It offers a suite of functions that enable researchers to analyze and interpret the elemental composition of artifacts using techniques such as X-Ray Fluorescence. By streamlining the process of chemical analysis, elemSource facilitates the identification and classification of materials, thereby supporting provenance studies and material characterization in archaeological research. Its integration into R workflows makes it a practical and efficient tool for researchers engaged in elemental sourcing and comparative analyses.</t>
        </is>
      </c>
      <c r="D174" s="9" t="inlineStr">
        <is>
          <t>yes</t>
        </is>
      </c>
      <c r="E174" s="9" t="n"/>
      <c r="F174" s="9" t="inlineStr">
        <is>
          <t>Yes</t>
        </is>
      </c>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row>
    <row r="175">
      <c r="A175" s="9" t="inlineStr">
        <is>
          <t>EM-blender-tools</t>
        </is>
      </c>
      <c r="B175" s="9" t="inlineStr">
        <is>
          <t>Addon that brings the formal language Extended Matrix within the Blender 3D open-source software.</t>
        </is>
      </c>
      <c r="C175" s="9" t="inlineStr">
        <is>
          <t>EM-blender-tools is a Blender addon that integrates the Extended Matrix formal language into the 3D modeling environment. It enables users to annotate, structure, and analyze 3D archaeological data using a standardized framework. By facilitating dynamic data organization and model annotation within Blender, this tool enhances interpretability and supports advanced spatial analysis in digital archaeology.</t>
        </is>
      </c>
      <c r="D175" s="9" t="inlineStr">
        <is>
          <t>yes</t>
        </is>
      </c>
      <c r="E175" s="9" t="n"/>
      <c r="F175" s="9" t="inlineStr">
        <is>
          <t>Yes</t>
        </is>
      </c>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row>
    <row r="176">
      <c r="A176" s="9" t="inlineStr">
        <is>
          <t>era</t>
        </is>
      </c>
      <c r="B176" s="9" t="inlineStr">
        <is>
          <t>R package for year-based time scales.</t>
        </is>
      </c>
      <c r="C176" s="9" t="inlineStr">
        <is>
          <t>era is an R package designed for managing and analyzing year-based time scales in archaeological and historical research. It actively processes temporal data to generate standardized chronologies and supports conversions between time representations, thereby facilitating robust temporal analysis and visualization.</t>
        </is>
      </c>
      <c r="D176" s="9" t="inlineStr">
        <is>
          <t>yes</t>
        </is>
      </c>
      <c r="E176" s="9" t="n"/>
      <c r="F176" s="9" t="inlineStr">
        <is>
          <t>Yes</t>
        </is>
      </c>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row>
    <row r="177">
      <c r="A177" s="9" t="inlineStr">
        <is>
          <t>eratosthenes</t>
        </is>
      </c>
      <c r="B177" s="9" t="inlineStr">
        <is>
          <t>Provides a coherent foundation for archaeological chronology-building by incorporating, computationally, all relevant sources of information on uncertain archaeological or historical dates.</t>
        </is>
      </c>
      <c r="C177" s="9" t="inlineStr">
        <is>
          <t>eratosthenes is an R package that offers a comprehensive framework for constructing archaeological chronologies. It actively integrates diverse sources of uncertain dating information through computational methods, reconciling radiocarbon, historical, and other chronological data to build robust and coherent timelines.</t>
        </is>
      </c>
      <c r="D177" s="9" t="inlineStr">
        <is>
          <t>yes</t>
        </is>
      </c>
      <c r="E177" s="9" t="n"/>
      <c r="F177" s="9" t="inlineStr">
        <is>
          <t>Yes</t>
        </is>
      </c>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row>
    <row r="178">
      <c r="A178" s="9" t="inlineStr">
        <is>
          <t>ethnobotanyR</t>
        </is>
      </c>
      <c r="B178" s="9" t="inlineStr">
        <is>
          <t>R package for calculating quantitative ethnobotany indices.</t>
        </is>
      </c>
      <c r="C178" s="9" t="inlineStr">
        <is>
          <t>ethnobotanyR is an R package developed for calculating quantitative indices in ethnobotanical research. It actively processes field and survey data to compute metrics that assess plant usage, cultural significance, and biodiversity in traditional communities. By transforming raw data into meaningful insights, ethnobotanyR supports rigorous analysis of human-plant interactions in archaeological contexts.</t>
        </is>
      </c>
      <c r="D178" s="9" t="inlineStr">
        <is>
          <t>yes</t>
        </is>
      </c>
      <c r="E178" s="9" t="n"/>
      <c r="F178" s="9" t="inlineStr">
        <is>
          <t>Yes</t>
        </is>
      </c>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row>
    <row r="179">
      <c r="A179" s="9" t="inlineStr">
        <is>
          <t>Excavation_data_viewer</t>
        </is>
      </c>
      <c r="B179" s="9" t="inlineStr">
        <is>
          <t>R Shiny app for viewing archaeological excavation data in 3D.</t>
        </is>
      </c>
      <c r="C179" s="9" t="inlineStr">
        <is>
          <t>Excavation_data_viewer is an R Shiny application that allows researchers to interactively view and explore archaeological excavation data in three dimensions. The tool enables users to visualize spatial layouts, stratigraphic details, and other excavation parameters dynamically. By integrating 3D visualization with a user‐friendly interface, it supports data‐driven interpretations and decision‐making in archaeological research, enhancing both data management and analytical insight.</t>
        </is>
      </c>
      <c r="D179" s="9" t="inlineStr">
        <is>
          <t>yes</t>
        </is>
      </c>
      <c r="E179" s="9" t="n"/>
      <c r="F179" s="9" t="inlineStr">
        <is>
          <t>Yes</t>
        </is>
      </c>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row>
    <row r="180">
      <c r="A180" s="9" t="inlineStr">
        <is>
          <t>Explographe</t>
        </is>
      </c>
      <c r="B180" s="9" t="inlineStr">
        <is>
          <t>Application (in LibreOffice Calc) for serializing a graphic matrix from counting tables. The application makes it possible to obtain either a serograph or a graph of the PVI matrograph type (visualization of the differences in independence from the percentages of independence values) which does not favor the vision of the variables over that of the lines and more suitable for non-chronological treatments.</t>
        </is>
      </c>
      <c r="C180" s="9" t="inlineStr">
        <is>
          <t>Explographe is an application built within LibreOffice Calc designed to transform counting tables into visually compelling graphic matrices. It enables researchers to generate serographs or PVI matrographs that illustrate differences in independence, thereby enhancing the analysis of archaeological data. By actively processing input data, Explographe provides dynamic visualizations that facilitate the interpretation of complex datasets. Its unique approach supports both chronological and non-chronological analyses, making it a valuable tool for archaeologists who need to visualize and interpret statistical patterns within artifact distributions.</t>
        </is>
      </c>
      <c r="D180" s="9" t="inlineStr">
        <is>
          <t>yes</t>
        </is>
      </c>
      <c r="E180" s="9" t="n"/>
      <c r="F180" s="9" t="inlineStr">
        <is>
          <t>Yes</t>
        </is>
      </c>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row>
    <row r="181">
      <c r="A181" s="9" t="inlineStr">
        <is>
          <t>expotime</t>
        </is>
      </c>
      <c r="B181" s="9" t="inlineStr">
        <is>
          <t>What is the correlation between the exposure time of your photographs and the time of the day?</t>
        </is>
      </c>
      <c r="C181" s="9" t="inlineStr">
        <is>
          <t>expotime is a Python script that investigates the correlation between photograph exposure times and the time of day. It actively extracts and analyzes metadata from digital images to identify trends in lighting conditions, helping researchers optimize photographic documentation and understand environmental influences on field imaging.</t>
        </is>
      </c>
      <c r="D181" s="9" t="inlineStr">
        <is>
          <t>yes</t>
        </is>
      </c>
      <c r="E181" s="9" t="n"/>
      <c r="F181" s="9" t="inlineStr">
        <is>
          <t>Yes</t>
        </is>
      </c>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row>
    <row r="182">
      <c r="A182" s="9" t="inlineStr">
        <is>
          <t>fabryka</t>
        </is>
      </c>
      <c r="B182" s="9" t="inlineStr">
        <is>
          <t>Shiny app fabric analysis.</t>
        </is>
      </c>
      <c r="C182" s="9" t="inlineStr">
        <is>
          <t>fabryka is an R Shiny application developed for fabric analysis in archaeological contexts. It processes textile or ceramic fabric data to quantify structural properties and compositional patterns. Through interactive visualizations and automated analytical functions, fabryka enables researchers to compare fabric characteristics and assess production techniques, thereby advancing material culture studies.</t>
        </is>
      </c>
      <c r="D182" s="9" t="inlineStr">
        <is>
          <t>yes</t>
        </is>
      </c>
      <c r="E182" s="9" t="n"/>
      <c r="F182" s="9" t="inlineStr">
        <is>
          <t>Yes</t>
        </is>
      </c>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row>
    <row r="183">
      <c r="A183" s="9" t="inlineStr">
        <is>
          <t>fastmaRching</t>
        </is>
      </c>
      <c r="B183" s="9" t="inlineStr">
        <is>
          <t>An R implementation of the Fast Marching Method (FMM), first developed by Sethian (1996), with the modifications of Silva and Steele (2012, 2014). Also included is a spatial wrapper function that makes it easier to model dispersal scenarios in geospatial domains, as originally envisaged for the study and simulation of prehistoric dispersals.</t>
        </is>
      </c>
      <c r="C183" s="9" t="inlineStr">
        <is>
          <t>fastmaRching is an R package implementing the Fast Marching Method (FMM) with modifications for simulating dispersal scenarios in archaeological contexts. It actively processes geospatial data to model and visualize the spread of cultural or population groups over landscapes, making it a powerful tool for simulating prehistoric dispersals.</t>
        </is>
      </c>
      <c r="D183" s="9" t="inlineStr">
        <is>
          <t>yes</t>
        </is>
      </c>
      <c r="E183" s="9" t="n"/>
      <c r="F183" s="9" t="inlineStr">
        <is>
          <t>Yes</t>
        </is>
      </c>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row>
    <row r="184">
      <c r="A184" s="9" t="inlineStr">
        <is>
          <t>fellingDateR</t>
        </is>
      </c>
      <c r="B184" s="9" t="inlineStr">
        <is>
          <t>Compute and combine felling date estimates for historical tree-ring series with (incomplete) sapwood.</t>
        </is>
      </c>
      <c r="C184" s="9" t="inlineStr">
        <is>
          <t>fellingDateR is an R package that computes and integrates felling date estimates for historical tree-ring series, even when sapwood data is incomplete. It applies statistical and dendrochronological methods to process tree-ring measurements and generate accurate date estimates. By combining multiple data sources and accounting for missing information, the tool enhances the reliability of chronological reconstructions in dendrochronological studies. Its active computational approach supports improved modeling of historical timber use and environmental conditions in archaeological research.</t>
        </is>
      </c>
      <c r="D184" s="9" t="inlineStr">
        <is>
          <t>yes</t>
        </is>
      </c>
      <c r="E184" s="9" t="n"/>
      <c r="F184" s="9" t="inlineStr">
        <is>
          <t>Yes</t>
        </is>
      </c>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row>
    <row r="185">
      <c r="A185" s="9" t="inlineStr">
        <is>
          <t>fieldwalkr</t>
        </is>
      </c>
      <c r="B185" s="9" t="inlineStr">
        <is>
          <t>Spatial Sampling and Survey Simulation Tools.</t>
        </is>
      </c>
      <c r="C185" s="9" t="inlineStr">
        <is>
          <t>fieldwalkr is an R package offering spatial sampling and survey simulation tools for archaeological research. It actively processes geospatial data to model field survey scenarios, enabling researchers to simulate various sampling strategies and assess survey efficiency. Through dynamic simulations, fieldwalkr provides insights into potential sampling biases and optimizes survey design for more effective fieldwork planning.</t>
        </is>
      </c>
      <c r="D185" s="9" t="inlineStr">
        <is>
          <t>yes</t>
        </is>
      </c>
      <c r="E185" s="9" t="n"/>
      <c r="F185" s="9" t="inlineStr">
        <is>
          <t>Yes</t>
        </is>
      </c>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row>
    <row r="186">
      <c r="A186" s="9" t="inlineStr">
        <is>
          <t>Fix-exif-artist</t>
        </is>
      </c>
      <c r="B186" s="9" t="inlineStr">
        <is>
          <t>Fix the Exif.Image.Artist tag based on user input depending from the camera model. Useful if you have a bunch of photographs from different people all mixed up.</t>
        </is>
      </c>
      <c r="C186" s="9" t="inlineStr">
        <is>
          <t>Fix-exif-artist is a Python script that corrects the Exif.Image.Artist metadata tag in digital photographs. It actively processes image metadata by applying user-specified corrections based on camera model, ensuring accurate attribution across mixed collections. This automation enhances the reliability and organization of photographic archives in archaeological and cultural heritage projects.</t>
        </is>
      </c>
      <c r="D186" s="9" t="inlineStr">
        <is>
          <t>yes</t>
        </is>
      </c>
      <c r="E186" s="9" t="n"/>
      <c r="F186" s="9" t="inlineStr">
        <is>
          <t>Yes</t>
        </is>
      </c>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row>
    <row r="187">
      <c r="A187" s="9" t="inlineStr">
        <is>
          <t>Ford-Diagram</t>
        </is>
      </c>
      <c r="B187" s="9" t="inlineStr">
        <is>
          <t>This R Function creates a simple Ford diagram for archaeological seriation with error bars determined based on sample size were count data are given</t>
        </is>
      </c>
      <c r="C187" s="9" t="inlineStr">
        <is>
          <t>Ford-Diagram is an R function that produces Ford diagrams for archaeological seriation. It actively processes count data to create visual representations of artifact frequency distributions over time, complete with error bars calculated based on sample size. This tool assists researchers in interpreting seriation results and evaluating chronological sequences within artifact assemblages.</t>
        </is>
      </c>
      <c r="D187" s="9" t="inlineStr">
        <is>
          <t>yes</t>
        </is>
      </c>
      <c r="E187" s="9" t="n"/>
      <c r="F187" s="9" t="inlineStr">
        <is>
          <t>Yes</t>
        </is>
      </c>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row>
    <row r="188">
      <c r="A188" s="9" t="inlineStr">
        <is>
          <t>FuzzyViewshed</t>
        </is>
      </c>
      <c r="B188" s="9" t="inlineStr">
        <is>
          <t>ArcGIS toolbox for fuzzy viewshed calculation.</t>
        </is>
      </c>
      <c r="C188" s="9" t="inlineStr">
        <is>
          <t>FuzzyViewshed is an ArcGIS toolbox that implements fuzzy logic algorithms for nuanced viewshed analysis. It actively processes spatial data to compute visibility areas from specified observer points, accounting for gradual transitions between clear and obscured zones. Designed for archaeological and environmental research, this toolbox converts raw terrain data into detailed visual outputs, enabling researchers to better understand landscape visibility and spatial relationships.</t>
        </is>
      </c>
      <c r="D188" s="9" t="inlineStr">
        <is>
          <t>yes</t>
        </is>
      </c>
      <c r="E188" s="9" t="n"/>
      <c r="F188" s="9" t="inlineStr">
        <is>
          <t>Yes</t>
        </is>
      </c>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row>
    <row r="189">
      <c r="A189" s="9" t="inlineStr">
        <is>
          <t>gamma</t>
        </is>
      </c>
      <c r="B189" s="9" t="inlineStr">
        <is>
          <t>Dose Rate Estimation from In-Situ Gamma-Ray Spectrometry Measurements for Luminescence Dating</t>
        </is>
      </c>
      <c r="C189" s="9" t="inlineStr">
        <is>
          <t>gamma is an R package designed to estimate environmental dose rates using in-situ gamma-ray spectrometry measurements. It actively processes spectral data, applying sophisticated statistical corrections to compute dose rates essential for luminescence dating. The tool automates complex calculations, thereby improving the accuracy of age estimates and enhancing chronological reconstructions in archaeological research.</t>
        </is>
      </c>
      <c r="D189" s="9" t="inlineStr">
        <is>
          <t>yes</t>
        </is>
      </c>
      <c r="E189" s="9" t="n"/>
      <c r="F189" s="9" t="inlineStr">
        <is>
          <t>Yes</t>
        </is>
      </c>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row>
    <row r="190">
      <c r="A190" s="9" t="inlineStr">
        <is>
          <t>geoCore</t>
        </is>
      </c>
      <c r="B190" s="9" t="inlineStr">
        <is>
          <t>Constructs a graphical representation of petrographic drilling profiles.</t>
        </is>
      </c>
      <c r="C190" s="9" t="inlineStr">
        <is>
          <t>geoCore is a specialized tool designed to generate graphical representations of petrographic drilling profiles. Developed as a plugin for QGIS, this software assists researchers in visualizing complex geological and archaeological subsurface data. By transforming raw drilling data into informative diagrams, geoCore facilitates the interpretation of petrographic information. Its integration with QGIS ensures seamless workflows, allowing for further spatial analysis and mapping. This tool enhances data-driven decision-making in archaeological investigations by providing clear visual insights into subsurface structures.</t>
        </is>
      </c>
      <c r="D190" s="9" t="inlineStr">
        <is>
          <t>yes</t>
        </is>
      </c>
      <c r="E190" s="9" t="n"/>
      <c r="F190" s="9" t="inlineStr">
        <is>
          <t>Yes</t>
        </is>
      </c>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row>
    <row r="191">
      <c r="A191" s="9" t="inlineStr">
        <is>
          <t>Geostat</t>
        </is>
      </c>
      <c r="B191" s="9" t="inlineStr">
        <is>
          <t>Code for Geostatistics in ethnographic contexts.</t>
        </is>
      </c>
      <c r="C191" s="9" t="inlineStr">
        <is>
          <t>Geostat is a code-based tool designed for conducting geostatistical analyses in ethnographic contexts. It offers methods to analyze spatial data, predict distributions, and uncover underlying patterns within ethnographic and archaeological datasets. By applying geostatistical techniques, the tool aids researchers in interpreting spatial variability and environmental influences on cultural phenomena. Geostat supports the transformation of raw spatial data into meaningful visualizations and models, thereby enhancing the analytical capabilities of researchers working in the field of ethnography and archaeology.</t>
        </is>
      </c>
      <c r="D191" s="9" t="inlineStr">
        <is>
          <t>yes</t>
        </is>
      </c>
      <c r="E191" s="9" t="n"/>
      <c r="F191" s="9" t="inlineStr">
        <is>
          <t>Yes</t>
        </is>
      </c>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row>
    <row r="192">
      <c r="A192" s="9" t="inlineStr">
        <is>
          <t>GlobaLID-App</t>
        </is>
      </c>
      <c r="B192" s="9" t="inlineStr">
        <is>
          <t>The GlobaLID web app</t>
        </is>
      </c>
      <c r="C192" s="9" t="inlineStr">
        <is>
          <t>GlobaLID-App is a web-based application offering interactive access to global archaeological datasets. It enables users to explore, query, and visualize spatial data related to stable isotope analyses and other archaeological metrics through dynamic diagrams and maps. By transforming complex data into accessible visual formats, the tool supports comparative studies and enhances data-driven interpretations in archaeological research.</t>
        </is>
      </c>
      <c r="D192" s="9" t="inlineStr">
        <is>
          <t>yes</t>
        </is>
      </c>
      <c r="E192" s="9" t="n"/>
      <c r="F192" s="9" t="inlineStr">
        <is>
          <t>Yes</t>
        </is>
      </c>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row>
    <row r="193">
      <c r="A193" s="9" t="inlineStr">
        <is>
          <t>GmAMisc</t>
        </is>
      </c>
      <c r="B193" s="9" t="inlineStr">
        <is>
          <t>A collection of functions that built in different points in time. The functions' aim spans from univariate outlier detection, to permutation t test, permutation chi-square test, calculation of Brainerd-Robinson similarity coefficient, validation of logistic regression models, point pattern analysis, and more.</t>
        </is>
      </c>
      <c r="C193" s="9" t="inlineStr">
        <is>
          <t>GmAMisc is an R package compiling a diverse set of statistical functions developed over time. It actively processes data for tasks such as outlier detection, permutation tests, similarity coefficient calculations, and point pattern analysis, providing archaeologists with a versatile toolkit for rigorous quantitative analysis and hypothesis testing.</t>
        </is>
      </c>
      <c r="D193" s="9" t="inlineStr">
        <is>
          <t>yes</t>
        </is>
      </c>
      <c r="E193" s="9" t="n"/>
      <c r="F193" s="9" t="inlineStr">
        <is>
          <t>Yes</t>
        </is>
      </c>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row>
    <row r="194">
      <c r="A194" s="9" t="inlineStr">
        <is>
          <t>harris-matrix</t>
        </is>
      </c>
      <c r="B194" s="9" t="inlineStr">
        <is>
          <t>Write Graphviz dot files for archaeological sequence diagrams and Bayesian chronological models.</t>
        </is>
      </c>
      <c r="C194" s="9" t="inlineStr">
        <is>
          <t>harris-matrix is a tool written in Lisp that generates Graphviz dot files for constructing archaeological sequence diagrams and Bayesian chronological models. It actively processes stratigraphic data to produce clear, informative visual representations that aid in deciphering complex chronological relationships. Its automation of diagram generation streamlines the documentation of archaeological sequences.</t>
        </is>
      </c>
      <c r="D194" s="9" t="inlineStr">
        <is>
          <t>yes</t>
        </is>
      </c>
      <c r="E194" s="9" t="n"/>
      <c r="F194" s="9" t="inlineStr">
        <is>
          <t>Yes</t>
        </is>
      </c>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row>
    <row r="195">
      <c r="A195" s="9" t="inlineStr">
        <is>
          <t>harris-matrix</t>
        </is>
      </c>
      <c r="B195" s="9" t="inlineStr">
        <is>
          <t>Harris Matrix Visualization for the web using D3 + KLayJS-D3.</t>
        </is>
      </c>
      <c r="C195" s="9" t="inlineStr">
        <is>
          <t>harris-matrix is a standalone web application that visualizes Harris Matrices using modern web technologies such as D3 and KLayJS-D3. It actively processes stratigraphic data to create interactive, dynamic visualizations of archaeological sequences, allowing users to explore complex stratigraphic relationships online. This tool effectively bridges traditional methodologies with contemporary digital visualization techniques.</t>
        </is>
      </c>
      <c r="D195" s="9" t="inlineStr">
        <is>
          <t>yes</t>
        </is>
      </c>
      <c r="E195" s="9" t="n"/>
      <c r="F195" s="9" t="inlineStr">
        <is>
          <t>Yes</t>
        </is>
      </c>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row>
    <row r="196">
      <c r="A196" s="9" t="inlineStr">
        <is>
          <t>Harris-matrix-legacy</t>
        </is>
      </c>
      <c r="B196" s="9" t="inlineStr">
        <is>
          <t>Create a Harris Matrix from archaeological stratigraphy data using Python and Graphviz.</t>
        </is>
      </c>
      <c r="C196" s="9" t="inlineStr">
        <is>
          <t>Harris-matrix-legacy is a Python application that leverages Graphviz to generate Harris Matrices from archaeological stratigraphy data. It actively processes input data to construct detailed chronological diagrams, enabling researchers to visualize and analyze stratigraphic relationships accurately. By automating diagram creation, this tool enhances the efficiency and reliability of stratigraphic documentation in archaeological research.</t>
        </is>
      </c>
      <c r="D196" s="9" t="inlineStr">
        <is>
          <t>yes</t>
        </is>
      </c>
      <c r="E196" s="9" t="n"/>
      <c r="F196" s="9" t="inlineStr">
        <is>
          <t>Yes</t>
        </is>
      </c>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row>
    <row r="197">
      <c r="A197" s="9" t="inlineStr">
        <is>
          <t>harris2graph</t>
        </is>
      </c>
      <c r="B197" s="9" t="inlineStr">
        <is>
          <t>harris2graph is a script to help migrate data from the LST file format used by the BASP Harris, Stratify and ArchEd packages into modern graph file formats.</t>
        </is>
      </c>
      <c r="C197" s="9" t="inlineStr">
        <is>
          <t>harris2graph is a Python script designed to convert stratigraphic data from the legacy LST file format into modern graph file formats. It actively processes and transforms data, facilitating the integration of historical records into contemporary analytical workflows. By automating data migration, harris2graph enhances the usability and accessibility of archival stratigraphic information.</t>
        </is>
      </c>
      <c r="D197" s="9" t="inlineStr">
        <is>
          <t>yes</t>
        </is>
      </c>
      <c r="E197" s="9" t="n"/>
      <c r="F197" s="9" t="inlineStr">
        <is>
          <t>Yes</t>
        </is>
      </c>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row>
    <row r="198">
      <c r="A198" s="9" t="inlineStr">
        <is>
          <t>historical-geocoding-assistant</t>
        </is>
      </c>
      <c r="B198" s="9" t="inlineStr">
        <is>
          <t>Tool for assisted geocoding of historical datasets (something between a manual table editing and automated geocoding script)</t>
        </is>
      </c>
      <c r="C198" s="9" t="inlineStr">
        <is>
          <t>historical-geocoding-assistant is a standalone tool that facilitates the geocoding of historical datasets by combining manual editing with automated geocoding routines. It actively processes location data to assign geographic coordinates to historical records, improving data accuracy and enabling spatial analysis in archaeological and historical studies.</t>
        </is>
      </c>
      <c r="D198" s="9" t="inlineStr">
        <is>
          <t>yes</t>
        </is>
      </c>
      <c r="E198" s="9" t="n"/>
      <c r="F198" s="9" t="inlineStr">
        <is>
          <t>Yes</t>
        </is>
      </c>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row>
    <row r="199">
      <c r="A199" s="9" t="inlineStr">
        <is>
          <t>hsv-api</t>
        </is>
      </c>
      <c r="B199" s="9" t="inlineStr">
        <is>
          <t>Historical Street View API</t>
        </is>
      </c>
      <c r="C199" s="9" t="inlineStr">
        <is>
          <t>hsv-api is an API that provides access to historical street view imagery, enabling users to retrieve and integrate past visual records of urban and archaeological sites. By processing real-time queries, it facilitates the incorporation of historical imagery into mapping and analytical workflows. This tool supports dynamic exploration of historical landscapes and is valuable for site mapping and public archaeology applications.</t>
        </is>
      </c>
      <c r="D199" s="9" t="inlineStr">
        <is>
          <t>yes</t>
        </is>
      </c>
      <c r="E199" s="9" t="n"/>
      <c r="F199" s="9" t="inlineStr">
        <is>
          <t>Yes</t>
        </is>
      </c>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row>
    <row r="200">
      <c r="A200" s="9" t="inlineStr">
        <is>
          <t>iconr</t>
        </is>
      </c>
      <c r="B200" s="9" t="inlineStr">
        <is>
          <t>Set of formal methods for studying archaeological iconographic datasets (rock-art, pottery decoration, stelae, etc.) using network and spatial analysis.</t>
        </is>
      </c>
      <c r="C200" s="9" t="inlineStr">
        <is>
          <t>iconr is an R package that implements formal methods for analyzing archaeological iconographic datasets such as rock art, pottery decoration, and stelae. It actively processes visual and spatial data to construct network models and perform spatial analyses, enabling researchers to quantitatively assess cultural symbolism and iconographic patterns.</t>
        </is>
      </c>
      <c r="D200" s="9" t="inlineStr">
        <is>
          <t>yes</t>
        </is>
      </c>
      <c r="E200" s="9" t="n"/>
      <c r="F200" s="9" t="inlineStr">
        <is>
          <t>Yes</t>
        </is>
      </c>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row>
    <row r="201">
      <c r="A201" s="9" t="inlineStr">
        <is>
          <t>idaifieldR</t>
        </is>
      </c>
      <c r="B201" s="9" t="inlineStr">
        <is>
          <t>The goal of idaifieldR is to flexibly get data from the idaifield database into R.</t>
        </is>
      </c>
      <c r="C201" s="9" t="inlineStr">
        <is>
          <t>idaifieldR is an R package that streamlines the retrieval and integration of data from the idaifield database. It actively processes field data by querying, cleaning, and importing records into R, thus facilitating efficient data analysis and visualization in archaeological research.</t>
        </is>
      </c>
      <c r="D201" s="9" t="inlineStr">
        <is>
          <t>yes</t>
        </is>
      </c>
      <c r="E201" s="9" t="n"/>
      <c r="F201" s="9" t="inlineStr">
        <is>
          <t>Yes</t>
        </is>
      </c>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row>
    <row r="202">
      <c r="A202" s="9" t="inlineStr">
        <is>
          <t>IOSACal</t>
        </is>
      </c>
      <c r="B202" s="9" t="inlineStr">
        <is>
          <t>IOSACal is an open source tool for radiocarbon calibration</t>
        </is>
      </c>
      <c r="C202" s="9" t="inlineStr">
        <is>
          <t>IOSACal is an open-source software tool designed for radiocarbon calibration. It actively processes raw radiocarbon data by applying calibration curves and statistical models to convert measurements into calibrated age estimates. Emphasizing reproducibility and user-friendliness, IOSACal supports precise chronological analyses in archaeological and geochronological research.</t>
        </is>
      </c>
      <c r="D202" s="9" t="inlineStr">
        <is>
          <t>yes</t>
        </is>
      </c>
      <c r="E202" s="9" t="n"/>
      <c r="F202" s="9" t="inlineStr">
        <is>
          <t>Yes</t>
        </is>
      </c>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row>
    <row r="203">
      <c r="A203" s="9" t="inlineStr">
        <is>
          <t>Iraq_mortar</t>
        </is>
      </c>
      <c r="B203" s="9" t="inlineStr">
        <is>
          <t>Enables the creation of a high quality 3D model of an archaeological artefact via process known as photo-masking.</t>
        </is>
      </c>
      <c r="C203" s="9" t="inlineStr">
        <is>
          <t>Iraq_mortar is a software tool that facilitates the creation of high-quality 3D models of archaeological artefacts through a process known as photo-masking. By using photographic data, the tool reconstructs detailed three-dimensional representations, allowing researchers to analyze morphological features with precision. Its innovative approach combines image processing techniques with 3D modeling to produce accurate digital replicas. Iraq_mortar supports enhanced visualization and documentation of artefacts, contributing to more comprehensive archaeological analyses and conservation efforts.</t>
        </is>
      </c>
      <c r="D203" s="9" t="inlineStr">
        <is>
          <t>yes</t>
        </is>
      </c>
      <c r="E203" s="9" t="n"/>
      <c r="F203" s="9" t="inlineStr">
        <is>
          <t>Yes</t>
        </is>
      </c>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row>
    <row r="204">
      <c r="A204" s="9" t="inlineStr">
        <is>
          <t>isopleuros</t>
        </is>
      </c>
      <c r="B204" s="9" t="inlineStr">
        <is>
          <t>Ternary plots made simple.</t>
        </is>
      </c>
      <c r="C204" s="9" t="inlineStr">
        <is>
          <t>isopleuros is an R package that simplifies the creation of ternary plots for visualizing compositional data in archaeological and geochemical studies. The tool automates the plotting of three-component datasets, allowing researchers to effortlessly interpret complex mixtures. With customizable aesthetics and output options, isopleuros enhances data visualization and supports rigorous statistical analysis in multivariate research.</t>
        </is>
      </c>
      <c r="D204" s="9" t="inlineStr">
        <is>
          <t>yes</t>
        </is>
      </c>
      <c r="E204" s="9" t="n"/>
      <c r="F204" s="9" t="inlineStr">
        <is>
          <t>Yes</t>
        </is>
      </c>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row>
    <row r="205">
      <c r="A205" s="9" t="inlineStr">
        <is>
          <t>ithaca</t>
        </is>
      </c>
      <c r="B205" s="9" t="inlineStr">
        <is>
          <t>Restoring and attributing ancient texts using deep neural networks.</t>
        </is>
      </c>
      <c r="C205" s="9" t="inlineStr">
        <is>
          <t>ithaca is a Python-based package that employs deep neural networks to restore and attribute ancient texts. Designed for literary analysis and epigraphy, it processes historical manuscripts by identifying patterns and reconstructing damaged or incomplete text segments. Through advanced machine learning techniques, ithaca automates the interpretation of textual features, supporting scholars in deciphering and authenticating ancient documents. The tool actively transforms raw manuscript data into meaningful information, thereby enhancing the accuracy and efficiency of textual restoration and attribution in historical research.</t>
        </is>
      </c>
      <c r="D205" s="9" t="inlineStr">
        <is>
          <t>yes</t>
        </is>
      </c>
      <c r="E205" s="9" t="n"/>
      <c r="F205" s="9" t="inlineStr">
        <is>
          <t>Yes</t>
        </is>
      </c>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row>
    <row r="206">
      <c r="A206" s="9" t="inlineStr">
        <is>
          <t>joint-disease-tool</t>
        </is>
      </c>
      <c r="B206" s="9" t="inlineStr">
        <is>
          <t>Interactively guides the user through a number of questions, ending in a specific pathology diagnosis.</t>
        </is>
      </c>
      <c r="C206" s="9" t="inlineStr">
        <is>
          <t>joint-disease-tool is a computational tool developed in Python that interactively guides users through a series of diagnostic questions to arrive at a specific pathology diagnosis. Designed for biological anthropology and forensic applications, it processes user inputs to generate evidence-based diagnostic outcomes. By integrating decision algorithms and expert system principles, the tool facilitates the systematic assessment of joint diseases, ensuring consistency and reproducibility in diagnoses. This interactive approach streamlines the diagnostic process and supports more accurate evaluations in clinical and research contexts.</t>
        </is>
      </c>
      <c r="D206" s="9" t="inlineStr">
        <is>
          <t>yes</t>
        </is>
      </c>
      <c r="E206" s="9" t="n"/>
      <c r="F206" s="9" t="inlineStr">
        <is>
          <t>Yes</t>
        </is>
      </c>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row>
    <row r="207">
      <c r="A207" s="9" t="inlineStr">
        <is>
          <t>kairos</t>
        </is>
      </c>
      <c r="B207" s="9" t="inlineStr">
        <is>
          <t>Analysis of Chronological Patterns from Archaeological Count Data.</t>
        </is>
      </c>
      <c r="C207" s="9" t="inlineStr">
        <is>
          <t>kairos is an R package designed for the analysis of chronological patterns derived from archaeological count data. It provides tools for modeling temporal trends and identifying significant shifts in data distributions over time. By applying statistical techniques to chronological datasets, kairos aids researchers in interpreting the dynamics of archaeological populations and site activities. Its functionalities enable robust temporal analysis and facilitate the integration of chronological information into broader archaeological research, thereby supporting more nuanced understandings of cultural and historical developments.</t>
        </is>
      </c>
      <c r="D207" s="9" t="inlineStr">
        <is>
          <t>yes</t>
        </is>
      </c>
      <c r="E207" s="9" t="n"/>
      <c r="F207" s="9" t="inlineStr">
        <is>
          <t>Yes</t>
        </is>
      </c>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row>
    <row r="208">
      <c r="A208" s="9" t="inlineStr">
        <is>
          <t>katun</t>
        </is>
      </c>
      <c r="B208" s="9" t="inlineStr">
        <is>
          <t>Tools for converting between Maya and Western calendars.</t>
        </is>
      </c>
      <c r="C208" s="9" t="inlineStr">
        <is>
          <t>katun is a standalone software tool that provides functionalities for converting dates between Maya and Western calendar systems. It employs computational algorithms to accurately transform dates, facilitating the integration of chronological data from different cultural frameworks. By enabling seamless conversion between these calendar systems, katun supports archaeological and historical research that involves ancient temporal records. Its user-friendly interface and precise computational methods make it a valuable resource for researchers studying ancient chronology and cultural timekeeping practices.</t>
        </is>
      </c>
      <c r="D208" s="9" t="inlineStr">
        <is>
          <t>yes</t>
        </is>
      </c>
      <c r="E208" s="9" t="n"/>
      <c r="F208" s="9" t="inlineStr">
        <is>
          <t>Yes</t>
        </is>
      </c>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row>
    <row r="209">
      <c r="A209" s="9" t="inlineStr">
        <is>
          <t>khroma</t>
        </is>
      </c>
      <c r="B209" s="9" t="inlineStr">
        <is>
          <t>Colour Schemes for Archaeological Data Visualization</t>
        </is>
      </c>
      <c r="C209" s="9" t="inlineStr">
        <is>
          <t>khroma is an R package that provides curated and customizable color schemes for archaeological data visualization. It actively generates and manipulates color palettes based on input parameters, enhancing the clarity and aesthetic appeal of plots and diagrams. By automating the creation of effective color schemes, khroma supports improved visual communication of complex archaeological datasets.</t>
        </is>
      </c>
      <c r="D209" s="9" t="inlineStr">
        <is>
          <t>yes</t>
        </is>
      </c>
      <c r="E209" s="9" t="n"/>
      <c r="F209" s="9" t="inlineStr">
        <is>
          <t>Yes</t>
        </is>
      </c>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row>
    <row r="210">
      <c r="A210" s="9" t="inlineStr">
        <is>
          <t>kidstats</t>
        </is>
      </c>
      <c r="B210" s="9" t="inlineStr">
        <is>
          <t>Shiny application that provides subadult age estimations based on dental and skeletal development and skeletal diaphyseal metrics using pre-optimized mixed cumulative probit models.</t>
        </is>
      </c>
      <c r="C210" s="9" t="inlineStr">
        <is>
          <t>kidstats is a Shiny application designed to estimate subadult ages by analyzing dental and skeletal development alongside diaphyseal metrics. Utilizing pre-optimized mixed cumulative probit models, it actively processes biometric data to generate dynamic age predictions. This interactive tool enhances the precision and reproducibility of age estimations, making it invaluable for biological anthropology and forensic analyses in archaeological research.</t>
        </is>
      </c>
      <c r="D210" s="9" t="inlineStr">
        <is>
          <t>yes</t>
        </is>
      </c>
      <c r="E210" s="9" t="n"/>
      <c r="F210" s="9" t="inlineStr">
        <is>
          <t>Yes</t>
        </is>
      </c>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row>
    <row r="211">
      <c r="A211" s="9" t="inlineStr">
        <is>
          <t>Kmeans</t>
        </is>
      </c>
      <c r="B211" s="9" t="inlineStr">
        <is>
          <t>Script for conducting K-means cluster analysis using R. This script provides output designed to help the user select an appropriate cluster solution.</t>
        </is>
      </c>
      <c r="C211" s="9" t="inlineStr">
        <is>
          <t>Kmeans is an R script designed to perform K-means clustering on archaeological datasets. It helps researchers partition data into distinct groups by applying iterative optimization algorithms. The script generates detailed outputs and diagnostic metrics to assist users in determining the most appropriate number of clusters. By actively processing data and providing visual feedback, Kmeans facilitates the identification of underlying patterns and groupings in complex datasets, making it a valuable tool for spatial and statistical analysis in archaeological research.</t>
        </is>
      </c>
      <c r="D211" s="9" t="inlineStr">
        <is>
          <t>yes</t>
        </is>
      </c>
      <c r="E211" s="9" t="n"/>
      <c r="F211" s="9" t="inlineStr">
        <is>
          <t>Yes</t>
        </is>
      </c>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row>
    <row r="212">
      <c r="A212" s="9" t="inlineStr">
        <is>
          <t>kotyle</t>
        </is>
      </c>
      <c r="B212" s="9" t="inlineStr">
        <is>
          <t>Calculate the capacity of a ceramic vessel, like an amphora.</t>
        </is>
      </c>
      <c r="C212" s="9" t="inlineStr">
        <is>
          <t>kotyle is a Python-based tool designed to calculate the capacity of ceramic vessels such as amphorae. It actively processes input measurements like height, diameter, and wall thickness to compute volume estimates accurately. This automated computational approach aids archaeologists in understanding ancient storage, trade, and production practices by providing reliable quantitative assessments.</t>
        </is>
      </c>
      <c r="D212" s="9" t="inlineStr">
        <is>
          <t>yes</t>
        </is>
      </c>
      <c r="E212" s="9" t="n"/>
      <c r="F212" s="9" t="inlineStr">
        <is>
          <t>Yes</t>
        </is>
      </c>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row>
    <row r="213">
      <c r="A213" s="9" t="inlineStr">
        <is>
          <t>kriging</t>
        </is>
      </c>
      <c r="B213" s="9" t="inlineStr">
        <is>
          <t>Codes for performing kriging for ethnographic and archaeological data.</t>
        </is>
      </c>
      <c r="C213" s="9" t="inlineStr">
        <is>
          <t>kriging is a collection of scripts developed for performing kriging, a geostatistical interpolation technique, on ethnographic and archaeological datasets. It enables researchers to predict spatial distributions and identify patterns in data by analyzing the spatial correlation of sampled points. The tool supports the transformation of irregularly spaced data into continuous surfaces, facilitating advanced spatial analyses and mapping in archaeological research. kriging is a valuable resource for integrating geostatistical methods into the study of cultural and environmental variability in historical contexts.</t>
        </is>
      </c>
      <c r="D213" s="9" t="inlineStr">
        <is>
          <t>yes</t>
        </is>
      </c>
      <c r="E213" s="9" t="n"/>
      <c r="F213" s="9" t="inlineStr">
        <is>
          <t>Yes</t>
        </is>
      </c>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row>
    <row r="214">
      <c r="A214" s="9" t="inlineStr">
        <is>
          <t>LA_ICP_MS-Routines_FMNH</t>
        </is>
      </c>
      <c r="B214" s="9" t="inlineStr">
        <is>
          <t>Routines to read and analyze LA-ICP-MS data from the Field Museum's Elemental Analysis Facility</t>
        </is>
      </c>
      <c r="C214" s="9" t="inlineStr">
        <is>
          <t>LA_ICP_MS-Routines_FMNH is an R package that offers routines to read, process, and analyze LA-ICP-MS data from the Field Museum's Elemental Analysis Facility. It actively transforms geochemical data into quantitative outputs and visualizations, aiding in the interpretation of elemental compositions in archaeological materials.</t>
        </is>
      </c>
      <c r="D214" s="9" t="inlineStr">
        <is>
          <t>yes</t>
        </is>
      </c>
      <c r="E214" s="9" t="n"/>
      <c r="F214" s="9" t="inlineStr">
        <is>
          <t>Yes</t>
        </is>
      </c>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row>
    <row r="215">
      <c r="A215" s="9" t="inlineStr">
        <is>
          <t>lakhesis</t>
        </is>
      </c>
      <c r="B215" s="9" t="inlineStr">
        <is>
          <t>Provides an interactive platform and critical measures for seriating binary data matrices through the exploration, selection, and consensus of partially seriated sequences.</t>
        </is>
      </c>
      <c r="C215" s="9" t="inlineStr">
        <is>
          <t>lakhesis is an R package that delivers an interactive platform for seriating binary data matrices. It actively processes sequencing data to identify optimal orders and derive consensus sequences from partially seriated datasets, enhancing the reliability and reproducibility of seriation analyses in archaeological research.</t>
        </is>
      </c>
      <c r="D215" s="9" t="inlineStr">
        <is>
          <t>yes</t>
        </is>
      </c>
      <c r="E215" s="9" t="n"/>
      <c r="F215" s="9" t="inlineStr">
        <is>
          <t>Yes</t>
        </is>
      </c>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row>
    <row r="216">
      <c r="A216" s="9" t="inlineStr">
        <is>
          <t>Le Stratifiant</t>
        </is>
      </c>
      <c r="B216" s="9" t="inlineStr">
        <is>
          <t>Application for creating stratigraphic diagrams and checking the consistency of the chronostratigraphic recording.</t>
        </is>
      </c>
      <c r="C216" s="9" t="inlineStr">
        <is>
          <t>Le Stratifiant is an application that creates stratigraphic diagrams and verifies the consistency of chronostratigraphic recordings in archaeological projects. It actively processes stratigraphic data to generate visual diagrams that highlight temporal relationships and potential discrepancies. By automating complex aspects of stratigraphic analysis, Le Stratifiant supports researchers in producing reliable chronological records.</t>
        </is>
      </c>
      <c r="D216" s="9" t="inlineStr">
        <is>
          <t>yes</t>
        </is>
      </c>
      <c r="E216" s="9" t="n"/>
      <c r="F216" s="9" t="inlineStr">
        <is>
          <t>Yes</t>
        </is>
      </c>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row>
    <row r="217">
      <c r="A217" s="9" t="inlineStr">
        <is>
          <t>leastcostpath</t>
        </is>
      </c>
      <c r="B217" s="9" t="inlineStr">
        <is>
          <t>Provides the functionality to calculate Least Cost Paths (LCPs) which are often, but not exclusively, used in archaeological research. This package can be used to apply multiple cost functions when approximating the difficulty of moving across a landscape, as well as taking into account traversing across slope and other costs such as landscape features. This package also provides functionality to validate the accuracy of the computed LCP relative to another path.</t>
        </is>
      </c>
      <c r="C217" s="9" t="inlineStr">
        <is>
          <t>leastcostpath is an R package that calculates Least Cost Paths (LCPs) across landscapes, particularly in archaeological contexts. It actively processes spatial data using various cost functions to estimate movement difficulty, accounting for factors like slope and terrain features. Additionally, it offers validation tools to compare computed routes with alternative paths, providing researchers with robust insights into ancient mobility patterns.</t>
        </is>
      </c>
      <c r="D217" s="9" t="inlineStr">
        <is>
          <t>yes</t>
        </is>
      </c>
      <c r="E217" s="9" t="n"/>
      <c r="F217" s="9" t="inlineStr">
        <is>
          <t>Yes</t>
        </is>
      </c>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row>
    <row r="218">
      <c r="A218" s="9" t="inlineStr">
        <is>
          <t>lecAAR</t>
        </is>
      </c>
      <c r="B218" s="9" t="inlineStr">
        <is>
          <t>Tool for calculating the largest empty circles and estimation of archaeological sites theoretically to be expected in region of interest, an implementation of the method published by Andreas Zimmermann and Karl Peter Wendt (2003).</t>
        </is>
      </c>
      <c r="C218" s="9" t="inlineStr">
        <is>
          <t>lecAAR is an R package that implements the method of calculating the largest empty circles to estimate the theoretical number of archaeological sites in a given region. It actively processes spatial data to identify gaps and predict site distribution, aiding in the analysis of settlement patterns and landscape archaeology.</t>
        </is>
      </c>
      <c r="D218" s="9" t="inlineStr">
        <is>
          <t>yes</t>
        </is>
      </c>
      <c r="E218" s="9" t="n"/>
      <c r="F218" s="9" t="inlineStr">
        <is>
          <t>Yes</t>
        </is>
      </c>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row>
    <row r="219">
      <c r="A219" s="9" t="inlineStr">
        <is>
          <t>LISA</t>
        </is>
      </c>
      <c r="B219" s="9" t="inlineStr">
        <is>
          <t>Moran's I and Getis-Ord G* Analysis.</t>
        </is>
      </c>
      <c r="C219" s="9" t="inlineStr">
        <is>
          <t>LISA is an analytical script designed to perform spatial statistical analyses using Moran's I and Getis-Ord G* metrics. It is developed to evaluate spatial autocorrelation and clustering patterns within archaeological datasets. By dynamically processing geospatial data, LISA helps researchers identify statistically significant spatial relationships and hotspots in artifact distributions. Its active computational approach facilitates a better understanding of spatial patterns, contributing to more precise and informed interpretations of archaeological site data and landscape analyses.</t>
        </is>
      </c>
      <c r="D219" s="9" t="inlineStr">
        <is>
          <t>yes</t>
        </is>
      </c>
      <c r="E219" s="9" t="n"/>
      <c r="F219" s="9" t="inlineStr">
        <is>
          <t>Yes</t>
        </is>
      </c>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row>
    <row r="220">
      <c r="A220" s="9" t="inlineStr">
        <is>
          <t>lithic3dslicer</t>
        </is>
      </c>
      <c r="B220" s="9" t="inlineStr">
        <is>
          <t>.obj slicing for lithic 3d morphometrics.</t>
        </is>
      </c>
      <c r="C220" s="9" t="inlineStr">
        <is>
          <t>lithic3dslicer is a Python script that facilitates lithic 3D morphometric analysis by slicing .obj files into cross-sectional profiles. It actively processes 3D model data to generate precise slices, enabling detailed quantitative examination of artifact shapes and structural features. This automation streamlines morphometric studies of stone tools.</t>
        </is>
      </c>
      <c r="D220" s="9" t="inlineStr">
        <is>
          <t>yes</t>
        </is>
      </c>
      <c r="E220" s="9" t="n"/>
      <c r="F220" s="9" t="inlineStr">
        <is>
          <t>Yes</t>
        </is>
      </c>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row>
    <row r="221">
      <c r="A221" s="9" t="inlineStr">
        <is>
          <t>Lithics3D</t>
        </is>
      </c>
      <c r="B221" s="9" t="inlineStr">
        <is>
          <t>An R package for processing and analyzing 3D scans of archaeological lithics.</t>
        </is>
      </c>
      <c r="C221" s="9" t="inlineStr">
        <is>
          <t>Lithics3D is an R package designed for the processing and analysis of 3D scans of lithic artifacts. It enables researchers to import, manipulate, and analyze three-dimensional scan data, facilitating detailed morphometric and spatial analyses of stone tools. By integrating advanced computational techniques, the package supports the reconstruction, visualization, and quantitative assessment of lithic morphology. This active processing tool helps archaeologists derive meaningful insights into technological practices and artifact variability, thereby enhancing the study of prehistoric tool production and usage.</t>
        </is>
      </c>
      <c r="D221" s="9" t="inlineStr">
        <is>
          <t>yes</t>
        </is>
      </c>
      <c r="E221" s="9" t="n"/>
      <c r="F221" s="9" t="inlineStr">
        <is>
          <t>Yes</t>
        </is>
      </c>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row>
    <row r="222">
      <c r="A222" s="9" t="inlineStr">
        <is>
          <t>long-bone-diaphyseal-CSG-Toolkit</t>
        </is>
      </c>
      <c r="B222" s="9" t="inlineStr">
        <is>
          <t>A GNU Octave toolkit for analyzing diaphyseal long bone cross sectional geometry.</t>
        </is>
      </c>
      <c r="C222" s="9" t="inlineStr">
        <is>
          <t>long-bone-diaphyseal-CSG-Toolkit is a GNU Octave toolkit designed for the analysis of diaphyseal long bone cross-sectional geometry. It provides a suite of functions to process and quantify cortical and geometric properties of long bones, facilitating biomechanical and morphological studies in biological anthropology and zooarchaeology. The toolkit automates the extraction and analysis of cross-sectional data, thereby enhancing the accuracy and reproducibility of structural assessments in skeletal research. Its capabilities support detailed comparative studies and contribute to a better understanding of bone mechanics in archaeological contexts.</t>
        </is>
      </c>
      <c r="D222" s="9" t="inlineStr">
        <is>
          <t>yes</t>
        </is>
      </c>
      <c r="E222" s="9" t="n"/>
      <c r="F222" s="9" t="inlineStr">
        <is>
          <t>Yes</t>
        </is>
      </c>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row>
    <row r="223">
      <c r="A223" s="9" t="inlineStr">
        <is>
          <t>Luminescence</t>
        </is>
      </c>
      <c r="B223" s="9" t="inlineStr">
        <is>
          <t>Development version of the R package 'Luminescence'. The R package 'Luminescence' by the R-Luminescence Group provides a collection of various R functions for luminescence dating data analysis.</t>
        </is>
      </c>
      <c r="C223" s="9" t="inlineStr">
        <is>
          <t>Luminescence is an R package developed by the R-Luminescence Group for analyzing luminescence dating data. It offers a comprehensive suite of functions for processing and interpreting optical dating measurements. The package actively processes raw laboratory data to calculate dose rates, analyze age estimates, and perform statistical assessments, thereby supporting robust geochronological studies in archaeology. As a development version, it incorporates the latest methodologies and algorithms for improving the accuracy of luminescence dating analyses.</t>
        </is>
      </c>
      <c r="D223" s="9" t="inlineStr">
        <is>
          <t>yes</t>
        </is>
      </c>
      <c r="E223" s="9" t="n"/>
      <c r="F223" s="9" t="inlineStr">
        <is>
          <t>Yes</t>
        </is>
      </c>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row>
    <row r="224">
      <c r="A224" s="9" t="inlineStr">
        <is>
          <t>LumReader</t>
        </is>
      </c>
      <c r="B224" s="9" t="inlineStr">
        <is>
          <t>R package to simulate a Luminescence Reader</t>
        </is>
      </c>
      <c r="C224" s="9" t="inlineStr">
        <is>
          <t>LumReader is an R package that simulates the operation of a luminescence reader for dating applications. It actively processes synthetic and experimental luminescence data to mimic the behavior of physical reading devices, enabling researchers to test and calibrate their dating models in a controlled digital environment. This simulation tool enhances understanding of instrument performance and supports the refinement of luminescence dating methodologies in archaeological research.</t>
        </is>
      </c>
      <c r="D224" s="9" t="inlineStr">
        <is>
          <t>yes</t>
        </is>
      </c>
      <c r="E224" s="9" t="n"/>
      <c r="F224" s="9" t="inlineStr">
        <is>
          <t>Yes</t>
        </is>
      </c>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row>
    <row r="225">
      <c r="A225" s="9" t="inlineStr">
        <is>
          <t>maacgis</t>
        </is>
      </c>
      <c r="B225" s="9" t="inlineStr">
        <is>
          <t>Climate Response and Virginia Archaeology: Maps from Different Points of View</t>
        </is>
      </c>
      <c r="C225" s="9" t="inlineStr">
        <is>
          <t>maacgis is a software tool that generates and compares maps related to climate response and archaeology in Virginia. It actively processes spatial datasets to produce multiple map visualizations from different perspectives, enabling researchers to analyze the interplay between environmental factors and archaeological site distribution.</t>
        </is>
      </c>
      <c r="D225" s="9" t="inlineStr">
        <is>
          <t>yes</t>
        </is>
      </c>
      <c r="E225" s="9" t="n"/>
      <c r="F225" s="9" t="inlineStr">
        <is>
          <t>Yes</t>
        </is>
      </c>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row>
    <row r="226">
      <c r="A226" s="9" t="inlineStr">
        <is>
          <t>mafa</t>
        </is>
      </c>
      <c r="B226" s="9" t="inlineStr">
        <is>
          <t>Computes morphological indices of spatial entities (e.g. parcels, buildings).</t>
        </is>
      </c>
      <c r="C226" s="9" t="inlineStr">
        <is>
          <t>mafa is an R package that computes morphological indices for spatial entities such as parcels and buildings. It processes geospatial data to extract shape characteristics, enabling researchers to perform detailed morphological analyses and comparative studies in archaeological and architectural contexts.</t>
        </is>
      </c>
      <c r="D226" s="9" t="inlineStr">
        <is>
          <t>yes</t>
        </is>
      </c>
      <c r="E226" s="9" t="n"/>
      <c r="F226" s="9" t="inlineStr">
        <is>
          <t>Yes</t>
        </is>
      </c>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row>
    <row r="227">
      <c r="A227" s="9" t="inlineStr">
        <is>
          <t>magAAR</t>
        </is>
      </c>
      <c r="B227" s="9" t="inlineStr">
        <is>
          <t>Analyse geomagnetic data from archaeological context</t>
        </is>
      </c>
      <c r="C227" s="9" t="inlineStr">
        <is>
          <t>magAAR is an R package developed to analyze geomagnetic data from archaeological contexts. It actively processes geophysical measurements to model magnetic field variations and correlate them with archaeological features. Through rigorous statistical analysis and visualization, magAAR aids in the interpretation of subsurface structures and site formation processes, enhancing geophysical survey analyses.</t>
        </is>
      </c>
      <c r="D227" s="9" t="inlineStr">
        <is>
          <t>yes</t>
        </is>
      </c>
      <c r="E227" s="9" t="n"/>
      <c r="F227" s="9" t="inlineStr">
        <is>
          <t>Yes</t>
        </is>
      </c>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row>
    <row r="228">
      <c r="A228" s="9" t="inlineStr">
        <is>
          <t>marbleplan</t>
        </is>
      </c>
      <c r="B228" s="9" t="inlineStr">
        <is>
          <t>Loading a Marble Plan fragment.</t>
        </is>
      </c>
      <c r="C228" s="9" t="inlineStr">
        <is>
          <t>marbleplan is a standalone software tool developed for loading and visualizing fragments of Marble Plans. It offers an interface to import and examine digital fragments, supporting the exploration of 3D modelling data in educational contexts. By facilitating the manipulation and display of complex architectural or archaeological structures, the tool aids in understanding spatial relationships and design elements, serving as a practical resource for digital visualization and 3D modelling techniques.</t>
        </is>
      </c>
      <c r="D228" s="9" t="inlineStr">
        <is>
          <t>yes</t>
        </is>
      </c>
      <c r="E228" s="9" t="n"/>
      <c r="F228" s="9" t="inlineStr">
        <is>
          <t>Yes</t>
        </is>
      </c>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row>
    <row r="229">
      <c r="A229" s="9" t="inlineStr">
        <is>
          <t>Mask_UAV</t>
        </is>
      </c>
      <c r="B229" s="9" t="inlineStr">
        <is>
          <t>Software to annotate, train, using deep learning, and segment imagery data from UAVs or other platforms.</t>
        </is>
      </c>
      <c r="C229" s="9" t="inlineStr">
        <is>
          <t>Mask_UAV is a Python-based software tool that leverages deep learning for annotating, training, and segmenting imagery data from UAVs and other platforms. It actively processes high-resolution aerial imagery to identify and delineate features of interest, streamlining spatial analysis in geoarchaeology. By automating complex image segmentation tasks, Mask_UAV enhances both the accuracy and efficiency of digital mapping and archaeological investigations.</t>
        </is>
      </c>
      <c r="D229" s="9" t="inlineStr">
        <is>
          <t>yes</t>
        </is>
      </c>
      <c r="E229" s="9" t="n"/>
      <c r="F229" s="9" t="inlineStr">
        <is>
          <t>Yes</t>
        </is>
      </c>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row>
    <row r="230">
      <c r="A230" s="9" t="inlineStr">
        <is>
          <t>MAX</t>
        </is>
      </c>
      <c r="B230" s="9" t="inlineStr">
        <is>
          <t>An online tool for the comparative analysis of museum databases.</t>
        </is>
      </c>
      <c r="C230" s="9" t="inlineStr">
        <is>
          <t>MAX is a web-based tool designed for the comparative analysis of museum databases. It actively processes museum collection data to generate interactive visualizations and comparative metrics, allowing researchers to analyze and contrast data across different institutions. By transforming raw collection records into meaningful analytical outputs, MAX supports research in museum studies and cultural heritage analysis.</t>
        </is>
      </c>
      <c r="D230" s="9" t="inlineStr">
        <is>
          <t>yes</t>
        </is>
      </c>
      <c r="E230" s="9" t="n"/>
      <c r="F230" s="9" t="inlineStr">
        <is>
          <t>Yes</t>
        </is>
      </c>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row>
    <row r="231">
      <c r="A231" s="9" t="inlineStr">
        <is>
          <t>maya-calendar</t>
        </is>
      </c>
      <c r="B231" s="9" t="inlineStr">
        <is>
          <t>Tools for converting between Maya and Western calendars.</t>
        </is>
      </c>
      <c r="C231" s="9" t="inlineStr">
        <is>
          <t>maya-calendar is a standalone software tool that facilitates the conversion between Maya and Western calendar systems. It offers computational functions to accurately translate dates, enabling researchers to integrate and compare chronological data from diverse cultural traditions. By automating the conversion process, maya-calendar supports studies in ancient chronology and cultural timekeeping. Its intuitive interface and reliable algorithms make it an essential resource for archaeologists and historians seeking to reconcile temporal data from different calendar systems.</t>
        </is>
      </c>
      <c r="D231" s="9" t="inlineStr">
        <is>
          <t>yes</t>
        </is>
      </c>
      <c r="E231" s="9" t="n"/>
      <c r="F231" s="9" t="inlineStr">
        <is>
          <t>Yes</t>
        </is>
      </c>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row>
    <row r="232">
      <c r="A232" s="9" t="inlineStr">
        <is>
          <t>Mean-Ceramic-Date-and-Error-Estimation</t>
        </is>
      </c>
      <c r="B232" s="9" t="inlineStr">
        <is>
          <t>Script for calculating mean ceramic dates based on tabular data. This script also estimates sampling error using a bootstrapping procedure.</t>
        </is>
      </c>
      <c r="C232" s="9" t="inlineStr">
        <is>
          <t>Mean-Ceramic-Date-and-Error-Estimation is an R script that computes average ceramic dates from tabulated archaeological data. It employs bootstrapping techniques to estimate the associated sampling error, providing a robust statistical framework for chronological analysis. By dynamically processing input data, the script offers reliable mean date calculations that account for variability in the dataset. This tool is invaluable for archaeologists working with ceramic assemblages, as it enables more accurate temporal interpretations and supports rigorous data-driven conclusions in archaeological research.</t>
        </is>
      </c>
      <c r="D232" s="9" t="inlineStr">
        <is>
          <t>yes</t>
        </is>
      </c>
      <c r="E232" s="9" t="n"/>
      <c r="F232" s="9" t="inlineStr">
        <is>
          <t>Yes</t>
        </is>
      </c>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row>
    <row r="233">
      <c r="A233" s="9" t="inlineStr">
        <is>
          <t>meshlab</t>
        </is>
      </c>
      <c r="B233" s="9" t="inlineStr">
        <is>
          <t>These tools are meant to help you render orthographic views of 3D models for archaeological publication by simplifying, segmenting, cleaning and rendering 3D meshes.</t>
        </is>
      </c>
      <c r="C233" s="9" t="inlineStr">
        <is>
          <t>meshlab is a standalone software tool designed to process and render 3D meshes, specifically for archaeological publications. It provides functionalities for simplifying, segmenting, and cleaning 3D models, ultimately generating high-quality orthographic views. By actively processing complex mesh data, meshlab aids researchers in preparing digital models for documentation and analysis. Its robust set of tools enables efficient conversion of raw 3D scans into publication-ready visualizations, making it a vital asset in digital archaeological modeling and visualization.</t>
        </is>
      </c>
      <c r="D233" s="9" t="inlineStr">
        <is>
          <t>yes</t>
        </is>
      </c>
      <c r="E233" s="9" t="n"/>
      <c r="F233" s="9" t="inlineStr">
        <is>
          <t>Yes</t>
        </is>
      </c>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row>
    <row r="234">
      <c r="A234" s="9" t="inlineStr">
        <is>
          <t>missing</t>
        </is>
      </c>
      <c r="B234" s="9" t="inlineStr">
        <is>
          <t>You have a sequence of numbered items and want to check if any are missing.</t>
        </is>
      </c>
      <c r="C234" s="9" t="inlineStr">
        <is>
          <t>missing is a Python script that scans a sequential list of numbered items to identify any missing values. It iterates through the series, automatically detecting gaps and reporting them for further review. This lightweight tool helps ensure data completeness in archaeological inventories or other sequential datasets, thereby streamlining quality control processes.</t>
        </is>
      </c>
      <c r="D234" s="9" t="inlineStr">
        <is>
          <t>yes</t>
        </is>
      </c>
      <c r="E234" s="9" t="n"/>
      <c r="F234" s="9" t="inlineStr">
        <is>
          <t>Yes</t>
        </is>
      </c>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row>
    <row r="235">
      <c r="A235" s="9" t="inlineStr">
        <is>
          <t>mobest</t>
        </is>
      </c>
      <c r="B235" s="9" t="inlineStr">
        <is>
          <t>An R package that provides types and functions for spatiotemporal interpolation of human genetic ancestry components, probabilistic similarity search and the calculation of a derived measure for mobility estimation.</t>
        </is>
      </c>
      <c r="C235" s="9" t="inlineStr">
        <is>
          <t>mobest is an R package crafted for the spatiotemporal interpolation of human genetic ancestry components. It offers functions for probabilistic similarity searches and calculates derived mobility measures, enabling researchers to analyze migration patterns and population dynamics. By integrating advanced statistical models with spatial interpolation, mobest actively processes complex genetic data to reveal insights into human mobility in archaeological contexts.</t>
        </is>
      </c>
      <c r="D235" s="9" t="inlineStr">
        <is>
          <t>yes</t>
        </is>
      </c>
      <c r="E235" s="9" t="n"/>
      <c r="F235" s="9" t="inlineStr">
        <is>
          <t>Yes</t>
        </is>
      </c>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row>
    <row r="236">
      <c r="A236" s="9" t="inlineStr">
        <is>
          <t>MoDuLAAR</t>
        </is>
      </c>
      <c r="B236" s="9" t="inlineStr">
        <is>
          <t>comprehensive toolkit designed to model and analyze racemization processes in amino acids. This project integrates data processing, dehydration analysis, racemization simulation, parameter optimization, and result visualization to provide a robust framework for studying amino acid kinetics.</t>
        </is>
      </c>
      <c r="C236" s="9" t="inlineStr">
        <is>
          <t>MoDuLAAR is a Python-based comprehensive toolkit for modeling and analyzing racemization processes in amino acids. It integrates modules for data processing, dehydration analysis, simulation, parameter optimization, and visualization, providing a robust framework for studying amino acid kinetics. This active processing approach enhances the reproducibility and precision of biochemical dating methods in palaeoproteomics.</t>
        </is>
      </c>
      <c r="D236" s="9" t="inlineStr">
        <is>
          <t>yes</t>
        </is>
      </c>
      <c r="E236" s="9" t="n"/>
      <c r="F236" s="9" t="inlineStr">
        <is>
          <t>Yes</t>
        </is>
      </c>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row>
    <row r="237">
      <c r="A237" s="9" t="inlineStr">
        <is>
          <t>morphalr</t>
        </is>
      </c>
      <c r="B237" s="9" t="inlineStr">
        <is>
          <t>Morphological analysis for archaeology.</t>
        </is>
      </c>
      <c r="C237" s="9" t="inlineStr">
        <is>
          <t>morphalr is an R package dedicated to the morphological analysis of archaeological artifacts. It offers a suite of functions to extract, quantify, and compare shape features from digital images or spatial data. By automating these analytical tasks, morphalr enables detailed typological studies and facilitates reproducible research into artifact variability and cultural transmission.</t>
        </is>
      </c>
      <c r="D237" s="9" t="inlineStr">
        <is>
          <t>yes</t>
        </is>
      </c>
      <c r="E237" s="9" t="n"/>
      <c r="F237" s="9" t="inlineStr">
        <is>
          <t>Yes</t>
        </is>
      </c>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row>
    <row r="238">
      <c r="A238" s="9" t="inlineStr">
        <is>
          <t>morphotype</t>
        </is>
      </c>
      <c r="B238" s="9" t="inlineStr">
        <is>
          <t>Provide a pipeline from shape data extraction to typological arrangement of pottery profiles.</t>
        </is>
      </c>
      <c r="C238" s="9" t="inlineStr">
        <is>
          <t>morphotype is an R package that delivers a complete pipeline for extracting shape data from pottery profiles and arranging them typologically. It processes digital images and geometric data to quantify morphological features, supporting systematic classification and comparative ceramic analysis. The automation inherent in morphotype promotes objectivity and reproducibility in typological studies, thereby advancing our understanding of pottery production and cultural exchange.</t>
        </is>
      </c>
      <c r="D238" s="9" t="inlineStr">
        <is>
          <t>yes</t>
        </is>
      </c>
      <c r="E238" s="9" t="n"/>
      <c r="F238" s="9" t="inlineStr">
        <is>
          <t>Yes</t>
        </is>
      </c>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row>
    <row r="239">
      <c r="A239" s="9" t="inlineStr">
        <is>
          <t>morphotypeShiny</t>
        </is>
      </c>
      <c r="B239" s="9" t="inlineStr">
        <is>
          <t>Shiny implementation of morphotype.</t>
        </is>
      </c>
      <c r="C239" s="9" t="inlineStr">
        <is>
          <t>morphotypeShiny is an R Shiny application that provides an interactive interface for the morphotype pipeline. It enables users to extract, visualize, and analyze shape data from pottery profiles in real time. This dynamic platform simplifies comparative analysis and typological arrangement of ceramic artifacts, enhancing user engagement and facilitating reproducible research through interactive data exploration.</t>
        </is>
      </c>
      <c r="D239" s="9" t="inlineStr">
        <is>
          <t>yes</t>
        </is>
      </c>
      <c r="E239" s="9" t="n"/>
      <c r="F239" s="9" t="inlineStr">
        <is>
          <t>Yes</t>
        </is>
      </c>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row>
    <row r="240">
      <c r="A240" s="9" t="inlineStr">
        <is>
          <t>mortAAR</t>
        </is>
      </c>
      <c r="B240" s="9" t="inlineStr">
        <is>
          <t>Analysis of Archaeological Mortality Data.</t>
        </is>
      </c>
      <c r="C240" s="9" t="inlineStr">
        <is>
          <t>mortAAR is an R package dedicated to analyzing archaeological mortality data. It actively processes demographic and osteological datasets to reveal patterns in mortality rates, age distribution, and health indicators in past populations. By applying statistical models and visualization techniques, mortAAR transforms raw mortality records into comprehensive analytical outputs, supporting in-depth bioarchaeological investigations.</t>
        </is>
      </c>
      <c r="D240" s="9" t="inlineStr">
        <is>
          <t>yes</t>
        </is>
      </c>
      <c r="E240" s="9" t="n"/>
      <c r="F240" s="9" t="inlineStr">
        <is>
          <t>Yes</t>
        </is>
      </c>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row>
    <row r="241">
      <c r="A241" s="9" t="inlineStr">
        <is>
          <t>MtreeRing</t>
        </is>
      </c>
      <c r="B241" s="9" t="inlineStr">
        <is>
          <t>A tool for automatically measuring tree-ring width using image processing techniques.</t>
        </is>
      </c>
      <c r="C241" s="9" t="inlineStr">
        <is>
          <t>MtreeRing is an R package that automates the measurement of tree-ring widths through advanced image processing. It processes scanned images of tree cores to detect ring boundaries and quantify their widths, enabling dendrochronological analyses that are essential for reconstructing past climate conditions and environmental changes in archaeological studies.</t>
        </is>
      </c>
      <c r="D241" s="9" t="inlineStr">
        <is>
          <t>yes</t>
        </is>
      </c>
      <c r="E241" s="9" t="n"/>
      <c r="F241" s="9" t="inlineStr">
        <is>
          <t>Yes</t>
        </is>
      </c>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row>
    <row r="242">
      <c r="A242" s="9" t="inlineStr">
        <is>
          <t>munsell</t>
        </is>
      </c>
      <c r="B242" s="9" t="inlineStr">
        <is>
          <t>Provides easy access to, and manipulation of, the Munsell colours</t>
        </is>
      </c>
      <c r="C242" s="9" t="inlineStr">
        <is>
          <t>munsell is an R package that offers comprehensive functions for accessing, converting, and manipulating Munsell color data. It enables researchers to standardize and visualize color values, thereby enhancing the analysis of sedimentary and artifact color data. Its dynamic capabilities support nuanced color transformations that improve the interpretability of visual outputs in archaeological studies.</t>
        </is>
      </c>
      <c r="D242" s="9" t="inlineStr">
        <is>
          <t>yes</t>
        </is>
      </c>
      <c r="E242" s="9" t="n"/>
      <c r="F242" s="9" t="inlineStr">
        <is>
          <t>Yes</t>
        </is>
      </c>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row>
    <row r="243">
      <c r="A243" s="9" t="inlineStr">
        <is>
          <t>munsell-plot.R</t>
        </is>
      </c>
      <c r="B243" s="9" t="inlineStr">
        <is>
          <t>Make a stratigraphic-style plot-schematic of sediment colour using munsell values</t>
        </is>
      </c>
      <c r="C243" s="9" t="inlineStr">
        <is>
          <t>munsell-plot.R is an R script that generates stratigraphic-style plot-schematics by mapping sediment colors using Munsell values. It actively processes input data representing sediment color measurements and transforms them into visual diagrams that highlight stratigraphic trends. This tool aids researchers in interpreting depositional environments and variations in sediment composition in both archaeological and geological studies.</t>
        </is>
      </c>
      <c r="D243" s="9" t="inlineStr">
        <is>
          <t>yes</t>
        </is>
      </c>
      <c r="E243" s="9" t="n"/>
      <c r="F243" s="9" t="inlineStr">
        <is>
          <t>Yes</t>
        </is>
      </c>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row>
    <row r="244">
      <c r="A244" s="9" t="inlineStr">
        <is>
          <t>murature</t>
        </is>
      </c>
      <c r="B244" s="9" t="inlineStr">
        <is>
          <t>This Python library was written as an help for the study of stone walls, mainly through the quantitative analysis of spatial dimensions of stones.</t>
        </is>
      </c>
      <c r="C244" s="9" t="inlineStr">
        <is>
          <t>murature is a Python library designed to assist in the quantitative analysis of stone walls. It actively processes spatial dimensions and structural measurements of stones to model and evaluate wall construction techniques, offering insights into ancient building practices.</t>
        </is>
      </c>
      <c r="D244" s="9" t="inlineStr">
        <is>
          <t>yes</t>
        </is>
      </c>
      <c r="E244" s="9" t="n"/>
      <c r="F244" s="9" t="inlineStr">
        <is>
          <t>Yes</t>
        </is>
      </c>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row>
    <row r="245">
      <c r="A245" s="9" t="inlineStr">
        <is>
          <t>NAA analytical dashboard</t>
        </is>
      </c>
      <c r="B245" s="9" t="inlineStr">
        <is>
          <t>Analytical Dashboard for conducting various analysis to group and assess groupings for Neutron Activation Analytical chemical compositional data</t>
        </is>
      </c>
      <c r="C245" s="9" t="inlineStr">
        <is>
          <t>NAA analytical dashboard is an interactive tool that provides an analytical interface for processing Neutron Activation Analysis (NAA) data. It actively processes chemical compositional data to group samples, assess clustering, and visualize results through dynamic dashboards. This tool enhances interpretative workflows by automating statistical analyses and providing clear visual outputs for NAA studies.</t>
        </is>
      </c>
      <c r="D245" s="9" t="inlineStr">
        <is>
          <t>yes</t>
        </is>
      </c>
      <c r="E245" s="9" t="n"/>
      <c r="F245" s="9" t="inlineStr">
        <is>
          <t>Yes</t>
        </is>
      </c>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row>
    <row r="246">
      <c r="A246" s="9" t="inlineStr">
        <is>
          <t>Near-Presence-Analysis</t>
        </is>
      </c>
      <c r="B246" s="9" t="inlineStr">
        <is>
          <t>R script for analyzing presence/absence data in irregularly distributed archaeological survey units.</t>
        </is>
      </c>
      <c r="C246" s="9" t="inlineStr">
        <is>
          <t>Near-Presence-Analysis is an R script developed for analyzing presence/absence data in archaeological survey units, particularly when data are irregularly distributed. It employs statistical methods to assess the spatial distribution of archaeological features, enabling researchers to detect patterns of occurrence and absence across survey areas. By providing a systematic approach to presence/absence analysis, the tool facilitates improved interpretations of site distribution and landscape use. Its application enhances the reliability of archaeological survey analyses and supports more informed decision-making in field research.</t>
        </is>
      </c>
      <c r="D246" s="9" t="inlineStr">
        <is>
          <t>yes</t>
        </is>
      </c>
      <c r="E246" s="9" t="n"/>
      <c r="F246" s="9" t="inlineStr">
        <is>
          <t>Yes</t>
        </is>
      </c>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row>
    <row r="247">
      <c r="A247" s="9" t="inlineStr">
        <is>
          <t>nearpresence</t>
        </is>
      </c>
      <c r="B247" s="9" t="inlineStr">
        <is>
          <t>Implements Near Presence Cluster Analysis, a statistical method for identifying spatial clustering within presence / absence data observed in irregularly distributed areal observation units.</t>
        </is>
      </c>
      <c r="C247" s="9" t="inlineStr">
        <is>
          <t>nearpresence is an R package that implements Near Presence Cluster Analysis to identify spatial clustering within irregularly distributed presence/absence data. By actively processing spatial datasets, it detects clusters and patterns that inform archaeological survey interpretations. This automated analytical approach enhances the rigor of spatial analyses, providing researchers with reliable insights into site distribution and landscape use.</t>
        </is>
      </c>
      <c r="D247" s="9" t="inlineStr">
        <is>
          <t>yes</t>
        </is>
      </c>
      <c r="E247" s="9" t="n"/>
      <c r="F247" s="9" t="inlineStr">
        <is>
          <t>Yes</t>
        </is>
      </c>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row>
    <row r="248">
      <c r="A248" s="9" t="inlineStr">
        <is>
          <t>neiman1995</t>
        </is>
      </c>
      <c r="B248" s="9" t="inlineStr">
        <is>
          <t>R Shiny Document - Visualizing model functions in Neimans 'Stylistic variation in evolutionary perspective' with an interactive document.</t>
        </is>
      </c>
      <c r="C248" s="9" t="inlineStr">
        <is>
          <t>neiman1995 is an interactive R Shiny document designed to visualize model functions from Neiman's work on stylistic variation in an evolutionary context. It actively processes model data to generate dynamic visualizations and interactive plots, thereby enhancing the understanding of complex statistical models and supporting educational exploration in cultural evolution.</t>
        </is>
      </c>
      <c r="D248" s="9" t="inlineStr">
        <is>
          <t>yes</t>
        </is>
      </c>
      <c r="E248" s="9" t="n"/>
      <c r="F248" s="9" t="inlineStr">
        <is>
          <t>Yes</t>
        </is>
      </c>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row>
    <row r="249">
      <c r="A249" s="9" t="inlineStr">
        <is>
          <t>neolithicR</t>
        </is>
      </c>
      <c r="B249" s="9" t="inlineStr">
        <is>
          <t>Shiny app to search and filter radiocarbon dates from various source databases, based on the R package c14bazAAR.</t>
        </is>
      </c>
      <c r="C249" s="9" t="inlineStr">
        <is>
          <t>neolithicR is a Shiny web application that enables users to search and filter radiocarbon dates from multiple source databases. It builds on the c14bazAAR package to dynamically process, clean, and calibrate radiocarbon data, providing interactive tools for exploring chronological datasets and refining radiocarbon analyses.</t>
        </is>
      </c>
      <c r="D249" s="9" t="inlineStr">
        <is>
          <t>yes</t>
        </is>
      </c>
      <c r="E249" s="9" t="n"/>
      <c r="F249" s="9" t="inlineStr">
        <is>
          <t>Yes</t>
        </is>
      </c>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row>
    <row r="250">
      <c r="A250" s="9" t="inlineStr">
        <is>
          <t>neonet</t>
        </is>
      </c>
      <c r="B250" s="9" t="inlineStr">
        <is>
          <t>NeoNet serves as a framework to study the transition from the Late Mesolithic to the Early Neolithic through spatio-temporal modeling of radiocarbon dates.</t>
        </is>
      </c>
      <c r="C250" s="9" t="inlineStr">
        <is>
          <t>neonet is an R package that provides a framework for spatio-temporal modeling of radiocarbon dates, facilitating the study of transitions from the Late Mesolithic to the Early Neolithic. It actively processes chronological data to model spatial and temporal patterns, thereby enhancing the resolution of prehistoric cultural transitions.</t>
        </is>
      </c>
      <c r="D250" s="9" t="inlineStr">
        <is>
          <t>yes</t>
        </is>
      </c>
      <c r="E250" s="9" t="n"/>
      <c r="F250" s="9" t="inlineStr">
        <is>
          <t>Yes</t>
        </is>
      </c>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row>
    <row r="251">
      <c r="A251" s="9" t="inlineStr">
        <is>
          <t>neotoma</t>
        </is>
      </c>
      <c r="B251" s="9" t="inlineStr">
        <is>
          <t>Programmatic R interface to the Neotoma Paleoecological Database</t>
        </is>
      </c>
      <c r="C251" s="9" t="inlineStr">
        <is>
          <t>neotoma is an R package that acts as a programmatic interface to the Neotoma Paleoecological Database. It allows researchers to query, retrieve, and analyze extensive paleoecological datasets directly within R. By automating data extraction and transformation, neotoma supports advanced analyses such as climate reconstructions and ecological modeling. Its active data processing capabilities make it an indispensable tool for integrating complex environmental data into paleoclimate and archaeological research.</t>
        </is>
      </c>
      <c r="D251" s="9" t="inlineStr">
        <is>
          <t>yes</t>
        </is>
      </c>
      <c r="E251" s="9" t="n"/>
      <c r="F251" s="9" t="inlineStr">
        <is>
          <t>Yes</t>
        </is>
      </c>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row>
    <row r="252">
      <c r="A252" s="9" t="inlineStr">
        <is>
          <t>nexus</t>
        </is>
      </c>
      <c r="B252" s="9" t="inlineStr">
        <is>
          <t>Sourcing Archaeological Materials by Chemical Composition.</t>
        </is>
      </c>
      <c r="C252" s="9" t="inlineStr">
        <is>
          <t>nexus is an R package designed for sourcing archaeological materials through the analysis of chemical composition. It provides researchers with tools to apply techniques such as X-Ray Fluorescence and Instrumental Neutron Activation Analysis to determine the provenance of artifacts. By integrating chemical data analysis into archaeological sourcing workflows, nexus facilitates the identification and classification of materials based on their elemental signatures. This active computational tool supports detailed comparative studies and enhances the accuracy of material sourcing in archaeological research.</t>
        </is>
      </c>
      <c r="D252" s="9" t="inlineStr">
        <is>
          <t>yes</t>
        </is>
      </c>
      <c r="E252" s="9" t="n"/>
      <c r="F252" s="9" t="inlineStr">
        <is>
          <t>Yes</t>
        </is>
      </c>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row>
    <row r="253">
      <c r="A253" s="9" t="inlineStr">
        <is>
          <t>nimbleCarbon</t>
        </is>
      </c>
      <c r="B253" s="9" t="inlineStr">
        <is>
          <t>The nimbleCarbon package provides utility functions and bespoke probability distributions for the Bayesian analyses of radiocarbon dates using the NIMBLE framework. The package is particularly dedicated to demographic inferences based on changing frequencies of radiocarbon dates.</t>
        </is>
      </c>
      <c r="C253" s="9" t="inlineStr">
        <is>
          <t>nimbleCarbon is an R package built on the NIMBLE framework that offers specialized functions and custom probability distributions for Bayesian analysis of radiocarbon dates. It actively processes chronological data to support demographic inferences, enabling researchers to model changes in population dynamics based on the frequency of radiocarbon measurements.</t>
        </is>
      </c>
      <c r="D253" s="9" t="inlineStr">
        <is>
          <t>yes</t>
        </is>
      </c>
      <c r="E253" s="9" t="n"/>
      <c r="F253" s="9" t="inlineStr">
        <is>
          <t>Yes</t>
        </is>
      </c>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row>
    <row r="254">
      <c r="A254" s="9" t="inlineStr">
        <is>
          <t>non-metric-trait-analysis</t>
        </is>
      </c>
      <c r="B254" s="9" t="inlineStr">
        <is>
          <t>A set of GNU Octave functions for biodistance analysis based on non-metric traits.</t>
        </is>
      </c>
      <c r="C254" s="9" t="inlineStr">
        <is>
          <t>non-metric-trait-analysis is a collection of GNU Octave functions developed for conducting biodistance analysis using non-metric traits. It provides researchers with computational methods to quantify morphological differences and analyze trait-based distances among specimens. This tool supports the statistical evaluation of biodistance, facilitating comparative studies in biological anthropology and zooarchaeology. By automating the analysis of non-metric data, non-metric-trait-analysis enhances the reproducibility and efficiency of morphological research, offering a robust framework for investigating evolutionary and functional relationships in archaeological datasets.</t>
        </is>
      </c>
      <c r="D254" s="9" t="inlineStr">
        <is>
          <t>yes</t>
        </is>
      </c>
      <c r="E254" s="9" t="n"/>
      <c r="F254" s="9" t="inlineStr">
        <is>
          <t>Yes</t>
        </is>
      </c>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row>
    <row r="255">
      <c r="A255" s="9" t="inlineStr">
        <is>
          <t>ODKArchForms</t>
        </is>
      </c>
      <c r="B255" s="9" t="inlineStr">
        <is>
          <t>Open Data Kit forms and conversion scripts used in archaeology. Including New Mexico LA Forms, photologs, etc</t>
        </is>
      </c>
      <c r="C255" s="9" t="inlineStr">
        <is>
          <t>ODKArchForms is a collection of Open Data Kit forms and conversion scripts tailored for archaeological applications. It actively processes field-collected data by converting raw form inputs into structured datasets, thereby streamlining the data collection and integration workflow in archaeological research.</t>
        </is>
      </c>
      <c r="D255" s="9" t="inlineStr">
        <is>
          <t>yes</t>
        </is>
      </c>
      <c r="E255" s="9" t="n"/>
      <c r="F255" s="9" t="inlineStr">
        <is>
          <t>Yes</t>
        </is>
      </c>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row>
    <row r="256">
      <c r="A256" s="9" t="inlineStr">
        <is>
          <t>Open History Map</t>
        </is>
      </c>
      <c r="B256" s="9" t="inlineStr">
        <is>
          <t>A web-GIS platform containing spatial historical and archaeological data.</t>
        </is>
      </c>
      <c r="C256" s="9" t="inlineStr">
        <is>
          <t>Open History Map is a web-GIS platform that offers interactive exploration of spatial historical and archaeological data. It allows users to query, visualize, and analyze georeferenced information through dynamic maps and layered interfaces. This interactive tool supports comprehensive site mapping and spatial analysis, bridging the gap between raw data and meaningful archaeological insights.</t>
        </is>
      </c>
      <c r="D256" s="9" t="inlineStr">
        <is>
          <t>yes</t>
        </is>
      </c>
      <c r="E256" s="9" t="n"/>
      <c r="F256" s="9" t="inlineStr">
        <is>
          <t>Yes</t>
        </is>
      </c>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row>
    <row r="257">
      <c r="A257" s="9" t="inlineStr">
        <is>
          <t>opencontext</t>
        </is>
      </c>
      <c r="B257" s="9" t="inlineStr">
        <is>
          <t>An R API client for the Open Context archaeological data repository.</t>
        </is>
      </c>
      <c r="C257" s="9" t="inlineStr">
        <is>
          <t>opencontext is an R package that functions as an API client for the Open Context archaeological data repository. It actively retrieves, processes, and integrates external archaeological datasets into R, facilitating dynamic analysis and visualization, and thereby enhancing collaborative research workflows.</t>
        </is>
      </c>
      <c r="D257" s="9" t="inlineStr">
        <is>
          <t>yes</t>
        </is>
      </c>
      <c r="E257" s="9" t="n"/>
      <c r="F257" s="9" t="inlineStr">
        <is>
          <t>Yes</t>
        </is>
      </c>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row>
    <row r="258">
      <c r="A258" s="9" t="inlineStr">
        <is>
          <t>OpenLidarToolbox</t>
        </is>
      </c>
      <c r="B258" s="9" t="inlineStr">
        <is>
          <t>A QGIS plug-in that provides one-step-processing of airborne LiDAR data from point cloud to LiDAR visualisations.</t>
        </is>
      </c>
      <c r="C258" s="9" t="inlineStr">
        <is>
          <t>OpenLidarToolbox is a QGIS plugin that streamlines the processing of airborne LiDAR data by converting raw point clouds into detailed visualizations. It automates complex data workflows, allowing users to rapidly generate high-quality spatial representations for analysis. This tool enhances geospatial analysis efficiency in archaeological and environmental research by providing an integrated, one-step solution within the QGIS environment.</t>
        </is>
      </c>
      <c r="D258" s="9" t="inlineStr">
        <is>
          <t>yes</t>
        </is>
      </c>
      <c r="E258" s="9" t="n"/>
      <c r="F258" s="9" t="inlineStr">
        <is>
          <t>Yes</t>
        </is>
      </c>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row>
    <row r="259">
      <c r="A259" s="9" t="inlineStr">
        <is>
          <t>osl_calibration.r</t>
        </is>
      </c>
      <c r="B259" s="9" t="inlineStr">
        <is>
          <t>osl_calibration</t>
        </is>
      </c>
      <c r="C259" s="9" t="inlineStr">
        <is>
          <t>osl_calibration.r is an R script developed for calibrating optically stimulated luminescence (OSL) dating data. It provides a set of computational routines that convert raw OSL measurements into calibrated age estimates through statistical analysis and error correction. By automating the calibration process, the script enhances data accuracy and reproducibility, making it a critical tool for researchers working on luminescence dating in archaeological contexts.</t>
        </is>
      </c>
      <c r="D259" s="9" t="inlineStr">
        <is>
          <t>yes</t>
        </is>
      </c>
      <c r="E259" s="9" t="n"/>
      <c r="F259" s="9" t="inlineStr">
        <is>
          <t>Yes</t>
        </is>
      </c>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row>
    <row r="260">
      <c r="A260" s="9" t="inlineStr">
        <is>
          <t>osteoGIS</t>
        </is>
      </c>
      <c r="B260" s="9" t="inlineStr">
        <is>
          <t>Plot data on skeletal templates quickly</t>
        </is>
      </c>
      <c r="C260" s="9" t="inlineStr">
        <is>
          <t>osteoGIS is an R package designed for rapid visualization of skeletal data on standardized templates. It actively processes osteological measurements and overlays them onto skeletal diagrams, allowing researchers to identify spatial patterns and variations in bioarchaeological collections quickly. This tool streamlines the visualization process and supports further statistical and morphological analyses in archaeological research.</t>
        </is>
      </c>
      <c r="D260" s="9" t="inlineStr">
        <is>
          <t>yes</t>
        </is>
      </c>
      <c r="E260" s="9" t="n"/>
      <c r="F260" s="9" t="inlineStr">
        <is>
          <t>Yes</t>
        </is>
      </c>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row>
    <row r="261">
      <c r="A261" s="9" t="inlineStr">
        <is>
          <t>osteometric-sorting</t>
        </is>
      </c>
      <c r="B261" s="9" t="inlineStr">
        <is>
          <t>Tools for osteometric sorting of human remains.</t>
        </is>
      </c>
      <c r="C261" s="9" t="inlineStr">
        <is>
          <t>osteometric-sorting is a collection of scripts developed for the osteometric sorting of human remains. It provides analytical tools that assist researchers in categorizing and comparing skeletal measurements, thereby supporting studies in biological anthropology and zooarchaeology. By automating the sorting process based on quantitative osteometric data, the tool enhances the accuracy and efficiency of skeletal analyses. Its application facilitates objective comparisons and contributes to a more systematic evaluation of human remains in archaeological research.</t>
        </is>
      </c>
      <c r="D261" s="9" t="inlineStr">
        <is>
          <t>yes</t>
        </is>
      </c>
      <c r="E261" s="9" t="n"/>
      <c r="F261" s="9" t="inlineStr">
        <is>
          <t>Yes</t>
        </is>
      </c>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row>
    <row r="262">
      <c r="A262" s="9" t="inlineStr">
        <is>
          <t>outliner</t>
        </is>
      </c>
      <c r="B262" s="9" t="inlineStr">
        <is>
          <t>A simple app for tracing outlines of an irregular shape and exporting the coordinates of the outline.</t>
        </is>
      </c>
      <c r="C262" s="9" t="inlineStr">
        <is>
          <t>outliner is an R application that enables users to manually trace the outlines of irregular shapes from images and export the corresponding coordinate data. It actively processes graphical input to generate digital representations of artifact outlines, supporting detailed morphometric analysis in archaeological research.</t>
        </is>
      </c>
      <c r="D262" s="9" t="inlineStr">
        <is>
          <t>yes</t>
        </is>
      </c>
      <c r="E262" s="9" t="n"/>
      <c r="F262" s="9" t="inlineStr">
        <is>
          <t>Yes</t>
        </is>
      </c>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row>
    <row r="263">
      <c r="A263" s="9" t="inlineStr">
        <is>
          <t>outlineR</t>
        </is>
      </c>
      <c r="B263" s="9" t="inlineStr">
        <is>
          <t>An R package to derive outline shapes from (multiple) artefacts on JPEG images.</t>
        </is>
      </c>
      <c r="C263" s="9" t="inlineStr">
        <is>
          <t>outlineR is an R package that automates the extraction of outline shapes from JPEG images of archaeological artifacts. It applies image processing techniques to detect and digitize object boundaries, converting visual information into quantitative shape descriptors that facilitate comparative morphometric analysis.</t>
        </is>
      </c>
      <c r="D263" s="9" t="inlineStr">
        <is>
          <t>yes</t>
        </is>
      </c>
      <c r="E263" s="9" t="n"/>
      <c r="F263" s="9" t="inlineStr">
        <is>
          <t>Yes</t>
        </is>
      </c>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row>
    <row r="264">
      <c r="A264" s="9" t="inlineStr">
        <is>
          <t>oxcAAR</t>
        </is>
      </c>
      <c r="B264" s="9" t="inlineStr">
        <is>
          <t>A collection of functions that can be used to execute OxCal from within R.</t>
        </is>
      </c>
      <c r="C264" s="9" t="inlineStr">
        <is>
          <t>oxcAAR is an R package that integrates the functionality of the OxCal radiocarbon calibration program into the R environment. It actively processes radiocarbon data by running calibration routines and transforming the results into usable formats, thereby streamlining chronological analysis and enhancing reproducibility in archaeological dating studies.</t>
        </is>
      </c>
      <c r="D264" s="9" t="inlineStr">
        <is>
          <t>yes</t>
        </is>
      </c>
      <c r="E264" s="9" t="n"/>
      <c r="F264" s="9" t="inlineStr">
        <is>
          <t>Yes</t>
        </is>
      </c>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row>
    <row r="265">
      <c r="A265" s="9" t="inlineStr">
        <is>
          <t>p2pPerm</t>
        </is>
      </c>
      <c r="B265" s="9" t="inlineStr">
        <is>
          <t>A function for retrieving metrics for resistance-resilience from rcarbon permTest objects.</t>
        </is>
      </c>
      <c r="C265" s="9" t="inlineStr">
        <is>
          <t>p2pPerm is a function designed to retrieve key metrics related to resistance and resilience from rcarbon permTest objects. It processes output data from radiocarbon permutation tests, extracting statistical parameters that aid in the interpretation of chronological variability. By automating the extraction of these metrics, p2pPerm enhances the efficiency and reproducibility of radiocarbon data analysis. This tool is particularly useful for researchers seeking to quantify temporal uncertainties and evaluate the robustness of radiocarbon-based chronological models in archaeological studies.</t>
        </is>
      </c>
      <c r="D265" s="9" t="inlineStr">
        <is>
          <t>yes</t>
        </is>
      </c>
      <c r="E265" s="9" t="n"/>
      <c r="F265" s="9" t="inlineStr">
        <is>
          <t>Yes</t>
        </is>
      </c>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row>
    <row r="266">
      <c r="A266" s="9" t="inlineStr">
        <is>
          <t>p3k14c-data-scrubbing</t>
        </is>
      </c>
      <c r="B266" s="9" t="inlineStr">
        <is>
          <t>Scrubbing program for the global archaeological radiocarbon dataset</t>
        </is>
      </c>
      <c r="C266" s="9" t="inlineStr">
        <is>
          <t>p3k14c-data-scrubbing is a Python tool created to clean and preprocess the global archaeological radiocarbon dataset. By automating the identification and correction of errors and inconsistencies, it improves the overall quality of the data for subsequent chronological modeling and calibration. This active data scrubbing process streamlines data preparation, ensuring robust and reliable chronological analyses in archaeological research.</t>
        </is>
      </c>
      <c r="D266" s="9" t="inlineStr">
        <is>
          <t>yes</t>
        </is>
      </c>
      <c r="E266" s="9" t="n"/>
      <c r="F266" s="9" t="inlineStr">
        <is>
          <t>Yes</t>
        </is>
      </c>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row>
    <row r="267">
      <c r="A267" s="9" t="inlineStr">
        <is>
          <t>paleocar</t>
        </is>
      </c>
      <c r="B267" s="9" t="inlineStr">
        <is>
          <t>An R package implementing functions to perform spatio-temporal paleoclimate reconstruction from tree-rings using the CAR (Correlation Adjusted corRelation) approach of Zuber and Strimmer.</t>
        </is>
      </c>
      <c r="C267" s="9" t="inlineStr">
        <is>
          <t>paleocar is an R package that utilizes the CAR approach to reconstruct spatio-temporal paleoclimate from tree-ring data. It actively processes dendrochronological measurements to generate climate reconstructions and visualizations, thereby supporting robust environmental modeling and contributing to our understanding of past climate dynamics in archaeological contexts.</t>
        </is>
      </c>
      <c r="D267" s="9" t="inlineStr">
        <is>
          <t>yes</t>
        </is>
      </c>
      <c r="E267" s="9" t="n"/>
      <c r="F267" s="9" t="inlineStr">
        <is>
          <t>Yes</t>
        </is>
      </c>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row>
    <row r="268">
      <c r="A268" s="9" t="inlineStr">
        <is>
          <t>paleocoreR</t>
        </is>
      </c>
      <c r="B268" s="9" t="inlineStr">
        <is>
          <t>R package for interacting with the Paleocore API</t>
        </is>
      </c>
      <c r="C268" s="9" t="inlineStr">
        <is>
          <t>paleocoreR is an R package designed to interact with the Paleocore API, enabling seamless access to paleoclimate and paleoenvironmental data. It actively processes API requests and structures returned data for further analysis, facilitating the integration of external datasets into archaeological research workflows.</t>
        </is>
      </c>
      <c r="D268" s="9" t="inlineStr">
        <is>
          <t>yes</t>
        </is>
      </c>
      <c r="E268" s="9" t="n"/>
      <c r="F268" s="9" t="inlineStr">
        <is>
          <t>Yes</t>
        </is>
      </c>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row>
    <row r="269">
      <c r="A269" s="9" t="inlineStr">
        <is>
          <t>paleofire</t>
        </is>
      </c>
      <c r="B269" s="9" t="inlineStr">
        <is>
          <t>An R package to analyse sedimentary charcoal records from the Global Charcoal Database to reconstruct past biomass burning</t>
        </is>
      </c>
      <c r="C269" s="9" t="inlineStr">
        <is>
          <t>paleofire is an R package developed to analyze sedimentary charcoal records from the Global Charcoal Database. It actively processes charcoal count and distribution data to reconstruct historical biomass burning events, offering insights into past fire regimes and environmental changes. Through integrated statistical tools and dynamic visualizations, paleofire converts raw sedimentary data into detailed models, supporting paleoclimate reconstructions and environmental studies in archaeology.</t>
        </is>
      </c>
      <c r="D269" s="9" t="inlineStr">
        <is>
          <t>yes</t>
        </is>
      </c>
      <c r="E269" s="9" t="n"/>
      <c r="F269" s="9" t="inlineStr">
        <is>
          <t>Yes</t>
        </is>
      </c>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row>
    <row r="270">
      <c r="A270" s="9" t="inlineStr">
        <is>
          <t>paleoxrf</t>
        </is>
      </c>
      <c r="B270" s="9" t="inlineStr">
        <is>
          <t>The goal of paleoxrf is to simplify reading data from Acadia's paleoenvironmental X-Ray Fluorescence laboratory</t>
        </is>
      </c>
      <c r="C270" s="9" t="inlineStr">
        <is>
          <t>paleoxrf is an R package aimed at simplifying the import and initial processing of paleoenvironmental X-Ray Fluorescence (XRF) data generated by Acadia's laboratory. It provides functions to read, parse, and organize raw XRF spectral data into structured formats suitable for further analysis. By automating data extraction, paleoxrf streamlines the preprocessing workflow for paleoenvironmental studies.</t>
        </is>
      </c>
      <c r="D270" s="9" t="inlineStr">
        <is>
          <t>yes</t>
        </is>
      </c>
      <c r="E270" s="9" t="n"/>
      <c r="F270" s="9" t="inlineStr">
        <is>
          <t>Yes</t>
        </is>
      </c>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row>
    <row r="271">
      <c r="A271" s="9" t="inlineStr">
        <is>
          <t>pastclim</t>
        </is>
      </c>
      <c r="B271" s="9" t="inlineStr">
        <is>
          <t>Methods to easily extract and manipulate palaeoclimate reconstructions for ecological and anthropological analyses.</t>
        </is>
      </c>
      <c r="C271" s="9" t="inlineStr">
        <is>
          <t>pastclim is an R package that provides methods to extract, manipulate, and analyze palaeoclimate reconstructions. It actively processes large climate datasets to integrate past environmental conditions into ecological and anthropological analyses. By automating data extraction and transformation, pastclim enhances reproducibility and facilitates robust modeling of palaeoclimate impacts on human societies.</t>
        </is>
      </c>
      <c r="D271" s="9" t="inlineStr">
        <is>
          <t>yes</t>
        </is>
      </c>
      <c r="E271" s="9" t="n"/>
      <c r="F271" s="9" t="inlineStr">
        <is>
          <t>Yes</t>
        </is>
      </c>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row>
    <row r="272">
      <c r="A272" s="9" t="inlineStr">
        <is>
          <t>pathAAR</t>
        </is>
      </c>
      <c r="B272" s="9" t="inlineStr">
        <is>
          <t>R Package to reconstruct paths using archaeological monuments, model parameters of infrastructure and evaluate those parameters, model parameters of infrastructure and evaluate those parameters.</t>
        </is>
      </c>
      <c r="C272" s="9" t="inlineStr">
        <is>
          <t>pathAAR is an R package that reconstructs ancient paths by analyzing the spatial arrangement of archaeological monuments and modeling infrastructure parameters. It actively processes spatial and statistical data to simulate likely travel routes and evaluate path characteristics in historical landscapes. By transforming raw measurements into interpretable models, pathAAR provides researchers with a dynamic tool for understanding ancient mobility and infrastructure.</t>
        </is>
      </c>
      <c r="D272" s="9" t="inlineStr">
        <is>
          <t>yes</t>
        </is>
      </c>
      <c r="E272" s="9" t="n"/>
      <c r="F272" s="9" t="inlineStr">
        <is>
          <t>Yes</t>
        </is>
      </c>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row>
    <row r="273">
      <c r="A273" s="9" t="inlineStr">
        <is>
          <t>pdf-to-nested-xml</t>
        </is>
      </c>
      <c r="B273" s="9" t="inlineStr">
        <is>
          <t>Script to convert a folder of Dutch archaeological reports (PDFs) to XML files nested by section, chapter, heading.</t>
        </is>
      </c>
      <c r="C273" s="9" t="inlineStr">
        <is>
          <t>pdf-to-nested-xml is a Python script that automates the conversion of Dutch archaeological reports in PDF format into structured XML files. By organizing content into nested hierarchies based on sections, chapters, and headings, the tool facilitates easier data extraction, archival, and analysis. This conversion process enables researchers to transform static documents into dynamic, machine-readable formats, enhancing accessibility and enabling further computational processing in digital humanities and archaeological research.</t>
        </is>
      </c>
      <c r="D273" s="9" t="inlineStr">
        <is>
          <t>yes</t>
        </is>
      </c>
      <c r="E273" s="9" t="n"/>
      <c r="F273" s="9" t="inlineStr">
        <is>
          <t>Yes</t>
        </is>
      </c>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row>
    <row r="274">
      <c r="A274" s="9" t="inlineStr">
        <is>
          <t>photogrammetry-object-scannner</t>
        </is>
      </c>
      <c r="B274" s="9" t="inlineStr">
        <is>
          <t>Created for the very-specific purpose of communicating via android with a raspberry pi running a scanner.</t>
        </is>
      </c>
      <c r="C274" s="9" t="inlineStr">
        <is>
          <t>photogrammetry-object-scannner is a standalone software tool designed to facilitate communication between an Android device and a Raspberry Pi-powered scanner for photogrammetric applications. It enables users to control and monitor scanning processes remotely, ensuring efficient data capture of objects. By actively processing scanning commands and transferring data, the tool streamlines the workflow for creating detailed 3D models from photogrammetric imagery, making it valuable for archaeological and cultural heritage documentation.</t>
        </is>
      </c>
      <c r="D274" s="9" t="inlineStr">
        <is>
          <t>yes</t>
        </is>
      </c>
      <c r="E274" s="9" t="n"/>
      <c r="F274" s="9" t="inlineStr">
        <is>
          <t>Yes</t>
        </is>
      </c>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row>
    <row r="275">
      <c r="A275" s="9" t="inlineStr">
        <is>
          <t>piwigo-3dhop</t>
        </is>
      </c>
      <c r="B275" s="9" t="inlineStr">
        <is>
          <t>Piwigo plugin for viewing 3D models using 3DHOP.</t>
        </is>
      </c>
      <c r="C275" s="9" t="inlineStr">
        <is>
          <t>piwigo-3dhop is a plugin for the Piwigo photo gallery that integrates the 3DHOP framework to display interactive 3D models. It actively processes 3D model files to generate dynamic visualizations within a web interface, thereby enhancing digital heritage presentations and enabling detailed exploration of archaeological reconstructions.</t>
        </is>
      </c>
      <c r="D275" s="9" t="inlineStr">
        <is>
          <t>yes</t>
        </is>
      </c>
      <c r="E275" s="9" t="n"/>
      <c r="F275" s="9" t="inlineStr">
        <is>
          <t>Yes</t>
        </is>
      </c>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row>
    <row r="276">
      <c r="A276" s="9" t="inlineStr">
        <is>
          <t>PLC</t>
        </is>
      </c>
      <c r="B276" s="9" t="inlineStr">
        <is>
          <t>Pure Locational Clustering.</t>
        </is>
      </c>
      <c r="C276" s="9" t="inlineStr">
        <is>
          <t>PLC, or Pure Locational Clustering, is an R script focused on performing clustering analysis based solely on geographic coordinates. It actively processes spatial data to identify natural groupings and clusters within archaeological datasets. By employing statistical algorithms, PLC reveals underlying spatial structures that might indicate patterns of site distribution or artifact deposition. This tool is designed to support research in spatial analysis, enabling archaeologists to derive meaningful interpretations of location-based data through dynamic computational methods.</t>
        </is>
      </c>
      <c r="D276" s="9" t="inlineStr">
        <is>
          <t>yes</t>
        </is>
      </c>
      <c r="E276" s="9" t="n"/>
      <c r="F276" s="9" t="inlineStr">
        <is>
          <t>Yes</t>
        </is>
      </c>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row>
    <row r="277">
      <c r="A277" s="9" t="inlineStr">
        <is>
          <t>PleistoDist</t>
        </is>
      </c>
      <c r="B277" s="9" t="inlineStr">
        <is>
          <t>Distance matrices between islands normalised over Pleistocene time.</t>
        </is>
      </c>
      <c r="C277" s="9" t="inlineStr">
        <is>
          <t>PleistoDist is a software tool designed for ArcGIS that computes distance matrices between islands, normalized over Pleistocene time. It actively processes spatial and temporal data to generate comparative distance measurements that account for historical sea-level changes and tectonic shifts. By integrating geological and archaeological parameters, PleistoDist supports more accurate reconstructions of past island configurations and human migration patterns. Its computational capabilities enhance spatial analysis and provide researchers with dynamic insights into Pleistocene-era geographical relationships.</t>
        </is>
      </c>
      <c r="D277" s="9" t="inlineStr">
        <is>
          <t>yes</t>
        </is>
      </c>
      <c r="E277" s="9" t="n"/>
      <c r="F277" s="9" t="inlineStr">
        <is>
          <t>Yes</t>
        </is>
      </c>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row>
    <row r="278">
      <c r="A278" s="9" t="inlineStr">
        <is>
          <t>PleistoDistR</t>
        </is>
      </c>
      <c r="B278" s="9" t="inlineStr">
        <is>
          <t>Distance matrices between islands normalised over Pleistocene time. A complete ground-up rebuild of PleistoDist for use with R.</t>
        </is>
      </c>
      <c r="C278" s="9" t="inlineStr">
        <is>
          <t>PleistoDistR is an R package that provides distance matrices between islands, normalized over Pleistocene time. As a complete ground-up rebuild of PleistoDist, this tool integrates spatial analysis with temporal normalization, allowing researchers to account for historical changes in sea levels and land connectivity. By actively processing geographical data, PleistoDistR facilitates the study of past human migration, island biogeography, and environmental change. Its dynamic computational framework enhances the precision of spatial reconstructions in archaeological and geoscientific research.</t>
        </is>
      </c>
      <c r="D278" s="9" t="inlineStr">
        <is>
          <t>yes</t>
        </is>
      </c>
      <c r="E278" s="9" t="n"/>
      <c r="F278" s="9" t="inlineStr">
        <is>
          <t>Yes</t>
        </is>
      </c>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row>
    <row r="279">
      <c r="A279" s="9" t="inlineStr">
        <is>
          <t>PointPattern</t>
        </is>
      </c>
      <c r="B279" s="9" t="inlineStr">
        <is>
          <t>Point Pattern Analysis.</t>
        </is>
      </c>
      <c r="C279" s="9" t="inlineStr">
        <is>
          <t>PointPattern is an R script designed to analyze spatial point patterns within archaeological datasets. It employs statistical methods to evaluate the distribution and clustering of points, such as artifact locations or site features. By dynamically processing geospatial data, the tool enables researchers to identify significant spatial patterns and anomalies. Its robust analytical framework supports the investigation of spatial relationships, providing deeper insights into the organization and dynamics of archaeological sites. This active tool is essential for detailed spatial statistical analysis in archaeological research.</t>
        </is>
      </c>
      <c r="D279" s="9" t="inlineStr">
        <is>
          <t>yes</t>
        </is>
      </c>
      <c r="E279" s="9" t="n"/>
      <c r="F279" s="9" t="inlineStr">
        <is>
          <t>Yes</t>
        </is>
      </c>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row>
    <row r="280">
      <c r="A280" s="9" t="inlineStr">
        <is>
          <t>pollen_data_processing</t>
        </is>
      </c>
      <c r="B280" s="9" t="inlineStr">
        <is>
          <t>some tools in respect to pollen data processing.</t>
        </is>
      </c>
      <c r="C280" s="9" t="inlineStr">
        <is>
          <t>pollen_data_processing is a collection of tools designed for the processing and analysis of pollen data in palaeobotanical research. It actively processes raw pollen counts and distribution data using R scripts to generate statistical summaries and visual representations. This toolkit aids researchers in detecting environmental changes and vegetation patterns over time.</t>
        </is>
      </c>
      <c r="D280" s="9" t="inlineStr">
        <is>
          <t>yes</t>
        </is>
      </c>
      <c r="E280" s="9" t="n"/>
      <c r="F280" s="9" t="inlineStr">
        <is>
          <t>Yes</t>
        </is>
      </c>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row>
    <row r="281">
      <c r="A281" s="9" t="inlineStr">
        <is>
          <t>pollencount</t>
        </is>
      </c>
      <c r="B281" s="9" t="inlineStr">
        <is>
          <t>This simulation tool aims to help students and researchers to start to see what pollen looks like under the microscope, and start to identify common pollen grains.</t>
        </is>
      </c>
      <c r="C281" s="9" t="inlineStr">
        <is>
          <t>pollencount is an R-based simulation tool that generates digital representations of pollen as seen under a microscope. It actively processes input parameters to produce simulated images, aiding both students and researchers in understanding pollen morphology and identification. This interactive approach facilitates learning and comparative analysis in palaeobotany and archaeobotany, offering a practical resource for visualizing and studying common pollen grains.</t>
        </is>
      </c>
      <c r="D281" s="9" t="inlineStr">
        <is>
          <t>yes</t>
        </is>
      </c>
      <c r="E281" s="9" t="n"/>
      <c r="F281" s="9" t="inlineStr">
        <is>
          <t>Yes</t>
        </is>
      </c>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row>
    <row r="282">
      <c r="A282" s="9" t="inlineStr">
        <is>
          <t>postAAR</t>
        </is>
      </c>
      <c r="B282" s="9" t="inlineStr">
        <is>
          <t>An automated process to detect buildings within large sets of postholes in multi-occupational sites, similar to the obsolete Windows-software 'posthole' by Irwin Scollar.</t>
        </is>
      </c>
      <c r="C282" s="9" t="inlineStr">
        <is>
          <t>postAAR is an R package that automates the detection of buildings from extensive posthole data in archaeological sites. It utilizes spatial pattern recognition to identify building outlines, transforming raw excavation data into meaningful architectural reconstructions.</t>
        </is>
      </c>
      <c r="D282" s="9" t="inlineStr">
        <is>
          <t>yes</t>
        </is>
      </c>
      <c r="E282" s="9" t="n"/>
      <c r="F282" s="9" t="inlineStr">
        <is>
          <t>Yes</t>
        </is>
      </c>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row>
    <row r="283">
      <c r="A283" s="9" t="inlineStr">
        <is>
          <t>postAAR-python</t>
        </is>
      </c>
      <c r="B283" s="9" t="inlineStr">
        <is>
          <t>Python implementation of postAAR.</t>
        </is>
      </c>
      <c r="C283" s="9" t="inlineStr">
        <is>
          <t>postAAR-python is a Python-based implementation of the postAAR tool, designed to detect architectural features within posthole datasets. It actively processes spatial data to identify and delineate building structures in multi-occupational sites, enhancing the efficiency of spatial analysis in archaeological research.</t>
        </is>
      </c>
      <c r="D283" s="9" t="inlineStr">
        <is>
          <t>yes</t>
        </is>
      </c>
      <c r="E283" s="9" t="n"/>
      <c r="F283" s="9" t="inlineStr">
        <is>
          <t>Yes</t>
        </is>
      </c>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row>
    <row r="284">
      <c r="A284" s="9" t="inlineStr">
        <is>
          <t>predictSource</t>
        </is>
      </c>
      <c r="B284" s="9" t="inlineStr">
        <is>
          <t>A package to analyze data used to determine whether samples from multiple sources can be separated, to predict the sources of samples from unknown sources, and to evaluation the validity of those predictions. Sample data can include both quantitative and qualitative data. The package includes functions for creating an analysis file from multiple files and exploratory data analysis, as well as multivariate statistical methods to determine source separation, predict sources of unknown samples, and evaluate the validity of the predictions (principal components, classification trees, and random forests).</t>
        </is>
      </c>
      <c r="C284" s="9" t="inlineStr">
        <is>
          <t>predictSource is an R package designed to analyze complex datasets to determine and predict the sources of archaeological samples. It incorporates a range of multivariate statistical techniques including principal component analysis, classification trees, and random forests. The package supports both quantitative and qualitative data, facilitating exploratory data analysis and source separation. By actively processing multiple input files, predictSource assists researchers in evaluating the validity of predicted sources, thereby enhancing the accuracy and reliability of archaeological interpretations. Its dynamic computational capabilities make it a vital tool for source attribution in archaeological studies.</t>
        </is>
      </c>
      <c r="D284" s="9" t="inlineStr">
        <is>
          <t>yes</t>
        </is>
      </c>
      <c r="E284" s="9" t="n"/>
      <c r="F284" s="9" t="inlineStr">
        <is>
          <t>Yes</t>
        </is>
      </c>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row>
    <row r="285">
      <c r="A285" s="9" t="inlineStr">
        <is>
          <t>profileAAR</t>
        </is>
      </c>
      <c r="B285" s="9" t="inlineStr">
        <is>
          <t>python qgis plugin of recexcavAAR's archprofile</t>
        </is>
      </c>
      <c r="C285" s="9" t="inlineStr">
        <is>
          <t>profileAAR is a Python-based QGIS plugin derived from recexcavAAR’s archprofile module. It actively processes excavation data to generate detailed stratigraphic profiles and cross-sectional visualizations, enhancing the analysis of spatial relationships and stratigraphic sequences at archaeological sites.</t>
        </is>
      </c>
      <c r="D285" s="9" t="inlineStr">
        <is>
          <t>yes</t>
        </is>
      </c>
      <c r="E285" s="9" t="n"/>
      <c r="F285" s="9" t="inlineStr">
        <is>
          <t>Yes</t>
        </is>
      </c>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row>
    <row r="286">
      <c r="A286" s="9" t="inlineStr">
        <is>
          <t>pXRF</t>
        </is>
      </c>
      <c r="B286" s="9" t="inlineStr">
        <is>
          <t>R package for processing pXRF data.</t>
        </is>
      </c>
      <c r="C286" s="9" t="inlineStr">
        <is>
          <t>pXRF is an R package tailored for processing and analyzing data from portable X-Ray Fluorescence (pXRF) devices. It actively transforms raw spectral data into elemental composition profiles and visualizations, streamlining the analytical workflow in archaeometry and materials research. pXRF’s computational functions ensure accurate, reproducible interpretations of pXRF measurements for archaeological sourcing and material characterization.</t>
        </is>
      </c>
      <c r="D286" s="9" t="inlineStr">
        <is>
          <t>yes</t>
        </is>
      </c>
      <c r="E286" s="9" t="n"/>
      <c r="F286" s="9" t="inlineStr">
        <is>
          <t>Yes</t>
        </is>
      </c>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row>
    <row r="287">
      <c r="A287" s="9" t="inlineStr">
        <is>
          <t>pypofatu</t>
        </is>
      </c>
      <c r="B287" s="9" t="inlineStr">
        <is>
          <t>A python package to curate Pofatu data.</t>
        </is>
      </c>
      <c r="C287" s="9" t="inlineStr">
        <is>
          <t>pypofatu is a Python package designed to curate and preprocess Pofatu data for geoarchaeological research. It actively processes raw datasets by cleaning, formatting, and organizing data to enhance usability for subsequent analyses. Through automated data curation workflows, pypofatu improves data quality and reproducibility, making it a valuable tool for researchers managing complex archaeological data collections.</t>
        </is>
      </c>
      <c r="D287" s="9" t="inlineStr">
        <is>
          <t>yes</t>
        </is>
      </c>
      <c r="E287" s="9" t="n"/>
      <c r="F287" s="9" t="inlineStr">
        <is>
          <t>Yes</t>
        </is>
      </c>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row>
    <row r="288">
      <c r="A288" s="9" t="inlineStr">
        <is>
          <t>QGIS-scripts</t>
        </is>
      </c>
      <c r="B288" s="9" t="inlineStr">
        <is>
          <t>Some scripts that could be useful for QGIS users.</t>
        </is>
      </c>
      <c r="C288" s="9" t="inlineStr">
        <is>
          <t>QGIS-scripts is a collection of Python scripts designed to extend QGIS functionality for archaeological mapping and spatial data analysis. These scripts automate various tasks including data conversion, geoprocessing, and visualization, thereby streamlining workflows and enhancing the reproducibility of geospatial analyses within the QGIS environment.</t>
        </is>
      </c>
      <c r="D288" s="9" t="inlineStr">
        <is>
          <t>yes</t>
        </is>
      </c>
      <c r="E288" s="9" t="n"/>
      <c r="F288" s="9" t="inlineStr">
        <is>
          <t>Yes</t>
        </is>
      </c>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row>
    <row r="289">
      <c r="A289" s="9" t="inlineStr">
        <is>
          <t>QGIS-topographic-networks</t>
        </is>
      </c>
      <c r="B289" s="9" t="inlineStr">
        <is>
          <t>Models relationships between elements in a terrain model, connecting pixels according to their height difference.</t>
        </is>
      </c>
      <c r="C289" s="9" t="inlineStr">
        <is>
          <t>QGIS-topographic-networks is a QGIS plugin that models relationships within a terrain by connecting pixels based on their height differences. It actively processes digital elevation data to generate network structures that reveal underlying topographic patterns. This tool transforms raw elevation information into visual networks, aiding researchers in analyzing landscape morphology and spatial connectivity in archaeological studies.</t>
        </is>
      </c>
      <c r="D289" s="9" t="inlineStr">
        <is>
          <t>yes</t>
        </is>
      </c>
      <c r="E289" s="9" t="n"/>
      <c r="F289" s="9" t="inlineStr">
        <is>
          <t>Yes</t>
        </is>
      </c>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row>
    <row r="290">
      <c r="A290" s="9" t="inlineStr">
        <is>
          <t>QGIS-visibility-analysis</t>
        </is>
      </c>
      <c r="B290" s="9" t="inlineStr">
        <is>
          <t>Calculates visible surface from a given observer point over a digital elevation model. The plugin is intended for more complex modelling, such as the depth below the visible horizon or generation of intervisibilty networks between groups of points. It is particularly performant for multiple viewshed calculations form a set of fixed points.</t>
        </is>
      </c>
      <c r="C290" s="9" t="inlineStr">
        <is>
          <t>QGIS-visibility-analysis is a robust QGIS plugin designed for advanced viewshed analysis using digital elevation models. It calculates visible surfaces from designated observer points and supports complex tasks like determining depth below the horizon and creating intervisibility networks among multiple locations. Optimized for performance, it efficiently handles numerous calculations, transforming raw elevation data into actionable visual insights for archaeological landscape studies.</t>
        </is>
      </c>
      <c r="D290" s="9" t="inlineStr">
        <is>
          <t>yes</t>
        </is>
      </c>
      <c r="E290" s="9" t="n"/>
      <c r="F290" s="9" t="inlineStr">
        <is>
          <t>Yes</t>
        </is>
      </c>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row>
    <row r="291">
      <c r="A291" s="9" t="inlineStr">
        <is>
          <t>qrcode-storage</t>
        </is>
      </c>
      <c r="B291" s="9" t="inlineStr">
        <is>
          <t>Scripts to create QR-Code images for storage boxes. Each box has an associated web page describing its content, and the QR-Code serves as a short-link from the physical object to the web page.</t>
        </is>
      </c>
      <c r="C291" s="9" t="inlineStr">
        <is>
          <t>qrcode-storage is a Python script that generates QR-Code images for storage boxes by processing input data to create unique codes that link each box to a corresponding descriptive web page. This automation bridges physical collections with digital documentation, facilitating efficient inventory management in archaeological storage.</t>
        </is>
      </c>
      <c r="D291" s="9" t="inlineStr">
        <is>
          <t>yes</t>
        </is>
      </c>
      <c r="E291" s="9" t="n"/>
      <c r="F291" s="9" t="inlineStr">
        <is>
          <t>Yes</t>
        </is>
      </c>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row>
    <row r="292">
      <c r="A292" s="9" t="inlineStr">
        <is>
          <t>quantAAR</t>
        </is>
      </c>
      <c r="B292" s="9" t="inlineStr">
        <is>
          <t>R Library for Quantitative Analysis in Archaeology.</t>
        </is>
      </c>
      <c r="C292" s="9" t="inlineStr">
        <is>
          <t>quantAAR is an advanced R library designed specifically for quantitative analysis in archaeology. It provides a comprehensive suite of statistical tools and functions that enable researchers to perform detailed data analysis on archaeological datasets. The library supports various methods for data manipulation, visualization, and hypothesis testing, thereby facilitating rigorous quantitative research in archaeology. With its active data processing capabilities, quantAAR helps transform raw archaeological data into interpretable and meaningful results, making it an essential tool for researchers looking to apply statistical methods to archaeological investigations.</t>
        </is>
      </c>
      <c r="D292" s="9" t="inlineStr">
        <is>
          <t>yes</t>
        </is>
      </c>
      <c r="E292" s="9" t="n"/>
      <c r="F292" s="9" t="inlineStr">
        <is>
          <t>Yes</t>
        </is>
      </c>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row>
    <row r="293">
      <c r="A293" s="9" t="inlineStr">
        <is>
          <t>quantatools</t>
        </is>
      </c>
      <c r="B293" s="9" t="inlineStr">
        <is>
          <t>Finding quantum in archaeological data using cosine quantogram and related statistical methods.</t>
        </is>
      </c>
      <c r="C293" s="9" t="inlineStr">
        <is>
          <t>quantatools is an R package that applies cosine quantogram and related statistical methods to identify quantal patterns within archaeological datasets. It actively processes numerical data to detect subtle shifts and recurring intervals, thereby uncovering underlying quantum phenomena in archaeological records. By automating complex statistical analyses, quantatools supports researchers in developing more nuanced chronological and cultural interpretations. Its computational framework enhances the precision of pattern detection and contributes to more robust and reproducible archaeological analyses.</t>
        </is>
      </c>
      <c r="D293" s="9" t="inlineStr">
        <is>
          <t>yes</t>
        </is>
      </c>
      <c r="E293" s="9" t="n"/>
      <c r="F293" s="9" t="inlineStr">
        <is>
          <t>Yes</t>
        </is>
      </c>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row>
    <row r="294">
      <c r="A294" s="9" t="inlineStr">
        <is>
          <t>quantum-archeo</t>
        </is>
      </c>
      <c r="B294" s="9" t="inlineStr">
        <is>
          <t>Set of quantitative tools for finding a common measurement unit (quantum) in archeological research.</t>
        </is>
      </c>
      <c r="C294" s="9" t="inlineStr">
        <is>
          <t>quantum-archeo is an R script collection that provides quantitative tools for identifying a common measurement unit—or 'quantum'—in archaeological datasets. It actively processes numerical data to detect recurring intervals and standardized metrics, supporting the establishment of uniform measurement frameworks across diverse archaeological records.</t>
        </is>
      </c>
      <c r="D294" s="9" t="inlineStr">
        <is>
          <t>yes</t>
        </is>
      </c>
      <c r="E294" s="9" t="n"/>
      <c r="F294" s="9" t="inlineStr">
        <is>
          <t>Yes</t>
        </is>
      </c>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row>
    <row r="295">
      <c r="A295" s="9" t="inlineStr">
        <is>
          <t>QuARI</t>
        </is>
      </c>
      <c r="B295" s="9" t="inlineStr">
        <is>
          <t>A database interface designed to facilitate the irregular, iterative, and non-linear workflows that are commonly employed in lithic analysis.</t>
        </is>
      </c>
      <c r="C295" s="9" t="inlineStr">
        <is>
          <t>QuARI is a script-based database interface that streamlines the complex, iterative workflows typical in lithic analysis. It actively processes and organizes lithic data, allowing researchers to perform customized queries and generate dynamic visualizations. This tool enhances analytical efficiency and supports nuanced interpretation of lithic assemblages.</t>
        </is>
      </c>
      <c r="D295" s="9" t="inlineStr">
        <is>
          <t>yes</t>
        </is>
      </c>
      <c r="E295" s="9" t="n"/>
      <c r="F295" s="9" t="inlineStr">
        <is>
          <t>Yes</t>
        </is>
      </c>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row>
    <row r="296">
      <c r="A296" s="9" t="inlineStr">
        <is>
          <t>racisminarchy</t>
        </is>
      </c>
      <c r="B296" s="9" t="inlineStr">
        <is>
          <t>Contains data and R code for our article on computational text analysis of racism in archaeology.</t>
        </is>
      </c>
      <c r="C296" s="9" t="inlineStr">
        <is>
          <t>racisminarchy is a research resource that combines curated datasets with R code to facilitate computational text analysis focused on racism in archaeology. The repository supports the systematic examination of textual data, enabling researchers to apply statistical and computational methods to identify patterns of racial bias within archaeological literature. By integrating data with analytical scripts, racisminarchy offers a framework for reproducible research and critical analysis of racism in the field, making it a valuable tool for studies in ethics and professional development in archaeology.</t>
        </is>
      </c>
      <c r="D296" s="9" t="inlineStr">
        <is>
          <t>yes</t>
        </is>
      </c>
      <c r="E296" s="9" t="n"/>
      <c r="F296" s="9" t="inlineStr">
        <is>
          <t>Yes</t>
        </is>
      </c>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row>
    <row r="297">
      <c r="A297" s="9" t="inlineStr">
        <is>
          <t>RACORD</t>
        </is>
      </c>
      <c r="B297" s="9" t="inlineStr">
        <is>
          <t>Computer-Assisted Shape Classification of Archaeological Pottery Fragments.</t>
        </is>
      </c>
      <c r="C297" s="9" t="inlineStr">
        <is>
          <t>RACORD is a script-based tool that enables the computer-assisted classification of archaeological pottery fragments. It leverages automated algorithms to analyze morphological features and systematically categorize ceramic pieces based on shape and design. By actively processing image and measurement data, RACORD enhances the objectivity and reproducibility of artefact classification, supporting detailed typological studies in ceramic analysis.</t>
        </is>
      </c>
      <c r="D297" s="9" t="inlineStr">
        <is>
          <t>yes</t>
        </is>
      </c>
      <c r="E297" s="9" t="n"/>
      <c r="F297" s="9" t="inlineStr">
        <is>
          <t>Yes</t>
        </is>
      </c>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row>
    <row r="298">
      <c r="A298" s="9" t="inlineStr">
        <is>
          <t>radiocarbon-scrapers</t>
        </is>
      </c>
      <c r="B298" s="9" t="inlineStr">
        <is>
          <t>Scrapers for public radiocarbon databases</t>
        </is>
      </c>
      <c r="C298" s="9" t="inlineStr">
        <is>
          <t>radiocarbon-scrapers is a collection of JavaScript tools designed to automatically extract data from public radiocarbon databases. It actively processes online information by scraping, parsing, and structuring radiocarbon dating records, thus facilitating the aggregation and analysis of chronological data for archaeological research.</t>
        </is>
      </c>
      <c r="D298" s="9" t="inlineStr">
        <is>
          <t>yes</t>
        </is>
      </c>
      <c r="E298" s="9" t="n"/>
      <c r="F298" s="9" t="inlineStr">
        <is>
          <t>Yes</t>
        </is>
      </c>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row>
    <row r="299">
      <c r="A299" s="9" t="inlineStr">
        <is>
          <t>radon</t>
        </is>
      </c>
      <c r="B299" s="9" t="inlineStr">
        <is>
          <t>Backend for one of the largest 14C-Database online.</t>
        </is>
      </c>
      <c r="C299" s="9" t="inlineStr">
        <is>
          <t>radon is a backend software tool designed to support one of the largest online radiocarbon databases. It actively processes and manages raw radiocarbon data by applying calibration and data transformation routines, thereby facilitating efficient data retrieval and robust chronological analysis in archaeological studies.</t>
        </is>
      </c>
      <c r="D299" s="9" t="inlineStr">
        <is>
          <t>yes</t>
        </is>
      </c>
      <c r="E299" s="9" t="n"/>
      <c r="F299" s="9" t="inlineStr">
        <is>
          <t>Yes</t>
        </is>
      </c>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row>
    <row r="300">
      <c r="A300" s="9" t="inlineStr">
        <is>
          <t>rbacon</t>
        </is>
      </c>
      <c r="B300" s="9" t="inlineStr">
        <is>
          <t>A package for Bayesian age-depth modelling of sediment cores, constrained by prior information on sedimentation rates and their variability.</t>
        </is>
      </c>
      <c r="C300" s="9" t="inlineStr">
        <is>
          <t>rbacon is an R package designed for Bayesian age-depth modeling of sediment cores. It integrates prior information on sedimentation rates to produce statistically robust chronological models. By automating the processing of stratigraphic data through Bayesian inference, rbacon enhances the accuracy and reproducibility of age estimations, making it a critical tool for reconstructing environmental and cultural timelines from sedimentary records.</t>
        </is>
      </c>
      <c r="D300" s="9" t="inlineStr">
        <is>
          <t>yes</t>
        </is>
      </c>
      <c r="E300" s="9" t="n"/>
      <c r="F300" s="9" t="inlineStr">
        <is>
          <t>Yes</t>
        </is>
      </c>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row>
    <row r="301">
      <c r="A301" s="9" t="inlineStr">
        <is>
          <t>Rcarb</t>
        </is>
      </c>
      <c r="B301" s="9" t="inlineStr">
        <is>
          <t>The R package 'RCarb' provides a collection of various R functions to model dose rates in carbonate-rich samples. The package is a translation of the 'MATLAB' program Carb by Roger P. Nathan</t>
        </is>
      </c>
      <c r="C301" s="9" t="inlineStr">
        <is>
          <t>RCarb is an R package that offers a suite of functions for modeling dose rates in carbonate-rich samples, essential for luminescence dating. Originally translated from the MATLAB program Carb by Roger P. Nathan, RCarb actively processes laboratory data to compute environmental dose rates and assess their impact on age estimates. Its computational tools enable researchers to perform detailed dose rate modeling, thereby improving the accuracy of luminescence dating in archaeological and geological studies.</t>
        </is>
      </c>
      <c r="D301" s="9" t="inlineStr">
        <is>
          <t>yes</t>
        </is>
      </c>
      <c r="E301" s="9" t="n"/>
      <c r="F301" s="9" t="inlineStr">
        <is>
          <t>Yes</t>
        </is>
      </c>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row>
    <row r="302">
      <c r="A302" s="9" t="inlineStr">
        <is>
          <t>rcarbon</t>
        </is>
      </c>
      <c r="B302" s="9" t="inlineStr">
        <is>
          <t>Methods for calibrating and analysing radiocarbon dates</t>
        </is>
      </c>
      <c r="C302" s="9" t="inlineStr">
        <is>
          <t>rcarbon is an R package that provides advanced methods for calibrating and analyzing radiocarbon dates. It actively processes radiocarbon measurement data to generate calibrated age estimates, perform chronological modeling, and identify temporal trends in archaeological datasets. Its rigorous statistical framework and integration of multiple calibration curves make rcarbon an essential tool for refining radiocarbon chronologies.</t>
        </is>
      </c>
      <c r="D302" s="9" t="inlineStr">
        <is>
          <t>yes</t>
        </is>
      </c>
      <c r="E302" s="9" t="n"/>
      <c r="F302" s="9" t="inlineStr">
        <is>
          <t>Yes</t>
        </is>
      </c>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row>
    <row r="303">
      <c r="A303" s="9" t="inlineStr">
        <is>
          <t>rdss</t>
        </is>
      </c>
      <c r="B303" s="9" t="inlineStr">
        <is>
          <t>An R package to facilitate the use of Murail et al.'s (1999) approach of sex estimation in past populations.</t>
        </is>
      </c>
      <c r="C303" s="9" t="inlineStr">
        <is>
          <t>rdss is an R package designed to implement the sex estimation methodology proposed by Murail et al. (1999). It automates the analysis of osteometric data to estimate the biological sex of individuals from archaeological populations. By transforming raw measurements into statistically derived sex estimates, rdss supports reproducible bioarchaeological research and enhances the reliability of sex estimation studies.</t>
        </is>
      </c>
      <c r="D303" s="9" t="inlineStr">
        <is>
          <t>yes</t>
        </is>
      </c>
      <c r="E303" s="9" t="n"/>
      <c r="F303" s="9" t="inlineStr">
        <is>
          <t>Yes</t>
        </is>
      </c>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row>
    <row r="304">
      <c r="A304" s="9" t="inlineStr">
        <is>
          <t>recexcavAAR</t>
        </is>
      </c>
      <c r="B304" s="9" t="inlineStr">
        <is>
          <t>R package for 3D reconstruction of archaeological excavations.</t>
        </is>
      </c>
      <c r="C304" s="9" t="inlineStr">
        <is>
          <t>recexcavAAR is an R package developed for the 3D reconstruction of archaeological excavation sites. It uses digital techniques to process excavation data and reconstruct three-dimensional models of archaeological contexts. The tool enables researchers to integrate spatial measurements, stratigraphic information, and photographic data to generate accurate 3D visualizations of excavation areas. Its active computational approach supports visualization, simulation, and analysis of complex spatial relationships, making it an essential tool for modern archaeological research focused on spatial documentation and reconstruction.</t>
        </is>
      </c>
      <c r="D304" s="9" t="inlineStr">
        <is>
          <t>yes</t>
        </is>
      </c>
      <c r="E304" s="9" t="n"/>
      <c r="F304" s="9" t="inlineStr">
        <is>
          <t>Yes</t>
        </is>
      </c>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row>
    <row r="305">
      <c r="A305" s="9" t="inlineStr">
        <is>
          <t>recmod</t>
        </is>
      </c>
      <c r="B305" s="9" t="inlineStr">
        <is>
          <t>Tools for estimating parameters for Radiocarbon-dated Event Count (REC) Models.</t>
        </is>
      </c>
      <c r="C305" s="9" t="inlineStr">
        <is>
          <t>recmod is an R package that provides tools for estimating parameters within Radiocarbon-dated Event Count (REC) Models. It actively processes radiocarbon dating data to quantify event frequencies and uncertainties, thereby supporting refined chronological analyses in archaeological research. By integrating statistical methods and computational modeling, recmod enhances the reliability of event count estimations and helps researchers develop robust temporal frameworks. Its dynamic data processing capabilities make it a crucial tool for advancing radiocarbon calibration and chronological modeling techniques.</t>
        </is>
      </c>
      <c r="D305" s="9" t="inlineStr">
        <is>
          <t>yes</t>
        </is>
      </c>
      <c r="E305" s="9" t="n"/>
      <c r="F305" s="9" t="inlineStr">
        <is>
          <t>Yes</t>
        </is>
      </c>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row>
    <row r="306">
      <c r="A306" s="9" t="inlineStr">
        <is>
          <t>rekrei</t>
        </is>
      </c>
      <c r="B306" s="9" t="inlineStr">
        <is>
          <t>Platform for crowdsourcing the digital recreation of lost heritage</t>
        </is>
      </c>
      <c r="C306" s="9" t="inlineStr">
        <is>
          <t>rekrei is a standalone software platform that leverages crowdsourcing to digitally reconstruct lost heritage. It actively processes user-submitted 3D models, images, and annotations to generate detailed digital recreations of archaeological sites and artifacts. By combining collaborative contributions with advanced rendering techniques, rekrei facilitates dynamic restoration of cultural heritage and supports both research and public engagement.</t>
        </is>
      </c>
      <c r="D306" s="9" t="inlineStr">
        <is>
          <t>yes</t>
        </is>
      </c>
      <c r="E306" s="9" t="n"/>
      <c r="F306" s="9" t="inlineStr">
        <is>
          <t>Yes</t>
        </is>
      </c>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row>
    <row r="307">
      <c r="A307" s="9" t="inlineStr">
        <is>
          <t>RGPR</t>
        </is>
      </c>
      <c r="B307" s="9" t="inlineStr">
        <is>
          <t>RGPR is a free and open-source software package to read, export, analyse, process and visualise ground-penetrating radar (GPR) data</t>
        </is>
      </c>
      <c r="C307" s="9" t="inlineStr">
        <is>
          <t>RGPR is an open-source R package designed for comprehensive analysis of ground-penetrating radar (GPR) data. It actively processes GPR datasets by reading, exporting, analyzing, and visualizing subsurface radar signals, thereby enabling the detection of buried archaeological features and supporting geophysical investigations.</t>
        </is>
      </c>
      <c r="D307" s="9" t="inlineStr">
        <is>
          <t>yes</t>
        </is>
      </c>
      <c r="E307" s="9" t="n"/>
      <c r="F307" s="9" t="inlineStr">
        <is>
          <t>Yes</t>
        </is>
      </c>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row>
    <row r="308">
      <c r="A308" s="9" t="inlineStr">
        <is>
          <t>rintchron</t>
        </is>
      </c>
      <c r="B308" s="9" t="inlineStr">
        <is>
          <t>rintchron provides an R interface to IntChron, an indexing service and exchange format for chronological data such as radiocarbon dates.</t>
        </is>
      </c>
      <c r="C308" s="9" t="inlineStr">
        <is>
          <t>rintchron is an R package that serves as an interface to IntChron, a service for indexing and exchanging chronological data. It actively processes radiocarbon and other dating information to standardize and organize chronological datasets, supporting dynamic data analysis and robust temporal modeling in archaeological research.</t>
        </is>
      </c>
      <c r="D308" s="9" t="inlineStr">
        <is>
          <t>yes</t>
        </is>
      </c>
      <c r="E308" s="9" t="n"/>
      <c r="F308" s="9" t="inlineStr">
        <is>
          <t>Yes</t>
        </is>
      </c>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row>
    <row r="309">
      <c r="A309" s="9" t="inlineStr">
        <is>
          <t>RJradiocarbon</t>
        </is>
      </c>
      <c r="B309" s="9" t="inlineStr">
        <is>
          <t>Radiocarbon calibration of multiple 14C samples using reversible jump poisson process.</t>
        </is>
      </c>
      <c r="C309" s="9" t="inlineStr">
        <is>
          <t>RJradiocarbon is an R package that calibrates multiple radiocarbon samples using a reversible jump Poisson process. It automates the application of advanced statistical methods to 14C data, enhancing the robustness and reproducibility of radiocarbon calibration in chronological modeling.</t>
        </is>
      </c>
      <c r="D309" s="9" t="inlineStr">
        <is>
          <t>yes</t>
        </is>
      </c>
      <c r="E309" s="9" t="n"/>
      <c r="F309" s="9" t="inlineStr">
        <is>
          <t>Yes</t>
        </is>
      </c>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row>
    <row r="310">
      <c r="A310" s="9" t="inlineStr">
        <is>
          <t>RLumModel</t>
        </is>
      </c>
      <c r="B310" s="9" t="inlineStr">
        <is>
          <t>Solving Ordinary Differential Equations to Understand Luminescence</t>
        </is>
      </c>
      <c r="C310" s="9" t="inlineStr">
        <is>
          <t>RLumModel is an R package that applies ordinary differential equation (ODE) solvers to simulate and understand the dynamics of luminescence in geological samples. It actively processes experimental data to model the decay and accumulation of luminescence signals, providing insights into the underlying physical processes. By offering advanced computational tools, RLumModel enhances the interpretation of luminescence dating results and supports more accurate age determinations in archaeological and geological research.</t>
        </is>
      </c>
      <c r="D310" s="9" t="inlineStr">
        <is>
          <t>yes</t>
        </is>
      </c>
      <c r="E310" s="9" t="n"/>
      <c r="F310" s="9" t="inlineStr">
        <is>
          <t>Yes</t>
        </is>
      </c>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row>
    <row r="311">
      <c r="A311" s="9" t="inlineStr">
        <is>
          <t>rock-art-radnet</t>
        </is>
      </c>
      <c r="B311" s="9" t="inlineStr">
        <is>
          <t>Rock art object detection model.</t>
        </is>
      </c>
      <c r="C311" s="9" t="inlineStr">
        <is>
          <t>rock-art-radnet is a Python package that implements a machine learning model for detecting rock art objects. It actively processes image data to identify and localize rock art elements, aiding researchers in the automated analysis of iconography. By leveraging advanced object detection techniques, the tool streamlines the identification of stylistic features and motifs in rock art imagery. Its computational approach enhances the efficiency and reproducibility of rock art analysis, supporting more objective interpretations in archaeological and iconographic research.</t>
        </is>
      </c>
      <c r="D311" s="9" t="inlineStr">
        <is>
          <t>yes</t>
        </is>
      </c>
      <c r="E311" s="9" t="n"/>
      <c r="F311" s="9" t="inlineStr">
        <is>
          <t>Yes</t>
        </is>
      </c>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row>
    <row r="312">
      <c r="A312" s="9" t="inlineStr">
        <is>
          <t>rock-art-ratopoviz</t>
        </is>
      </c>
      <c r="B312" s="9" t="inlineStr">
        <is>
          <t>Create visualizations from laserscans.</t>
        </is>
      </c>
      <c r="C312" s="9" t="inlineStr">
        <is>
          <t>rock-art-ratopoviz is a Python package that generates visualizations from laser scan data, specifically targeting rock art objects. It actively processes high-resolution 3D scan data to produce detailed visual representations that aid in the analysis and interpretation of rock art features. By converting raw laser scan inputs into interactive and informative visual outputs, the tool enhances the understanding of spatial and morphological details in rock art studies. Its dynamic visualization capabilities support advanced research in archaeological iconography and shape recognition.</t>
        </is>
      </c>
      <c r="D312" s="9" t="inlineStr">
        <is>
          <t>yes</t>
        </is>
      </c>
      <c r="E312" s="9" t="n"/>
      <c r="F312" s="9" t="inlineStr">
        <is>
          <t>Yes</t>
        </is>
      </c>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row>
    <row r="313">
      <c r="A313" s="9" t="inlineStr">
        <is>
          <t>rock-art-transfer-learning</t>
        </is>
      </c>
      <c r="B313" s="9" t="inlineStr">
        <is>
          <t>Reconstructing rock art chronology with transfer learning</t>
        </is>
      </c>
      <c r="C313" s="9" t="inlineStr">
        <is>
          <t>rock-art-transfer-learning is a Python package that utilizes transfer learning techniques to reconstruct the chronology of rock art. By adapting pre-trained machine learning models to analyze rock art imagery, the tool automates the identification of temporal markers and stylistic patterns. This innovative approach enhances the accuracy of chronological frameworks in rock art studies, integrating advanced deep learning methods into archaeological research.</t>
        </is>
      </c>
      <c r="D313" s="9" t="inlineStr">
        <is>
          <t>yes</t>
        </is>
      </c>
      <c r="E313" s="9" t="n"/>
      <c r="F313" s="9" t="inlineStr">
        <is>
          <t>Yes</t>
        </is>
      </c>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row>
    <row r="314">
      <c r="A314" s="9" t="inlineStr">
        <is>
          <t>rockart-textanalysis</t>
        </is>
      </c>
      <c r="B314" s="9" t="inlineStr">
        <is>
          <t>A text analysis program to explore online content about prehistoric rock art.</t>
        </is>
      </c>
      <c r="C314" s="9" t="inlineStr">
        <is>
          <t>rockart-textanalysis is a Python package that applies natural language processing and machine learning techniques to analyze online content related to prehistoric rock art. It actively processes textual data to identify themes, trends, and patterns, thereby enabling researchers to extract meaningful insights from digital rock art discourse and contribute to public archaeology studies.</t>
        </is>
      </c>
      <c r="D314" s="9" t="inlineStr">
        <is>
          <t>yes</t>
        </is>
      </c>
      <c r="E314" s="9" t="n"/>
      <c r="F314" s="9" t="inlineStr">
        <is>
          <t>Yes</t>
        </is>
      </c>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row>
    <row r="315">
      <c r="A315" s="9" t="inlineStr">
        <is>
          <t>roev</t>
        </is>
      </c>
      <c r="B315" s="9" t="inlineStr">
        <is>
          <t>Functions for analysing and visualizing rates of evolution.</t>
        </is>
      </c>
      <c r="C315" s="9" t="inlineStr">
        <is>
          <t>roev is an R package that provides functions for analyzing and visualizing evolutionary rates. It actively processes biological and archaeological datasets to compute growth or decline trends, enabling researchers to quantify evolutionary dynamics. The package includes tools for statistical analysis and graphical representation, facilitating clear and reproducible interpretations of evolutionary patterns. Its dynamic data processing capabilities make roev an essential resource for studies in both biological anthropology and evolutionary archaeology.</t>
        </is>
      </c>
      <c r="D315" s="9" t="inlineStr">
        <is>
          <t>yes</t>
        </is>
      </c>
      <c r="E315" s="9" t="n"/>
      <c r="F315" s="9" t="inlineStr">
        <is>
          <t>Yes</t>
        </is>
      </c>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row>
    <row r="316">
      <c r="A316" s="9" t="inlineStr">
        <is>
          <t>RoomAccum</t>
        </is>
      </c>
      <c r="B316" s="9" t="inlineStr">
        <is>
          <t>Room Accumulation Simulation ro estimate archaeological population growth rates.</t>
        </is>
      </c>
      <c r="C316" s="9" t="inlineStr">
        <is>
          <t>RoomAccum is a standalone software tool designed for simulating room accumulation as a means to estimate archaeological population growth rates. By modeling the accumulation of room structures over time, the tool provides researchers with dynamic insights into population trends and settlement patterns. It utilizes simulation techniques to generate predictive models based on archaeological data, thereby supporting more informed interpretations of demographic changes. RoomAccum offers a user-friendly interface and robust computational methods, making it a valuable resource for researchers studying cultural evolution and population dynamics in historical contexts.</t>
        </is>
      </c>
      <c r="D316" s="9" t="inlineStr">
        <is>
          <t>yes</t>
        </is>
      </c>
      <c r="E316" s="9" t="n"/>
      <c r="F316" s="9" t="inlineStr">
        <is>
          <t>Yes</t>
        </is>
      </c>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row>
    <row r="317">
      <c r="A317" s="9" t="inlineStr">
        <is>
          <t>rpaleoclim</t>
        </is>
      </c>
      <c r="B317" s="9" t="inlineStr">
        <is>
          <t>R interface for open paleoclimate data.</t>
        </is>
      </c>
      <c r="C317" s="9" t="inlineStr">
        <is>
          <t>rpaleoclim is an R package that serves as an interface to open paleoclimate databases. It actively retrieves and processes climate-related datasets, converting raw environmental data into visualizations and statistical models. This facilitates the integration of paleoclimate information into archaeological analyses and supports robust environmental reconstructions.</t>
        </is>
      </c>
      <c r="D317" s="9" t="inlineStr">
        <is>
          <t>yes</t>
        </is>
      </c>
      <c r="E317" s="9" t="n"/>
      <c r="F317" s="9" t="inlineStr">
        <is>
          <t>Yes</t>
        </is>
      </c>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row>
    <row r="318">
      <c r="A318" s="9" t="inlineStr">
        <is>
          <t>rtfact</t>
        </is>
      </c>
      <c r="B318" s="9" t="inlineStr">
        <is>
          <t>Brings together a range of methods for analysing the time series, shapes and other properties of archaeological artefacts.</t>
        </is>
      </c>
      <c r="C318" s="9" t="inlineStr">
        <is>
          <t>rtfact is an R package that integrates diverse analytical methods for studying archaeological artifacts. It actively processes time series data, morphological measurements, and other artifact properties to uncover temporal trends and shape variations. By combining statistical analysis with visualization, rtefact transforms raw artifact data into insightful metrics for comparative studies.</t>
        </is>
      </c>
      <c r="D318" s="9" t="inlineStr">
        <is>
          <t>yes</t>
        </is>
      </c>
      <c r="E318" s="9" t="n"/>
      <c r="F318" s="9" t="inlineStr">
        <is>
          <t>Yes</t>
        </is>
      </c>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row>
    <row r="319">
      <c r="A319" s="9" t="inlineStr">
        <is>
          <t>rti</t>
        </is>
      </c>
      <c r="B319" s="9" t="inlineStr">
        <is>
          <t>Series of common tols used by most Reflectance Transformation Imaging (RTI) projects, plus some custom programs to help with the workflow from the camera to the output.</t>
        </is>
      </c>
      <c r="C319" s="9" t="inlineStr">
        <is>
          <t>rti is a collection of Python scripts that streamline the Reflectance Transformation Imaging (RTI) workflow. The toolset includes common functions and custom programs designed to process and transform captured image data into high-resolution RTI files. By automating key steps from image capture to output generation, rti enhances the efficiency and accuracy of RTI projects. This active processing toolkit is essential for researchers seeking to analyze surface details and texture variations in cultural heritage objects and archaeological artifacts.</t>
        </is>
      </c>
      <c r="D319" s="9" t="inlineStr">
        <is>
          <t>yes</t>
        </is>
      </c>
      <c r="E319" s="9" t="n"/>
      <c r="F319" s="9" t="inlineStr">
        <is>
          <t>Yes</t>
        </is>
      </c>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row>
    <row r="320">
      <c r="A320" s="9" t="inlineStr">
        <is>
          <t>RTIBuilder</t>
        </is>
      </c>
      <c r="B320" s="9" t="inlineStr">
        <is>
          <t>A software interface to a set of tools that process your captured image set to produce the final RTI files. The RTIBuilder download includes the Hemispherical Harmonics (HSH) fitter to create .rti files.</t>
        </is>
      </c>
      <c r="C320" s="9" t="inlineStr">
        <is>
          <t>RTIBuilder is a standalone software interface designed to streamline the production of Reflectance Transformation Imaging (RTI) files from captured image sets. It integrates a suite of processing tools, including the Hemispherical Harmonics (HSH) fitter, to convert raw images into high-quality .rti files. By automating key processing steps, RTIBuilder simplifies the workflow for generating RTI outputs, enabling researchers to analyze surface details and textures with enhanced precision in cultural heritage documentation and archaeological photogrammetry.</t>
        </is>
      </c>
      <c r="D320" s="9" t="inlineStr">
        <is>
          <t>yes</t>
        </is>
      </c>
      <c r="E320" s="9" t="n"/>
      <c r="F320" s="9" t="inlineStr">
        <is>
          <t>Yes</t>
        </is>
      </c>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row>
    <row r="321">
      <c r="A321" s="9" t="inlineStr">
        <is>
          <t>RTIViewer</t>
        </is>
      </c>
      <c r="B321" s="9" t="inlineStr">
        <is>
          <t>Enables you to view and explore Reflectance Transformation Imaging (RTI) files at very high resolution (Polynomial Texture Maps, Hemispherical Harmonics Map, and Multiview RTI). You can view image files stored on your local file system, and remote files through HTTP.</t>
        </is>
      </c>
      <c r="C321" s="9" t="inlineStr">
        <is>
          <t>RTIViewer is a standalone software application that allows users to view and interact with high-resolution Reflectance Transformation Imaging (RTI) files. It supports various RTI formats, including Polynomial Texture Maps, Hemispherical Harmonics Maps, and Multiview RTI, enabling detailed exploration of surface textures and details. Users can load local and remote image files for dynamic visualization, making RTIViewer a valuable tool for researchers engaged in cultural heritage documentation and archaeological photogrammetry by providing an intuitive interface for in-depth surface analysis.</t>
        </is>
      </c>
      <c r="D321" s="9" t="inlineStr">
        <is>
          <t>yes</t>
        </is>
      </c>
      <c r="E321" s="9" t="n"/>
      <c r="F321" s="9" t="inlineStr">
        <is>
          <t>Yes</t>
        </is>
      </c>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row>
    <row r="322">
      <c r="A322" s="9" t="inlineStr">
        <is>
          <t>ruby-radiocarbon</t>
        </is>
      </c>
      <c r="B322" s="9" t="inlineStr">
        <is>
          <t>Ruby gem for fast radiocarbon calibration.</t>
        </is>
      </c>
      <c r="C322" s="9" t="inlineStr">
        <is>
          <t>ruby-radiocarbon is a Ruby gem that provides rapid radiocarbon calibration by processing 14C data with efficiency. It automates the application of calibration curves to convert radiocarbon ages into calendar dates, integrating seamlessly into Ruby-based workflows. This tool enhances the speed and reproducibility of chronological analyses in archaeological research.</t>
        </is>
      </c>
      <c r="D322" s="9" t="inlineStr">
        <is>
          <t>yes</t>
        </is>
      </c>
      <c r="E322" s="9" t="n"/>
      <c r="F322" s="9" t="inlineStr">
        <is>
          <t>Yes</t>
        </is>
      </c>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row>
    <row r="323">
      <c r="A323" s="9" t="inlineStr">
        <is>
          <t>rxylib</t>
        </is>
      </c>
      <c r="B323" s="9" t="inlineStr">
        <is>
          <t>R package: wrapper for the C+library xylib</t>
        </is>
      </c>
      <c r="C323" s="9" t="inlineStr">
        <is>
          <t>rxylib is an R package that acts as a wrapper for the C++ library xylib, designed to facilitate luminescence dating analysis in archaeological research. It provides a suite of computational routines that bridge the performance of C++ with the flexibility of R, enabling precise numerical computations and data processing essential for age estimation. Researchers can leverage rxylib to streamline complex calculations and improve the reproducibility of luminescence dating studies.</t>
        </is>
      </c>
      <c r="D323" s="9" t="inlineStr">
        <is>
          <t>yes</t>
        </is>
      </c>
      <c r="E323" s="9" t="n"/>
      <c r="F323" s="9" t="inlineStr">
        <is>
          <t>Yes</t>
        </is>
      </c>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row>
    <row r="324">
      <c r="A324" s="9" t="inlineStr">
        <is>
          <t>SCEM</t>
        </is>
      </c>
      <c r="B324" s="9" t="inlineStr">
        <is>
          <t>Performs the Splitting-Coalescence-Estimation Method to model birth seasonality in studies of herd animals.</t>
        </is>
      </c>
      <c r="C324" s="9" t="inlineStr">
        <is>
          <t>SCEM is an R package that implements the Splitting-Coalescence-Estimation Method to model birth seasonality in herd animals. Designed for archaeological and zooarchaeological research, it applies statistical modeling to analyze temporal reproductive patterns, thereby revealing seasonal dynamics in animal populations. By automating these complex calculations, SCEM provides researchers with robust insights into past herd behaviors, integrating advanced statistical analysis into broader archaeological studies.</t>
        </is>
      </c>
      <c r="D324" s="9" t="inlineStr">
        <is>
          <t>yes</t>
        </is>
      </c>
      <c r="E324" s="9" t="n"/>
      <c r="F324" s="9" t="inlineStr">
        <is>
          <t>Yes</t>
        </is>
      </c>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row>
    <row r="325">
      <c r="A325" s="9" t="inlineStr">
        <is>
          <t>sdsanalysis</t>
        </is>
      </c>
      <c r="B325" s="9" t="inlineStr">
        <is>
          <t>dsanalysis is the backbone of the sdsbrowser webapp, and can be employed to analyse SDS stone artefact data in R.</t>
        </is>
      </c>
      <c r="C325" s="9" t="inlineStr">
        <is>
          <t>sdsanalysis is an R package that forms the analytical core for processing SDS stone artefact data. It actively transforms raw archaeological records into detailed statistical outputs using advanced computational methods. By supporting data cleaning, transformation, and visualization, sdsanalysis enables rigorous quantitative analysis of stone artifact assemblages.</t>
        </is>
      </c>
      <c r="D325" s="9" t="inlineStr">
        <is>
          <t>yes</t>
        </is>
      </c>
      <c r="E325" s="9" t="n"/>
      <c r="F325" s="9" t="inlineStr">
        <is>
          <t>Yes</t>
        </is>
      </c>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row>
    <row r="326">
      <c r="A326" s="9" t="inlineStr">
        <is>
          <t>sdsbrowser</t>
        </is>
      </c>
      <c r="B326" s="9" t="inlineStr">
        <is>
          <t>sdsbrowser is an R Shiny WebApp developed to make the available SDS datasets (following the Systematic and Digital Documentation of Stone Artefacts recording system) more accessible. It is designed to give you a quick overview on the spatial and temporal scope of sites previously analysed with SDS and the distribution of artefacts within these sites.</t>
        </is>
      </c>
      <c r="C326" s="9" t="inlineStr">
        <is>
          <t>sdsbrowser is an interactive R Shiny web application that provides dynamic access to SDS (Systematic and Digital Documentation of Stone Artefacts) datasets. It actively processes spatial and temporal data to generate comprehensive overviews of archaeological sites, including artifact distribution patterns and site extents. Its real‐time visualization and filtering capabilities facilitate rapid data exploration.</t>
        </is>
      </c>
      <c r="D326" s="9" t="inlineStr">
        <is>
          <t>yes</t>
        </is>
      </c>
      <c r="E326" s="9" t="n"/>
      <c r="F326" s="9" t="inlineStr">
        <is>
          <t>Yes</t>
        </is>
      </c>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row>
    <row r="327">
      <c r="A327" s="9" t="inlineStr">
        <is>
          <t>SEAHORS</t>
        </is>
      </c>
      <c r="B327" s="9" t="inlineStr">
        <is>
          <t>R Shiny application that allows easy and quick exploration of the spatial distribution of archaeological objects.</t>
        </is>
      </c>
      <c r="C327" s="9" t="inlineStr">
        <is>
          <t>SEAHORS is an R Shiny application that facilitates the interactive exploration of the spatial distribution of archaeological objects. It actively processes spatial data to generate dynamic maps and visualizations, enabling users to analyze site patterns and object distributions in real-time. By providing a user-friendly interface and robust analytical tools, SEAHORS enhances the efficiency of spatial analysis in archaeological research, supporting more informed interpretations of landscape and site dynamics.</t>
        </is>
      </c>
      <c r="D327" s="9" t="inlineStr">
        <is>
          <t>yes</t>
        </is>
      </c>
      <c r="E327" s="9" t="n"/>
      <c r="F327" s="9" t="inlineStr">
        <is>
          <t>Yes</t>
        </is>
      </c>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row>
    <row r="328">
      <c r="A328" s="9" t="inlineStr">
        <is>
          <t>senscape</t>
        </is>
      </c>
      <c r="B328" s="9" t="inlineStr">
        <is>
          <t>A toolbox for modelling human perception of topography for QGIS, based on QGIS viewshed module.</t>
        </is>
      </c>
      <c r="C328" s="9" t="inlineStr">
        <is>
          <t>senscape is a QGIS toolbox that models human perception of topography by leveraging the QGIS viewshed module. It actively processes spatial data to simulate how terrain features are visually interpreted from various vantage points, offering dynamic analyses of landscape visibility. By integrating computational techniques with geospatial visualization, senscape provides researchers with valuable insights into the interplay between natural features and human observation in archaeological contexts.</t>
        </is>
      </c>
      <c r="D328" s="9" t="inlineStr">
        <is>
          <t>yes</t>
        </is>
      </c>
      <c r="E328" s="9" t="n"/>
      <c r="F328" s="9" t="inlineStr">
        <is>
          <t>Yes</t>
        </is>
      </c>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row>
    <row r="329">
      <c r="A329" s="9" t="inlineStr">
        <is>
          <t>seriation</t>
        </is>
      </c>
      <c r="B329" s="9" t="inlineStr">
        <is>
          <t>R package that provides the infrastructure for ordering objects with an implementation of several seriation/sequencing/ordination techniques to reorder matrices, dissimilarity matrices, and dendrograms (see below for a full list). Also provides (optimally) reordered heatmaps, color images and clustering visualizations like dissimilarity plots, and visual assessment of cluster tendency plots (VAT and iVAT).</t>
        </is>
      </c>
      <c r="C329" s="9" t="inlineStr">
        <is>
          <t>seriation is an R package that offers a comprehensive framework for reordering data using various seriation and ordination techniques. It actively processes matrices and dissimilarity measures to produce optimally reordered heatmaps, clustering visualizations, and dissimilarity plots. This dynamic tool supports rigorous statistical analysis and helps reveal underlying temporal or spatial patterns in archaeological datasets.</t>
        </is>
      </c>
      <c r="D329" s="9" t="inlineStr">
        <is>
          <t>yes</t>
        </is>
      </c>
      <c r="E329" s="9" t="n"/>
      <c r="F329" s="9" t="inlineStr">
        <is>
          <t>Yes</t>
        </is>
      </c>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row>
    <row r="330">
      <c r="A330" s="9" t="inlineStr">
        <is>
          <t>Seriation</t>
        </is>
      </c>
      <c r="B330" s="9" t="inlineStr">
        <is>
          <t>Algorithms, implementations, manuscripts, and test cases for iterative deterministic frequency seriation done by agglomeration.</t>
        </is>
      </c>
      <c r="C330" s="9" t="inlineStr">
        <is>
          <t>Seriation is an R package that offers a comprehensive suite of algorithms and tools for ordering objects through seriation techniques. It actively processes matrices and dissimilarity data to generate reordered heatmaps, clustering visualizations, and dissimilarity plots, thereby supporting robust statistical analysis and the interpretation of chronological sequences in archaeological data.</t>
        </is>
      </c>
      <c r="D330" s="9" t="inlineStr">
        <is>
          <t>yes</t>
        </is>
      </c>
      <c r="E330" s="9" t="n"/>
      <c r="F330" s="9" t="inlineStr">
        <is>
          <t>Yes</t>
        </is>
      </c>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row>
    <row r="331">
      <c r="A331" s="9" t="inlineStr">
        <is>
          <t>Sériation de matrice en présence/absence</t>
        </is>
      </c>
      <c r="B331" s="9" t="inlineStr">
        <is>
          <t>Excel file containing macro commands making it possible to transform a 1/0 table (presence / absence) into a graphic matrix treated by matrix permutations; it is possible to take into account the uncertain presence of a character. The instructions for use are contained in the file.</t>
        </is>
      </c>
      <c r="C331" s="9" t="inlineStr">
        <is>
          <t>Sériation de matrice en présence/absence is an Excel-based tool that uses macros to convert binary presence/absence data into graphic matrices through matrix permutation techniques. It dynamically transforms 1/0 tables into visual schematics, accounting for uncertain character presence, thereby aiding archaeologists in seriation analysis and the interpretation of artifact distribution patterns.</t>
        </is>
      </c>
      <c r="D331" s="9" t="inlineStr">
        <is>
          <t>yes</t>
        </is>
      </c>
      <c r="E331" s="9" t="n"/>
      <c r="F331" s="9" t="inlineStr">
        <is>
          <t>Yes</t>
        </is>
      </c>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row>
    <row r="332">
      <c r="A332" s="9" t="inlineStr">
        <is>
          <t>Seriographe EPPM</t>
        </is>
      </c>
      <c r="B332" s="9" t="inlineStr">
        <is>
          <t>The EPPM serograph is a graphical tool for chronological serialization of archaeological furniture counting tables.</t>
        </is>
      </c>
      <c r="C332" s="9" t="inlineStr">
        <is>
          <t>Seriographe EPPM is a graphical tool that performs chronological serialization of archaeological furniture counting tables. It actively processes numerical count data to generate serographs that visually represent temporal trends and artifact distributions. By automating the conversion of raw data into structured graphical outputs, the tool assists researchers in uncovering chronological patterns and verifying the consistency of archaeological records, making it a valuable resource for temporal studies.</t>
        </is>
      </c>
      <c r="D332" s="9" t="inlineStr">
        <is>
          <t>yes</t>
        </is>
      </c>
      <c r="E332" s="9" t="n"/>
      <c r="F332" s="9" t="inlineStr">
        <is>
          <t>Yes</t>
        </is>
      </c>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row>
    <row r="333">
      <c r="A333" s="9" t="inlineStr">
        <is>
          <t>SexEst</t>
        </is>
      </c>
      <c r="B333" s="9" t="inlineStr">
        <is>
          <t>Uses machine learning models to predict the Sex of unknown skeletons based on their cranial and postcranial measurements.</t>
        </is>
      </c>
      <c r="C333" s="9" t="inlineStr">
        <is>
          <t>SexEst is a Python package that leverages machine learning algorithms to predict the sex of unknown skeletal remains based on a range of cranial and postcranial measurements. Designed for biological anthropologists and forensic researchers, the tool actively processes input data by applying trained models to analyze morphological features and generate probabilistic sex classifications. This dynamic approach not only automates the evaluation process but also enhances accuracy and reproducibility in skeletal analysis, making it a valuable computational resource for research in human osteology and archaeological bioanthropology.</t>
        </is>
      </c>
      <c r="D333" s="9" t="inlineStr">
        <is>
          <t>yes</t>
        </is>
      </c>
      <c r="E333" s="9" t="n"/>
      <c r="F333" s="9" t="inlineStr">
        <is>
          <t>Yes</t>
        </is>
      </c>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row>
    <row r="334">
      <c r="A334" s="9" t="inlineStr">
        <is>
          <t>shapAAR</t>
        </is>
      </c>
      <c r="B334" s="9" t="inlineStr">
        <is>
          <t>This is an R package for the extraction, analysis and classification of (not only) archaeological objects derived from scanned images. Especially it aims at the analysis of the shapes/profiles of eg. ceramic vessels or arrow heads.</t>
        </is>
      </c>
      <c r="C334" s="9" t="inlineStr">
        <is>
          <t>shapAAR is an R package designed for the extraction, analysis, and classification of archaeological object shapes from scanned images. It actively processes digital images to extract morphological features and quantify shapes, particularly of ceramic vessels and arrowheads, thereby supporting refined typological and functional analyses.</t>
        </is>
      </c>
      <c r="D334" s="9" t="inlineStr">
        <is>
          <t>yes</t>
        </is>
      </c>
      <c r="E334" s="9" t="n"/>
      <c r="F334" s="9" t="inlineStr">
        <is>
          <t>Yes</t>
        </is>
      </c>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row>
    <row r="335">
      <c r="A335" s="9" t="inlineStr">
        <is>
          <t>shiny_DRAC</t>
        </is>
      </c>
      <c r="B335" s="9" t="inlineStr">
        <is>
          <t>graphical interface for DRAC</t>
        </is>
      </c>
      <c r="C335" s="9" t="inlineStr">
        <is>
          <t>shiny_DRAC is a standalone graphical interface designed for the DRAC dose rate and age calculator. Built using Shiny in R, it provides an intuitive and interactive platform for inputting radiometric data and visualizing computed dose rates and age estimates. By integrating seamlessly with DRAC-calculator, shiny_DRAC enhances the user experience and streamlines the analytical workflow, making it easier for researchers to perform luminescence dating analyses in archaeological and geological contexts.</t>
        </is>
      </c>
      <c r="D335" s="9" t="inlineStr">
        <is>
          <t>yes</t>
        </is>
      </c>
      <c r="E335" s="9" t="n"/>
      <c r="F335" s="9" t="inlineStr">
        <is>
          <t>Yes</t>
        </is>
      </c>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row>
    <row r="336">
      <c r="A336" s="9" t="inlineStr">
        <is>
          <t>shiny_Tldating</t>
        </is>
      </c>
      <c r="B336" s="9" t="inlineStr">
        <is>
          <t>Shiny app for TL dating</t>
        </is>
      </c>
      <c r="C336" s="9" t="inlineStr">
        <is>
          <t>shiny_Tldating is an interactive Shiny web application built in R for thermoluminescence (TL) dating analysis. It provides an intuitive interface for uploading and processing TL data, allowing researchers to visualize age estimates and model uncertainties in real-time. By combining dynamic data processing with user-friendly visualizations, shiny_Tldating streamlines the TL dating workflow and facilitates a deeper understanding of chronological trends in archaeological materials.</t>
        </is>
      </c>
      <c r="D336" s="9" t="inlineStr">
        <is>
          <t>yes</t>
        </is>
      </c>
      <c r="E336" s="9" t="n"/>
      <c r="F336" s="9" t="inlineStr">
        <is>
          <t>Yes</t>
        </is>
      </c>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row>
    <row r="337">
      <c r="A337" s="9" t="inlineStr">
        <is>
          <t>shkrdata</t>
        </is>
      </c>
      <c r="B337" s="9" t="inlineStr">
        <is>
          <t>Package for downloading and preparing shkr data for archaeological analysis</t>
        </is>
      </c>
      <c r="C337" s="9" t="inlineStr">
        <is>
          <t>shkrdata is an R package that automates the downloading and preprocessing of SHKR data for archaeological analysis. It actively processes raw data by retrieving, cleaning, and formatting it for subsequent analytical tasks, thereby streamlining the workflow for researchers.</t>
        </is>
      </c>
      <c r="D337" s="9" t="inlineStr">
        <is>
          <t>yes</t>
        </is>
      </c>
      <c r="E337" s="9" t="n"/>
      <c r="F337" s="9" t="inlineStr">
        <is>
          <t>Yes</t>
        </is>
      </c>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row>
    <row r="338">
      <c r="A338" s="9" t="inlineStr">
        <is>
          <t>shootpoints-web-api</t>
        </is>
      </c>
      <c r="B338" s="9" t="inlineStr">
        <is>
          <t>Back-end and middleware for the ShootPoints Web total station surveying program.</t>
        </is>
      </c>
      <c r="C338" s="9" t="inlineStr">
        <is>
          <t>shootpoints-web-api is a standalone backend and middleware component for the ShootPoints Web total station surveying program. It handles data processing, integration, and communication between the surveying hardware and the user interface. By providing robust API interfaces, the tool automates data collection, transformation, and delivery, ensuring that field measurements are accurately captured and efficiently relayed to other components of the system. Its active role in data processing and system integration makes it an essential resource for modern archaeological site mapping and surveying.</t>
        </is>
      </c>
      <c r="D338" s="9" t="inlineStr">
        <is>
          <t>yes</t>
        </is>
      </c>
      <c r="E338" s="9" t="n"/>
      <c r="F338" s="9" t="inlineStr">
        <is>
          <t>Yes</t>
        </is>
      </c>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row>
    <row r="339">
      <c r="A339" s="9" t="inlineStr">
        <is>
          <t>shootpoints-web-frontend</t>
        </is>
      </c>
      <c r="B339" s="9" t="inlineStr">
        <is>
          <t>User interface to the ShootPoints Web total station surveying program.</t>
        </is>
      </c>
      <c r="C339" s="9" t="inlineStr">
        <is>
          <t>shootpoints-web-frontend is a standalone software component that provides a user interface for the ShootPoints Web total station surveying program. It is designed to facilitate the collection and visualization of surveying data directly from the field. The interface allows users to interact with the surveying system, input measurements, and view spatial data in real-time. By streamlining the data collection process, the tool supports efficient site mapping and enhances the overall accuracy of field surveys in archaeological and geospatial research.</t>
        </is>
      </c>
      <c r="D339" s="9" t="inlineStr">
        <is>
          <t>yes</t>
        </is>
      </c>
      <c r="E339" s="9" t="n"/>
      <c r="F339" s="9" t="inlineStr">
        <is>
          <t>Yes</t>
        </is>
      </c>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row>
    <row r="340">
      <c r="A340" s="9" t="inlineStr">
        <is>
          <t>shoredate</t>
        </is>
      </c>
      <c r="B340" s="9" t="inlineStr">
        <is>
          <t>Offers methods to shoreline date Stone Age sites located along the Norwegian Skagerrak coast based on their present-day elevation and the trajectory of past relative sea-level change.</t>
        </is>
      </c>
      <c r="C340" s="9" t="inlineStr">
        <is>
          <t>shoredate is an R package that provides methods for shoreline dating of Stone Age sites along the Norwegian Skagerrak coast. It actively processes spatial and elevation data, incorporating models of past sea-level changes to estimate the relative dating of coastal sites. By integrating chronological modelling with geospatial analysis, shoredate enhances the precision of temporal interpretations in coastal archaeology and supports more nuanced reconstructions of past environmental conditions.</t>
        </is>
      </c>
      <c r="D340" s="9" t="inlineStr">
        <is>
          <t>yes</t>
        </is>
      </c>
      <c r="E340" s="9" t="n"/>
      <c r="F340" s="9" t="inlineStr">
        <is>
          <t>Yes</t>
        </is>
      </c>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row>
    <row r="341">
      <c r="A341" s="9" t="inlineStr">
        <is>
          <t>signboardr</t>
        </is>
      </c>
      <c r="B341" s="9" t="inlineStr">
        <is>
          <t>Extract text from archaeological photos containing a sign board and tag as metadata.</t>
        </is>
      </c>
      <c r="C341" s="9" t="inlineStr">
        <is>
          <t>signboardr is an R package designed to automatically extract text from archaeological photographs featuring sign boards. It employs image processing and optical character recognition (OCR) techniques to detect, extract, and tag textual content as metadata. By converting visual information into searchable digital text, signboardr facilitates the documentation and analysis of inscriptions and other sign-related features, actively supporting digital palaeography and epigraphy.</t>
        </is>
      </c>
      <c r="D341" s="9" t="inlineStr">
        <is>
          <t>yes</t>
        </is>
      </c>
      <c r="E341" s="9" t="n"/>
      <c r="F341" s="9" t="inlineStr">
        <is>
          <t>Yes</t>
        </is>
      </c>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row>
    <row r="342">
      <c r="A342" s="9" t="inlineStr">
        <is>
          <t>sindwem</t>
        </is>
      </c>
      <c r="B342" s="9" t="inlineStr">
        <is>
          <t>This R package contains exactly one function, that calculates the "sum of individual weighted means" according to a methodology that is quite common among archaeologists and was first published in 1988 by Elisabeth Fentress and Philip Perkins.</t>
        </is>
      </c>
      <c r="C342" s="9" t="inlineStr">
        <is>
          <t>sindwem is an R package developed to compute the 'sum of individual weighted means,' a method widely used in archaeological research for summarizing data. The package provides a specialized function that processes input data to generate weighted mean values, supporting the quantitative analysis of archaeological datasets. By implementing a proven methodology first introduced in 1988, sindwem assists researchers in obtaining accurate and interpretable results from complex data. Its active data processing capabilities make it a useful tool for enhancing the rigor of statistical analyses in archaeology.</t>
        </is>
      </c>
      <c r="D342" s="9" t="inlineStr">
        <is>
          <t>yes</t>
        </is>
      </c>
      <c r="E342" s="9" t="n"/>
      <c r="F342" s="9" t="inlineStr">
        <is>
          <t>Yes</t>
        </is>
      </c>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row>
    <row r="343">
      <c r="A343" s="9" t="inlineStr">
        <is>
          <t>sipontomedievale</t>
        </is>
      </c>
      <c r="B343" s="9" t="inlineStr">
        <is>
          <t>This repo contains the code for an interactive website created to illustrate historical background, findings and data of the Siponto excavation site (Manfredonia, Italy)</t>
        </is>
      </c>
      <c r="C343" s="9" t="inlineStr">
        <is>
          <t>sipontomedievale is a repository of code for an interactive website that presents the historical background, findings, and data from the Siponto excavation site in Manfredonia, Italy. It actively processes archaeological data to generate dynamic visualizations and narrative content, enhancing both scholarly analysis and public engagement.</t>
        </is>
      </c>
      <c r="D343" s="9" t="inlineStr">
        <is>
          <t>yes</t>
        </is>
      </c>
      <c r="E343" s="9" t="n"/>
      <c r="F343" s="9" t="inlineStr">
        <is>
          <t>Yes</t>
        </is>
      </c>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row>
    <row r="344">
      <c r="A344" s="9" t="inlineStr">
        <is>
          <t>sitedefinition</t>
        </is>
      </c>
      <c r="B344" s="9" t="inlineStr">
        <is>
          <t>The goal of sitedefinition is to see how feature densities might be used for site definition.</t>
        </is>
      </c>
      <c r="C344" s="9" t="inlineStr">
        <is>
          <t>sitedefinition is an R package that explores the use of feature densities for defining archaeological site boundaries. It actively processes spatial and attribute data to calculate and visualize the concentration of archaeological features, assisting researchers in delineating site cores and peripheries. This analytical approach transforms raw density measurements into actionable insights, supporting more precise site definition and spatial interpretation.</t>
        </is>
      </c>
      <c r="D344" s="9" t="inlineStr">
        <is>
          <t>yes</t>
        </is>
      </c>
      <c r="E344" s="9" t="n"/>
      <c r="F344" s="9" t="inlineStr">
        <is>
          <t>Yes</t>
        </is>
      </c>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row>
    <row r="345">
      <c r="A345" s="9" t="inlineStr">
        <is>
          <t>SiteSyncro</t>
        </is>
      </c>
      <c r="B345" s="9" t="inlineStr">
        <is>
          <t>Site-specific chronological modeling and synchronization.</t>
        </is>
      </c>
      <c r="C345" s="9" t="inlineStr">
        <is>
          <t>SiteSyncro is a Python package designed for site-specific chronological modeling and synchronization. It actively processes radiocarbon and other chronological data to align and compare timelines across archaeological sites, enhancing the precision of temporal reconstructions and facilitating cross-site analyses.</t>
        </is>
      </c>
      <c r="D345" s="9" t="inlineStr">
        <is>
          <t>yes</t>
        </is>
      </c>
      <c r="E345" s="9" t="n"/>
      <c r="F345" s="9" t="inlineStr">
        <is>
          <t>Yes</t>
        </is>
      </c>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row>
    <row r="346">
      <c r="A346" s="9" t="inlineStr">
        <is>
          <t>skeletal-sex-estimation</t>
        </is>
      </c>
      <c r="B346" s="9" t="inlineStr">
        <is>
          <t>A GNU Octave function for skeletal sex estimation.</t>
        </is>
      </c>
      <c r="C346" s="9" t="inlineStr">
        <is>
          <t>skeletal-sex-estimation is a GNU Octave function developed to assist in the estimation of skeletal sex. It employs computational algorithms to analyze morphological measurements and provide probabilistic assessments of sex based on skeletal data. This function is intended for use in biological anthropology and zooarchaeology, facilitating more objective and reproducible analyses. By automating the estimation process, skeletal-sex-estimation contributes to enhanced accuracy and efficiency in the evaluation of skeletal remains in archaeological research contexts.</t>
        </is>
      </c>
      <c r="D346" s="9" t="inlineStr">
        <is>
          <t>yes</t>
        </is>
      </c>
      <c r="E346" s="9" t="n"/>
      <c r="F346" s="9" t="inlineStr">
        <is>
          <t>Yes</t>
        </is>
      </c>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row>
    <row r="347">
      <c r="A347" s="9" t="inlineStr">
        <is>
          <t>skullanalyzer</t>
        </is>
      </c>
      <c r="B347" s="9" t="inlineStr">
        <is>
          <t>A concrete way of extracting cranial mophometric features.</t>
        </is>
      </c>
      <c r="C347" s="9" t="inlineStr">
        <is>
          <t>skullanalyzer is a script-based tool designed for the extraction of cranial morphometric features from skeletal data. It employs computational algorithms to quantify and analyze key measurements of cranial structures, aiding in the study of biological anthropology and zooarchaeology. By automating the extraction process, skullanalyzer ensures consistent and reproducible results, thereby supporting objective comparisons in cranial analysis. This tool enhances the precision of morphometric studies and contributes to a deeper understanding of cranial variation in archaeological research contexts.</t>
        </is>
      </c>
      <c r="D347" s="9" t="inlineStr">
        <is>
          <t>yes</t>
        </is>
      </c>
      <c r="E347" s="9" t="n"/>
      <c r="F347" s="9" t="inlineStr">
        <is>
          <t>Yes</t>
        </is>
      </c>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row>
    <row r="348">
      <c r="A348" s="9" t="inlineStr">
        <is>
          <t>skyscapeR</t>
        </is>
      </c>
      <c r="B348" s="9" t="inlineStr">
        <is>
          <t>An R package for data reduction, visualization and analysis in skyscape archaeology, archaeoastronomy and cultural astronomy.</t>
        </is>
      </c>
      <c r="C348" s="9" t="inlineStr">
        <is>
          <t>skyscapeR is an R package that specializes in data reduction, visualization, and analysis for skyscape archaeology and archaeoastronomy. It actively processes astronomical and archaeological datasets to reveal patterns in celestial observations and cultural interpretations, facilitating the integration of sky-related data into archaeological research.</t>
        </is>
      </c>
      <c r="D348" s="9" t="inlineStr">
        <is>
          <t>yes</t>
        </is>
      </c>
      <c r="E348" s="9" t="n"/>
      <c r="F348" s="9" t="inlineStr">
        <is>
          <t>Yes</t>
        </is>
      </c>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row>
    <row r="349">
      <c r="A349" s="9" t="inlineStr">
        <is>
          <t>soiltexture</t>
        </is>
      </c>
      <c r="B349" s="9" t="inlineStr">
        <is>
          <t>The Soil Texture Wizard is a set of R functions designed to produce texture triangles (also called texture plots, texture diagrams, texture ternary plots), classify and transform soil textures data.</t>
        </is>
      </c>
      <c r="C349" s="9" t="inlineStr">
        <is>
          <t>soiltexture is an R package, also known as the Soil Texture Wizard, which processes raw soil data to generate texture triangles, diagrams, and classifications. It transforms quantitative measurements into visual plots that illustrate soil composition, aiding in the interpretation of depositional environments and site formation processes in archaeological research.</t>
        </is>
      </c>
      <c r="D349" s="9" t="inlineStr">
        <is>
          <t>yes</t>
        </is>
      </c>
      <c r="E349" s="9" t="n"/>
      <c r="F349" s="9" t="inlineStr">
        <is>
          <t>Yes</t>
        </is>
      </c>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row>
    <row r="350">
      <c r="A350" s="9" t="inlineStr">
        <is>
          <t>sparch</t>
        </is>
      </c>
      <c r="B350" s="9" t="inlineStr">
        <is>
          <t>A set of extra utilities that extend the functionlaity provided by core packages for spatial data management and analysis in R.</t>
        </is>
      </c>
      <c r="C350" s="9" t="inlineStr">
        <is>
          <t>sparch is an R package that supplements core spatial data tools by offering additional utilities for data transformation and visualization. It actively processes geospatial datasets, streamlining tasks such as data cleaning and conversion, and thereby enhancing the overall efficiency and accuracy of spatial analyses in archaeological research.</t>
        </is>
      </c>
      <c r="D350" s="9" t="inlineStr">
        <is>
          <t>yes</t>
        </is>
      </c>
      <c r="E350" s="9" t="n"/>
      <c r="F350" s="9" t="inlineStr">
        <is>
          <t>Yes</t>
        </is>
      </c>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row>
    <row r="351">
      <c r="A351" s="9" t="inlineStr">
        <is>
          <t>SPARTAAS</t>
        </is>
      </c>
      <c r="B351" s="9" t="inlineStr">
        <is>
          <t>Statistical pattern recognition and dating using archaeological artefacts assemblages.</t>
        </is>
      </c>
      <c r="C351" s="9" t="inlineStr">
        <is>
          <t>SPARTAAS is an R package designed to apply statistical pattern recognition techniques to archaeological artefact assemblages. It assists researchers in dating and analyzing artefacts by providing robust statistical tools and algorithms tailored to archaeological datasets. The package leverages methods for identifying patterns within complex data, aiding in the chronological interpretation of artefact collections. By integrating advanced statistical analysis into archaeological research workflows, SPARTAAS enables efficient and reproducible dating methods that can be used to support broader interpretations in archaeological studies.</t>
        </is>
      </c>
      <c r="D351" s="9" t="inlineStr">
        <is>
          <t>yes</t>
        </is>
      </c>
      <c r="E351" s="9" t="n"/>
      <c r="F351" s="9" t="inlineStr">
        <is>
          <t>Yes</t>
        </is>
      </c>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row>
    <row r="352">
      <c r="A352" s="9" t="inlineStr">
        <is>
          <t>spDates</t>
        </is>
      </c>
      <c r="B352" s="9" t="inlineStr">
        <is>
          <t>Analysis of spatial gradients in radiocarbon dates.</t>
        </is>
      </c>
      <c r="C352" s="9" t="inlineStr">
        <is>
          <t>spDates is an R package that facilitates the analysis of spatial gradients in radiocarbon dates. It provides tools for assessing temporal variations across geographical regions, allowing researchers to detect and interpret spatial patterns in radiocarbon data. By applying advanced statistical methods, spDates aids in the identification of regional chronological trends and environmental influences on dating results. This tool enhances the precision of spatial-temporal analyses in archaeological research, supporting more nuanced understandings of cultural and climatic shifts over time.</t>
        </is>
      </c>
      <c r="D352" s="9" t="inlineStr">
        <is>
          <t>yes</t>
        </is>
      </c>
      <c r="E352" s="9" t="n"/>
      <c r="F352" s="9" t="inlineStr">
        <is>
          <t>Yes</t>
        </is>
      </c>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row>
    <row r="353">
      <c r="A353" s="9" t="inlineStr">
        <is>
          <t>statuAAR</t>
        </is>
      </c>
      <c r="B353" s="9" t="inlineStr">
        <is>
          <t>Estimation of human stature from long bone measurements according to several well established estimation formula.</t>
        </is>
      </c>
      <c r="C353" s="9" t="inlineStr">
        <is>
          <t>statuAAR is an R package that estimates human stature from long bone measurements using multiple established anthropometric formulas. It actively processes osteometric data to calculate stature estimates, thereby providing essential quantitative insights for bioarchaeological research.</t>
        </is>
      </c>
      <c r="D353" s="9" t="inlineStr">
        <is>
          <t>yes</t>
        </is>
      </c>
      <c r="E353" s="9" t="n"/>
      <c r="F353" s="9" t="inlineStr">
        <is>
          <t>Yes</t>
        </is>
      </c>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row>
    <row r="354">
      <c r="A354" s="9" t="inlineStr">
        <is>
          <t>stratigraphr</t>
        </is>
      </c>
      <c r="B354" s="9" t="inlineStr">
        <is>
          <t>R package for archaeological stratigraphy and chronological sequences.</t>
        </is>
      </c>
      <c r="C354" s="9" t="inlineStr">
        <is>
          <t>stratigraphr is an R package developed to analyze archaeological stratigraphy and chronological sequences. It actively processes stratigraphic data to produce visual models and diagrams that elucidate temporal relationships within excavation sites. By combining statistical analysis with dynamic visualization, stratigraphr enables effective interpretation and documentation of complex stratigraphic records.</t>
        </is>
      </c>
      <c r="D354" s="9" t="inlineStr">
        <is>
          <t>yes</t>
        </is>
      </c>
      <c r="E354" s="9" t="n"/>
      <c r="F354" s="9" t="inlineStr">
        <is>
          <t>Yes</t>
        </is>
      </c>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row>
    <row r="355">
      <c r="A355" s="9" t="inlineStr">
        <is>
          <t>SurveyeR</t>
        </is>
      </c>
      <c r="B355" s="9" t="inlineStr">
        <is>
          <t>Uses a Dirichlet process to probabilistically assess the phase of undated archaeological assemblages.</t>
        </is>
      </c>
      <c r="C355" s="9" t="inlineStr">
        <is>
          <t>SurveyeR is an R package that utilizes a Dirichlet process to probabilistically determine the phase of undated archaeological assemblages. It actively processes categorical and temporal data to assign phases, thereby enhancing the objectivity and reproducibility of seriation and temporal analyses.</t>
        </is>
      </c>
      <c r="D355" s="9" t="inlineStr">
        <is>
          <t>yes</t>
        </is>
      </c>
      <c r="E355" s="9" t="n"/>
      <c r="F355" s="9" t="inlineStr">
        <is>
          <t>Yes</t>
        </is>
      </c>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row>
    <row r="356">
      <c r="A356" s="9" t="inlineStr">
        <is>
          <t>synthkat</t>
        </is>
      </c>
      <c r="B356" s="9" t="inlineStr">
        <is>
          <t>Synthetic Categories for Archaeological Vessel Comparison.</t>
        </is>
      </c>
      <c r="C356" s="9" t="inlineStr">
        <is>
          <t>synthkat is a Python tool that generates synthetic categories for the comparative analysis of archaeological vessels. It actively processes quantitative measurements and categorical data to classify ceramic artifacts into distinct groups, aiding in the identification of functional and stylistic trends in vessel typology.</t>
        </is>
      </c>
      <c r="D356" s="9" t="inlineStr">
        <is>
          <t>yes</t>
        </is>
      </c>
      <c r="E356" s="9" t="n"/>
      <c r="F356" s="9" t="inlineStr">
        <is>
          <t>Yes</t>
        </is>
      </c>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row>
    <row r="357">
      <c r="A357" s="9" t="inlineStr">
        <is>
          <t>tabula</t>
        </is>
      </c>
      <c r="B357" s="9" t="inlineStr">
        <is>
          <t>Analysis, Seriation and Visualization of Archaeological Count Data.</t>
        </is>
      </c>
      <c r="C357" s="9" t="inlineStr">
        <is>
          <t>tabula is a specialized software package built in R that provides robust tools for analyzing, seriating, and visualizing count data in archaeology. It offers researchers advanced methods for reordering data matrices to reveal chronological or spatial patterns, thereby enhancing data interpretation. Developed with research-oriented functionalities, tabula integrates statistical analysis with clear graphical outputs, making it easier to identify trends and correlations in complex archaeological datasets. This tool is essential for archaeologists who require dynamic data processing capabilities to derive meaningful insights from count data.</t>
        </is>
      </c>
      <c r="D357" s="9" t="inlineStr">
        <is>
          <t>yes</t>
        </is>
      </c>
      <c r="E357" s="9" t="n"/>
      <c r="F357" s="9" t="inlineStr">
        <is>
          <t>Yes</t>
        </is>
      </c>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row>
    <row r="358">
      <c r="A358" s="9" t="inlineStr">
        <is>
          <t>Tachy2GIS</t>
        </is>
      </c>
      <c r="B358" s="9" t="inlineStr">
        <is>
          <t>Enables you to create geometries directly from tachymeter input while at the same time adding vertices manually.</t>
        </is>
      </c>
      <c r="C358" s="9" t="inlineStr">
        <is>
          <t>Tachy2GIS is a standalone software tool that facilitates the creation of spatial geometries directly from tachymeter input. It allows users to seamlessly integrate automated data capture with manual adjustments by enabling the addition of vertices. Designed with archaeologists in mind, Tachy2GIS supports precise mapping and surveying tasks by converting raw measurement data into structured geometries. Its interactive features promote accurate spatial data collection, making it an essential tool for archaeological site documentation and geospatial analysis.</t>
        </is>
      </c>
      <c r="D358" s="9" t="inlineStr">
        <is>
          <t>yes</t>
        </is>
      </c>
      <c r="E358" s="9" t="n"/>
      <c r="F358" s="9" t="inlineStr">
        <is>
          <t>Yes</t>
        </is>
      </c>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row>
    <row r="359">
      <c r="A359" s="9" t="inlineStr">
        <is>
          <t>Tachy2GIS_arch</t>
        </is>
      </c>
      <c r="B359" s="9" t="inlineStr">
        <is>
          <t>QGIS plugin for documentation of archaeological features using Tachy2GIS.</t>
        </is>
      </c>
      <c r="C359" s="9" t="inlineStr">
        <is>
          <t>Tachy2GIS_arch is a QGIS plugin designed to document archaeological features by integrating with the Tachy2GIS system. This tool enables users to capture, record, and visualize spatial data directly within the QGIS environment, thereby enhancing site mapping and documentation workflows. By automating the collection and organization of archaeological feature data, Tachy2GIS_arch supports detailed spatial analysis and promotes more accurate recording of archaeological sites. Its seamless integration with QGIS makes it a valuable asset for field surveys and geospatial research in archaeology.</t>
        </is>
      </c>
      <c r="D359" s="9" t="inlineStr">
        <is>
          <t>yes</t>
        </is>
      </c>
      <c r="E359" s="9" t="n"/>
      <c r="F359" s="9" t="inlineStr">
        <is>
          <t>Yes</t>
        </is>
      </c>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row>
    <row r="360">
      <c r="A360" s="9" t="inlineStr">
        <is>
          <t>tdar</t>
        </is>
      </c>
      <c r="B360" s="9" t="inlineStr">
        <is>
          <t>R package that allows programmatic access to the Digital Archaeological Record (tDAR), a service of Digital Antiquity.</t>
        </is>
      </c>
      <c r="C360" s="9" t="inlineStr">
        <is>
          <t>The tdar R package provides a programmatic interface to access the Digital Archaeological Record (tDAR), a repository maintained by Digital Antiquity. This package enables researchers to retrieve, analyze, and process archaeological data directly from tDAR using R. It facilitates seamless integration of tDAR data into data analysis workflows, making it easier to perform complex queries and data manipulations. With its robust API connectivity, tdar helps in automating data retrieval and enhances reproducible research in archaeology by enabling dynamic data processing.</t>
        </is>
      </c>
      <c r="D360" s="9" t="inlineStr">
        <is>
          <t>yes</t>
        </is>
      </c>
      <c r="E360" s="9" t="n"/>
      <c r="F360" s="9" t="inlineStr">
        <is>
          <t>Yes</t>
        </is>
      </c>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row>
    <row r="361">
      <c r="A361" s="9" t="inlineStr">
        <is>
          <t>teethr</t>
        </is>
      </c>
      <c r="B361" s="9" t="inlineStr">
        <is>
          <t>Calculate dental indices and lesion ratios.</t>
        </is>
      </c>
      <c r="C361" s="9" t="inlineStr">
        <is>
          <t>teethr is an R package crafted to calculate dental indices and lesion ratios from osteological data. It automates complex calculations related to dental health metrics, enabling bioarchaeologists to assess dietary patterns, health status, and developmental stages in past populations. This streamlined processing enhances analytical accuracy and reproducibility in dental morphological studies.</t>
        </is>
      </c>
      <c r="D361" s="9" t="inlineStr">
        <is>
          <t>yes</t>
        </is>
      </c>
      <c r="E361" s="9" t="n"/>
      <c r="F361" s="9" t="inlineStr">
        <is>
          <t>Yes</t>
        </is>
      </c>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row>
    <row r="362">
      <c r="A362" s="9" t="inlineStr">
        <is>
          <t>tfqar</t>
        </is>
      </c>
      <c r="B362" s="9" t="inlineStr">
        <is>
          <t>Tools for Quantitative Archaeology - in R.</t>
        </is>
      </c>
      <c r="C362" s="9" t="inlineStr">
        <is>
          <t>tfqar is an R package that provides a comprehensive suite of tools for quantitative archaeological analysis. It actively processes numerical data to perform statistical modeling, visualization, and hypothesis testing, enabling researchers to extract meaningful insights from complex datasets.</t>
        </is>
      </c>
      <c r="D362" s="9" t="inlineStr">
        <is>
          <t>yes</t>
        </is>
      </c>
      <c r="E362" s="9" t="n"/>
      <c r="F362" s="9" t="inlineStr">
        <is>
          <t>Yes</t>
        </is>
      </c>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row>
    <row r="363">
      <c r="A363" s="9" t="inlineStr">
        <is>
          <t>THANADOS</t>
        </is>
      </c>
      <c r="B363" s="9" t="inlineStr">
        <is>
          <t>An open source, web application for the presentation of archaeological data especially for burial studies.</t>
        </is>
      </c>
      <c r="C363" s="9" t="inlineStr">
        <is>
          <t>THANADOS is an open-source web application designed to present and interact with archaeological data, with a focus on burial studies. It actively processes input data to create dynamic visualizations and interactive displays, thereby aiding in the exploration and interpretation of complex burial datasets.</t>
        </is>
      </c>
      <c r="D363" s="9" t="inlineStr">
        <is>
          <t>yes</t>
        </is>
      </c>
      <c r="E363" s="9" t="n"/>
      <c r="F363" s="9" t="inlineStr">
        <is>
          <t>Yes</t>
        </is>
      </c>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row>
    <row r="364">
      <c r="A364" s="9" t="inlineStr">
        <is>
          <t>The Southwestern Taphonomic Protocol</t>
        </is>
      </c>
      <c r="B364" s="9" t="inlineStr">
        <is>
          <t>A set of analyses to control for variable taphonomic impacts on archaeological faunal datasets.</t>
        </is>
      </c>
      <c r="C364" s="9" t="inlineStr">
        <is>
          <t>The Southwestern Taphonomic Protocol (swtp) is an R package that provides a suite of analytical tools to assess and control for taphonomic bias in archaeological faunal datasets. It actively processes quantitative data to simulate taphonomic processes, standardize comparisons, and evaluate preservation effects, thereby enhancing the accuracy of zooarchaeological interpretations.</t>
        </is>
      </c>
      <c r="D364" s="9" t="inlineStr">
        <is>
          <t>yes</t>
        </is>
      </c>
      <c r="E364" s="9" t="n"/>
      <c r="F364" s="9" t="inlineStr">
        <is>
          <t>Yes</t>
        </is>
      </c>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row>
    <row r="365">
      <c r="A365" s="9" t="inlineStr">
        <is>
          <t>tidypaleo</t>
        </is>
      </c>
      <c r="B365" s="9" t="inlineStr">
        <is>
          <t>This package simplifies a few workflows when working with multi-proxy paleo-archive data</t>
        </is>
      </c>
      <c r="C365" s="9" t="inlineStr">
        <is>
          <t>tidypaleo is an R package designed to simplify workflows when handling multi-proxy paleo-archive data. It actively processes complex datasets by integrating data cleaning, transformation, and visualization routines, thereby streamlining analytical tasks and enhancing reproducibility in paleoclimate and archaeological research.</t>
        </is>
      </c>
      <c r="D365" s="9" t="inlineStr">
        <is>
          <t>yes</t>
        </is>
      </c>
      <c r="E365" s="9" t="n"/>
      <c r="F365" s="9" t="inlineStr">
        <is>
          <t>Yes</t>
        </is>
      </c>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row>
    <row r="366">
      <c r="A366" s="9" t="inlineStr">
        <is>
          <t>timeperiod2daterange</t>
        </is>
      </c>
      <c r="B366" s="9" t="inlineStr">
        <is>
          <t>Converts time period entities to standardised date ranges.</t>
        </is>
      </c>
      <c r="C366" s="9" t="inlineStr">
        <is>
          <t>timeperiod2daterange is a Python script designed to convert time period entities into standardized date ranges. It actively processes temporal data by interpreting varied time period notations and transforming them into uniform date intervals. This facilitates more consistent chronological analyses and aids researchers in comparing and integrating data from diverse historical sources. The tool streamlines the process of date standardization, enhancing the accuracy and reproducibility of chronological models in archaeological and historical research.</t>
        </is>
      </c>
      <c r="D366" s="9" t="inlineStr">
        <is>
          <t>yes</t>
        </is>
      </c>
      <c r="E366" s="9" t="n"/>
      <c r="F366" s="9" t="inlineStr">
        <is>
          <t>Yes</t>
        </is>
      </c>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row>
    <row r="367">
      <c r="A367" s="9" t="inlineStr">
        <is>
          <t>tipom</t>
        </is>
      </c>
      <c r="B367" s="9" t="inlineStr">
        <is>
          <t>TIPOM is based on a methodology that was developed in the 1960s by Bernardino Bagolini. The basic idea is to use the three simple dimensions of length, width and thickness of each lithic artefact to classify them in discrete groups and infer their function.</t>
        </is>
      </c>
      <c r="C367" s="9" t="inlineStr">
        <is>
          <t>tipom is an R package that implements a classical methodology for lithic analysis based on measurements of length, width, and thickness. It actively processes dimensional data from lithic artifacts to classify them into groups and infer their functional attributes. By automating these analyses, tipom provides a systematic approach to artifact classification, supporting detailed technological interpretations.</t>
        </is>
      </c>
      <c r="D367" s="9" t="inlineStr">
        <is>
          <t>yes</t>
        </is>
      </c>
      <c r="E367" s="9" t="n"/>
      <c r="F367" s="9" t="inlineStr">
        <is>
          <t>Yes</t>
        </is>
      </c>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row>
    <row r="368">
      <c r="A368" s="9" t="inlineStr">
        <is>
          <t>Tldating</t>
        </is>
      </c>
      <c r="B368" s="9" t="inlineStr">
        <is>
          <t>R package for TL dating</t>
        </is>
      </c>
      <c r="C368" s="9" t="inlineStr">
        <is>
          <t>TLdating is an R package dedicated to thermoluminescence dating, providing researchers with tools to analyze and interpret TL signals from archaeological samples. It actively processes raw TL data to calculate age estimates, employing statistical algorithms and correction methods to enhance accuracy. TLdating streamlines the analytical workflow in luminescence dating studies, making it easier for researchers to derive robust chronological models from thermoluminescence measurements.</t>
        </is>
      </c>
      <c r="D368" s="9" t="inlineStr">
        <is>
          <t>yes</t>
        </is>
      </c>
      <c r="E368" s="9" t="n"/>
      <c r="F368" s="9" t="inlineStr">
        <is>
          <t>Yes</t>
        </is>
      </c>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row>
    <row r="369">
      <c r="A369" s="9" t="inlineStr">
        <is>
          <t>tosca</t>
        </is>
      </c>
      <c r="B369" s="9" t="inlineStr">
        <is>
          <t>Tool for Online Seriation and Correspondence Analysis.</t>
        </is>
      </c>
      <c r="C369" s="9" t="inlineStr">
        <is>
          <t>tosca is a dedicated online tool developed in R for performing seriation and correspondence analysis within archaeological research. It enables researchers to actively process and transform raw data into organized visual representations, revealing underlying patterns and relationships in archaeological datasets. By providing an interactive interface for data analysis, tosca facilitates the exploration of chronological and spatial trends. Its robust computational methods allow for efficient hypothesis testing and data interpretation, making it an indispensable resource for archaeologists seeking to apply dynamic statistical techniques in their research.</t>
        </is>
      </c>
      <c r="D369" s="9" t="inlineStr">
        <is>
          <t>yes</t>
        </is>
      </c>
      <c r="E369" s="9" t="n"/>
      <c r="F369" s="9" t="inlineStr">
        <is>
          <t>Yes</t>
        </is>
      </c>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row>
    <row r="370">
      <c r="A370" s="9" t="inlineStr">
        <is>
          <t>totalopenstation</t>
        </is>
      </c>
      <c r="B370" s="9" t="inlineStr">
        <is>
          <t>Total Open Station downloads and exports survey data from your total station.</t>
        </is>
      </c>
      <c r="C370" s="9" t="inlineStr">
        <is>
          <t>totalopenstation is a standalone software tool that downloads and exports survey data directly from total station devices. It actively processes raw measurement data, converting it into standardized formats for mapping and further analysis, thereby streamlining field data management in archaeological surveys.</t>
        </is>
      </c>
      <c r="D370" s="9" t="inlineStr">
        <is>
          <t>yes</t>
        </is>
      </c>
      <c r="E370" s="9" t="n"/>
      <c r="F370" s="9" t="inlineStr">
        <is>
          <t>Yes</t>
        </is>
      </c>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row>
    <row r="371">
      <c r="A371" s="9" t="inlineStr">
        <is>
          <t>totalopenstationToQgis</t>
        </is>
      </c>
      <c r="B371" s="9" t="inlineStr">
        <is>
          <t>A plugin to connect with totalopenstation software developed as part of the IOSA project.</t>
        </is>
      </c>
      <c r="C371" s="9" t="inlineStr">
        <is>
          <t>totalopenstationToQgis is a QGIS plugin that connects totalopenstation software with the QGIS environment, enabling seamless data transfer and integration. It actively processes spatial survey data, facilitating the import, visualization, and manipulation of mapping information. This integration supports efficient archaeological site documentation and spatial analysis, making the plugin a valuable resource for researchers combining specialized survey data with broader geospatial workflows.</t>
        </is>
      </c>
      <c r="D371" s="9" t="inlineStr">
        <is>
          <t>yes</t>
        </is>
      </c>
      <c r="E371" s="9" t="n"/>
      <c r="F371" s="9" t="inlineStr">
        <is>
          <t>Yes</t>
        </is>
      </c>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row>
    <row r="372">
      <c r="A372" s="9" t="inlineStr">
        <is>
          <t>totalstation-tools</t>
        </is>
      </c>
      <c r="B372" s="9" t="inlineStr">
        <is>
          <t>Tools to use and manipulate total station data</t>
        </is>
      </c>
      <c r="C372" s="9" t="inlineStr">
        <is>
          <t>totalstation-tools is a Python package that provides a collection of functions for processing and manipulating data from total station surveying instruments. It actively converts and analyzes raw spatial measurements, facilitating efficient visualization and geospatial analysis for archaeological mapping.</t>
        </is>
      </c>
      <c r="D372" s="9" t="inlineStr">
        <is>
          <t>yes</t>
        </is>
      </c>
      <c r="E372" s="9" t="n"/>
      <c r="F372" s="9" t="inlineStr">
        <is>
          <t>Yes</t>
        </is>
      </c>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row>
    <row r="373">
      <c r="A373" s="9" t="inlineStr">
        <is>
          <t>TPQ-Composer</t>
        </is>
      </c>
      <c r="B373" s="9" t="inlineStr">
        <is>
          <t>Utility for graphically displaying a set of termini post quem induced from stratified archaeological artifacts.</t>
        </is>
      </c>
      <c r="C373" s="9" t="inlineStr">
        <is>
          <t>TPQ-Composer is a Python utility designed to graphically display termini post quem dates derived from stratified archaeological artifacts. It actively processes chronological data to generate visual representations that clarify the earliest possible dates for cultural phases or site occupations. By automating the visualization of stratigraphic constraints, TPQ-Composer enhances the interpretability of temporal relationships in archaeological contexts. Its dynamic output supports rigorous chronological modeling and facilitates clearer communication of dating uncertainties in archaeological research.</t>
        </is>
      </c>
      <c r="D373" s="9" t="inlineStr">
        <is>
          <t>yes</t>
        </is>
      </c>
      <c r="E373" s="9" t="n"/>
      <c r="F373" s="9" t="inlineStr">
        <is>
          <t>Yes</t>
        </is>
      </c>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row>
    <row r="374">
      <c r="A374" s="9" t="inlineStr">
        <is>
          <t>TRANSIT</t>
        </is>
      </c>
      <c r="B374" s="9" t="inlineStr">
        <is>
          <t>GIS toolbox for estimating the duration of ancient sail-powered navigation.</t>
        </is>
      </c>
      <c r="C374" s="9" t="inlineStr">
        <is>
          <t>TRANSIT is a GIS toolbox that estimates the duration of ancient sail-powered navigation by modeling maritime routes using spatial data. It actively processes environmental and navigational inputs to simulate travel times based on historical sailing conditions. This computational tool enables researchers to reconstruct ancient seafaring journeys and evaluate navigational challenges, offering dynamic insights into maritime logistics in archaeological contexts.</t>
        </is>
      </c>
      <c r="D374" s="9" t="inlineStr">
        <is>
          <t>yes</t>
        </is>
      </c>
      <c r="E374" s="9" t="n"/>
      <c r="F374" s="9" t="inlineStr">
        <is>
          <t>Yes</t>
        </is>
      </c>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row>
    <row r="375">
      <c r="A375" s="9" t="inlineStr">
        <is>
          <t>TransmissionBias</t>
        </is>
      </c>
      <c r="B375" s="9" t="inlineStr">
        <is>
          <t>Includes an agent-based model (ABM) of cultural transmission that simulates the three main forms of transmission bias: content bias, frequency bias, and demonstrator bias.</t>
        </is>
      </c>
      <c r="C375" s="9" t="inlineStr">
        <is>
          <t>TransmissionBias is an R package that incorporates an agent-based model (ABM) to simulate cultural transmission processes. It specifically models three key forms of transmission bias: content bias, frequency bias, and demonstrator bias. By enabling researchers to experiment with various parameters, TransmissionBias offers a dynamic platform for exploring how different biases influence cultural evolution. This computational tool facilitates detailed simulations and provides insights into the mechanisms driving cultural change, making it a valuable resource for studies in cultural evolution and archaeological theory.</t>
        </is>
      </c>
      <c r="D375" s="9" t="inlineStr">
        <is>
          <t>yes</t>
        </is>
      </c>
      <c r="E375" s="9" t="n"/>
      <c r="F375" s="9" t="inlineStr">
        <is>
          <t>Yes</t>
        </is>
      </c>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row>
    <row r="376">
      <c r="A376" s="9" t="inlineStr">
        <is>
          <t>tRauma</t>
        </is>
      </c>
      <c r="B376" s="9" t="inlineStr">
        <is>
          <t>Interactive graphical user interface to aid in the interpretation of blunt-force rib trauma in forensic anthropology casework.</t>
        </is>
      </c>
      <c r="C376" s="9" t="inlineStr">
        <is>
          <t>tRauma is an interactive GUI developed to support the interpretation of blunt-force rib trauma in forensic anthropology. It provides dynamic visualization and analysis tools that help researchers assess skeletal injuries systematically. By integrating computational analysis with user-friendly visual outputs, tRauma facilitates objective evaluations of trauma patterns, enhancing both the efficiency and accuracy of forensic and archaeological casework.</t>
        </is>
      </c>
      <c r="D376" s="9" t="inlineStr">
        <is>
          <t>yes</t>
        </is>
      </c>
      <c r="E376" s="9" t="n"/>
      <c r="F376" s="9" t="inlineStr">
        <is>
          <t>Yes</t>
        </is>
      </c>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row>
    <row r="377">
      <c r="A377" s="9" t="inlineStr">
        <is>
          <t>trenchdrawer</t>
        </is>
      </c>
      <c r="B377" s="9" t="inlineStr">
        <is>
          <t>Plugin for drawing trenches.</t>
        </is>
      </c>
      <c r="C377" s="9" t="inlineStr">
        <is>
          <t>trenchdrawer is a QGIS plugin designed to assist archaeologists in digitally delineating trench outlines on site maps. It actively processes user input to generate precise trench drawings, converting manual sketches into structured geospatial data. This capability supports accurate documentation and spatial analysis of excavation areas, making trenchdrawer a valuable tool for integrating field observations with digital mapping.</t>
        </is>
      </c>
      <c r="D377" s="9" t="inlineStr">
        <is>
          <t>yes</t>
        </is>
      </c>
      <c r="E377" s="9" t="n"/>
      <c r="F377" s="9" t="inlineStr">
        <is>
          <t>Yes</t>
        </is>
      </c>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row>
    <row r="378">
      <c r="A378" s="9" t="inlineStr">
        <is>
          <t>tweet-edits-to-archaeology-articles.R</t>
        </is>
      </c>
      <c r="B378" s="9" t="inlineStr">
        <is>
          <t>Using R with wikipedia for various things</t>
        </is>
      </c>
      <c r="C378" s="9" t="inlineStr">
        <is>
          <t>tweet-edits-to-archaeology-articles.R is an R script that integrates data from Twitter and Wikipedia to analyze edits and interactions related to archaeology articles. It actively processes social media and encyclopedic data to uncover trends in public engagement and content curation, supporting research in digital public archaeology.</t>
        </is>
      </c>
      <c r="D378" s="9" t="inlineStr">
        <is>
          <t>yes</t>
        </is>
      </c>
      <c r="E378" s="9" t="n"/>
      <c r="F378" s="9" t="inlineStr">
        <is>
          <t>Yes</t>
        </is>
      </c>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row>
    <row r="379">
      <c r="A379" s="9" t="inlineStr">
        <is>
          <t>UnconstrainedClustering</t>
        </is>
      </c>
      <c r="B379" s="9" t="inlineStr">
        <is>
          <t>Unconstrained Clustering.</t>
        </is>
      </c>
      <c r="C379" s="9" t="inlineStr">
        <is>
          <t>UnconstrainedClustering is an R script that performs cluster analysis without imposing predefined constraints. It allows archaeologists to explore natural groupings within complex datasets by dynamically processing and segmenting data based on inherent statistical characteristics. The tool provides a flexible framework for identifying clusters in spatial or attribute-based data, supporting exploratory data analysis. Its active computational approach aids researchers in uncovering novel patterns and relationships in archaeological data, contributing to more nuanced and informed interpretations of site formations and artifact distributions.</t>
        </is>
      </c>
      <c r="D379" s="9" t="inlineStr">
        <is>
          <t>yes</t>
        </is>
      </c>
      <c r="E379" s="9" t="n"/>
      <c r="F379" s="9" t="inlineStr">
        <is>
          <t>Yes</t>
        </is>
      </c>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row>
    <row r="380">
      <c r="A380" s="9" t="inlineStr">
        <is>
          <t>UniformProbabilityDensityAnalysis</t>
        </is>
      </c>
      <c r="B380" s="9" t="inlineStr">
        <is>
          <t>R implementation of the Uniform Probability Density Analysis approach</t>
        </is>
      </c>
      <c r="C380" s="9" t="inlineStr">
        <is>
          <t>UniformProbabilityDensityAnalysis is an R package that implements the Uniform Probability Density Analysis approach for statistical evaluation. It actively processes archaeological datasets using uniform probability methods to assess data distributions and uncertainties. By automating these analyses, the tool enhances the rigor and reproducibility of spatial and chronological studies, making it a valuable resource for applying probabilistic techniques to archaeological research.</t>
        </is>
      </c>
      <c r="D380" s="9" t="inlineStr">
        <is>
          <t>yes</t>
        </is>
      </c>
      <c r="E380" s="9" t="n"/>
      <c r="F380" s="9" t="inlineStr">
        <is>
          <t>Yes</t>
        </is>
      </c>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row>
    <row r="381">
      <c r="A381" s="9" t="inlineStr">
        <is>
          <t>unstruwwel</t>
        </is>
      </c>
      <c r="B381" s="9" t="inlineStr">
        <is>
          <t>Detect and Parse Historic Dates in R.</t>
        </is>
      </c>
      <c r="C381" s="9" t="inlineStr">
        <is>
          <t>unstruwwel is an R package that automates the detection and parsing of historic dates from unstructured textual sources. It applies pattern recognition and natural language processing techniques to extract and standardize temporal information, thereby transforming raw date expressions into structured data. This active computational approach facilitates chronological modeling and enhances historical analysis in archaeological research.</t>
        </is>
      </c>
      <c r="D381" s="9" t="inlineStr">
        <is>
          <t>yes</t>
        </is>
      </c>
      <c r="E381" s="9" t="n"/>
      <c r="F381" s="9" t="inlineStr">
        <is>
          <t>Yes</t>
        </is>
      </c>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row>
    <row r="382">
      <c r="A382" s="9" t="inlineStr">
        <is>
          <t>UThwigl</t>
        </is>
      </c>
      <c r="B382" s="9" t="inlineStr">
        <is>
          <t>Compute closed- and open-system uranium-thorium (U-Th) ages of geological and archaeological samples.</t>
        </is>
      </c>
      <c r="C382" s="9" t="inlineStr">
        <is>
          <t>UThwigl is an R package designed to compute both closed- and open-system uranium-thorium (U-Th) ages for geological and archaeological samples. It actively processes isotopic data using sophisticated algorithms to generate reliable age estimates. By automating these calculations, UThwigl improves the accuracy and reproducibility of U-Th dating, making it a critical tool for chronological assessments in archaeological research.</t>
        </is>
      </c>
      <c r="D382" s="9" t="inlineStr">
        <is>
          <t>yes</t>
        </is>
      </c>
      <c r="E382" s="9" t="n"/>
      <c r="F382" s="9" t="inlineStr">
        <is>
          <t>Yes</t>
        </is>
      </c>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row>
    <row r="383">
      <c r="A383" s="9" t="inlineStr">
        <is>
          <t>Vessel-Measuring-Tool</t>
        </is>
      </c>
      <c r="B383" s="9" t="inlineStr">
        <is>
          <t>Digitize archeological drawings of vessels in order to calculate their capacity and weight.</t>
        </is>
      </c>
      <c r="C383" s="9" t="inlineStr">
        <is>
          <t>Vessel-Measuring-Tool is a standalone software application that digitizes archaeological drawings of ceramic vessels to calculate their capacity and weight. It actively processes scanned images by extracting dimensional data and applying computational models to estimate volume and mass, thereby enhancing the quantitative analysis of ceramic artifacts.</t>
        </is>
      </c>
      <c r="D383" s="9" t="inlineStr">
        <is>
          <t>yes</t>
        </is>
      </c>
      <c r="E383" s="9" t="n"/>
      <c r="F383" s="9" t="inlineStr">
        <is>
          <t>Yes</t>
        </is>
      </c>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row>
    <row r="384">
      <c r="A384" s="9" t="inlineStr">
        <is>
          <t>web_geochemistry</t>
        </is>
      </c>
      <c r="B384" s="9" t="inlineStr">
        <is>
          <t>Visualizing XRF and NAA geochemistry concentrations.</t>
        </is>
      </c>
      <c r="C384" s="9" t="inlineStr">
        <is>
          <t>web_geochemistry is an R package designed to provide interactive visualization of X-Ray Fluorescence (XRF) and Neutron Activation Analysis (NAA) geochemistry concentrations. It enables researchers to process and display complex geochemical data from archaeological samples, facilitating detailed analysis and comparison of elemental compositions. Through dynamic plotting and customization options, the tool enhances the interpretability of geochemical datasets, making it easier to identify patterns and anomalies. Its integration into research workflows supports rigorous analytical methods and improves the presentation of geochemical results in archaeological studies.</t>
        </is>
      </c>
      <c r="D384" s="9" t="inlineStr">
        <is>
          <t>yes</t>
        </is>
      </c>
      <c r="E384" s="9" t="n"/>
      <c r="F384" s="9" t="inlineStr">
        <is>
          <t>Yes</t>
        </is>
      </c>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row>
    <row r="385">
      <c r="A385" s="9" t="inlineStr">
        <is>
          <t>WeedEco</t>
        </is>
      </c>
      <c r="B385" s="9" t="inlineStr">
        <is>
          <t>Classification of unknown cases (e.g. archaeobotanical data or other modern weed survey data) using linear discriminant analysis to understand farming regimes.</t>
        </is>
      </c>
      <c r="C385" s="9" t="inlineStr">
        <is>
          <t>WeedEco is an R package that utilizes linear discriminant analysis to classify unknown cases in archaeobotanical and modern weed survey datasets. It actively processes input data to reveal patterns associated with different farming regimes, enhancing the interpretability of agricultural practices and environmental interactions in palaeobotanical research.</t>
        </is>
      </c>
      <c r="D385" s="9" t="inlineStr">
        <is>
          <t>yes</t>
        </is>
      </c>
      <c r="E385" s="9" t="n"/>
      <c r="F385" s="9" t="inlineStr">
        <is>
          <t>Yes</t>
        </is>
      </c>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row>
    <row r="386">
      <c r="A386" s="9" t="inlineStr">
        <is>
          <t>xDateR</t>
        </is>
      </c>
      <c r="B386" s="9" t="inlineStr">
        <is>
          <t>Shiny app for interactive crossdating of tree-ring data.</t>
        </is>
      </c>
      <c r="C386" s="9" t="inlineStr">
        <is>
          <t>xDateR is a Shiny application that provides an interactive platform for crossdating tree-ring data. It enables researchers to dynamically visualize and analyze dendrochronological sequences, facilitating the identification of matching growth patterns and the development of accurate age models. Its real-time processing and user-friendly interface make xDateR an essential tool for dendrochronological research in archaeology and environmental studies.</t>
        </is>
      </c>
      <c r="D386" s="9" t="inlineStr">
        <is>
          <t>yes</t>
        </is>
      </c>
      <c r="E386" s="9" t="n"/>
      <c r="F386" s="9" t="inlineStr">
        <is>
          <t>Yes</t>
        </is>
      </c>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row>
    <row r="387">
      <c r="A387" s="9" t="inlineStr">
        <is>
          <t>xrf</t>
        </is>
      </c>
      <c r="B387" s="9" t="inlineStr">
        <is>
          <t>The goal of xrf is to provide tools to read, plot, and interpret X-Ray fluorescence spectra</t>
        </is>
      </c>
      <c r="C387" s="9" t="inlineStr">
        <is>
          <t>xrf is an R package that offers comprehensive tools for reading, plotting, and interpreting X-Ray Fluorescence (XRF) spectra. It actively processes raw spectral data to generate visualizations and quantitative analyses, enabling researchers to extract meaningful insights into elemental compositions. Its suite of functions supports baseline correction, peak identification, and comparative analysis, making it invaluable for XRF-based archaeological research.</t>
        </is>
      </c>
      <c r="D387" s="9" t="inlineStr">
        <is>
          <t>yes</t>
        </is>
      </c>
      <c r="E387" s="9" t="n"/>
      <c r="F387" s="9" t="inlineStr">
        <is>
          <t>Yes</t>
        </is>
      </c>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row>
    <row r="388">
      <c r="A388" s="9" t="inlineStr">
        <is>
          <t>yada</t>
        </is>
      </c>
      <c r="B388" s="9" t="inlineStr">
        <is>
          <t>yada, which stands for Yet Another Demographic Analysis package, supports a variety of demographic tasks, with most applications drawn from forensic anthroplogy and archaeology.</t>
        </is>
      </c>
      <c r="C388" s="9" t="inlineStr">
        <is>
          <t>yada is an R package that provides a suite of demographic analysis tools tailored for forensic anthropology and archaeology. It actively processes population data to compute demographic metrics and simulate population trends, offering researchers robust statistical methods for interpreting past demographic patterns.</t>
        </is>
      </c>
      <c r="D388" s="9" t="inlineStr">
        <is>
          <t>yes</t>
        </is>
      </c>
      <c r="E388" s="9" t="n"/>
      <c r="F388" s="9" t="inlineStr">
        <is>
          <t>Yes</t>
        </is>
      </c>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row>
    <row r="389">
      <c r="A389" s="9" t="inlineStr">
        <is>
          <t>zooaRch</t>
        </is>
      </c>
      <c r="B389" s="9" t="inlineStr">
        <is>
          <t>The zooaRch package provides analytical tools to make inferences on zooarchaeological data.</t>
        </is>
      </c>
      <c r="C389" s="9" t="inlineStr">
        <is>
          <t>zooaRch is an R package that offers a comprehensive suite of analytical tools for zooarchaeological research. It actively processes quantitative and qualitative faunal data to uncover patterns in species distribution, taphonomic processes, and ecological relationships. By integrating statistical analysis with advanced visualization techniques, zooaRch transforms raw datasets into meaningful insights, supporting detailed interpretations of ancient subsistence and environmental interactions.</t>
        </is>
      </c>
      <c r="D389" s="9" t="inlineStr">
        <is>
          <t>yes</t>
        </is>
      </c>
      <c r="E389" s="9" t="n"/>
      <c r="F389" s="9" t="inlineStr">
        <is>
          <t>Yes</t>
        </is>
      </c>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row>
    <row r="390">
      <c r="A390" s="9" t="inlineStr">
        <is>
          <t>zooaRchGUI</t>
        </is>
      </c>
      <c r="B390" s="9" t="inlineStr">
        <is>
          <t>The zooaRchGUI package provides a Graphical User Interface (GUI) to analytical tools for zooarchaeological data in the R package.</t>
        </is>
      </c>
      <c r="C390" s="9" t="inlineStr">
        <is>
          <t>zooaRchGUI is a user-friendly graphical interface that complements the zooaRch R package by simplifying the analysis of zooarchaeological data. It actively facilitates data input, visualization, and interpretation through an intuitive dashboard, allowing users to interact with complex statistical tools without extensive coding. This streamlined workflow enhances data exploration and presentation, thereby improving the research process in zooarchaeology.</t>
        </is>
      </c>
      <c r="D390" s="9" t="inlineStr">
        <is>
          <t>yes</t>
        </is>
      </c>
      <c r="E390" s="9" t="n"/>
      <c r="F390" s="9" t="inlineStr">
        <is>
          <t>Yes</t>
        </is>
      </c>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row>
    <row r="391">
      <c r="A391" s="9" t="inlineStr">
        <is>
          <t>ZooarchMixMod</t>
        </is>
      </c>
      <c r="B391" s="9" t="inlineStr">
        <is>
          <t>Produce mixture models of zooarchaeological measurement data to estimate the proportion of immature, adult-sized female, and adult-sized male specimens in an assemblage.</t>
        </is>
      </c>
      <c r="C391" s="9" t="inlineStr">
        <is>
          <t>ZooarchMixMod is an R package designed to generate mixture models from zooarchaeological measurement data. It actively processes quantitative inputs to estimate the proportions of immature, adult female, and adult male specimens in an assemblage. By applying robust statistical modeling techniques, the tool assists researchers in uncovering demographic patterns and understanding population structures in faunal remains, thereby advancing bioarchaeological analyses.</t>
        </is>
      </c>
      <c r="D391" s="9" t="inlineStr">
        <is>
          <t>yes</t>
        </is>
      </c>
      <c r="E391" s="9" t="n"/>
      <c r="F391" s="9" t="inlineStr">
        <is>
          <t>Yes</t>
        </is>
      </c>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row>
    <row r="392">
      <c r="A392" s="9" t="inlineStr">
        <is>
          <t>zoolog</t>
        </is>
      </c>
      <c r="B392" s="9" t="inlineStr">
        <is>
          <t>Manipulate log-ratios (also known as log size index (LSI) values) from measurements obtained on zooarchaeological material.</t>
        </is>
      </c>
      <c r="C392" s="9" t="inlineStr">
        <is>
          <t>zoolog is an R package designed for manipulating log-ratios, commonly referred to as log size index (LSI) values, derived from zooarchaeological measurements. It actively processes quantitative data to compute and analyze these ratios, thereby supporting detailed comparative studies of artifact size and morphology in zooarchaeology.</t>
        </is>
      </c>
      <c r="D392" s="9" t="inlineStr">
        <is>
          <t>yes</t>
        </is>
      </c>
      <c r="E392" s="9" t="n"/>
      <c r="F392" s="9" t="inlineStr">
        <is>
          <t>Yes</t>
        </is>
      </c>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row>
  </sheetData>
  <conditionalFormatting sqref="A162:C162">
    <cfRule type="notContainsBlanks" priority="1" dxfId="0">
      <formula>LEN(TRIM(A162))&gt;0</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376"/>
  <sheetViews>
    <sheetView workbookViewId="0">
      <selection activeCell="A1" sqref="A1"/>
    </sheetView>
  </sheetViews>
  <sheetFormatPr baseColWidth="8" defaultColWidth="12.63" defaultRowHeight="15.75" customHeight="1"/>
  <cols>
    <col width="34.5" customWidth="1" style="20" min="1" max="1"/>
  </cols>
  <sheetData>
    <row r="1">
      <c r="A1" s="12" t="inlineStr">
        <is>
          <t>item_name</t>
        </is>
      </c>
    </row>
    <row r="2">
      <c r="A2" s="9" t="inlineStr">
        <is>
          <t>14C-power-sensitivity</t>
        </is>
      </c>
    </row>
    <row r="3">
      <c r="A3" s="9" t="inlineStr">
        <is>
          <t>3D_EdgeAngle</t>
        </is>
      </c>
    </row>
    <row r="4">
      <c r="A4" s="9" t="inlineStr">
        <is>
          <t>3d_spatial_ripley_analyses</t>
        </is>
      </c>
    </row>
    <row r="5">
      <c r="A5" s="9" t="inlineStr">
        <is>
          <t>3D-ORGAN</t>
        </is>
      </c>
    </row>
    <row r="6">
      <c r="A6" s="9" t="inlineStr">
        <is>
          <t>3D-survey-collection</t>
        </is>
      </c>
    </row>
    <row r="7">
      <c r="A7" s="9" t="inlineStr">
        <is>
          <t>ADMUR</t>
        </is>
      </c>
    </row>
    <row r="8">
      <c r="A8" s="9" t="inlineStr">
        <is>
          <t>aion</t>
        </is>
      </c>
    </row>
    <row r="9">
      <c r="A9" s="9" t="inlineStr">
        <is>
          <t>AIS</t>
        </is>
      </c>
    </row>
    <row r="10">
      <c r="A10" s="9" t="inlineStr">
        <is>
          <t>Akkademia</t>
        </is>
      </c>
    </row>
    <row r="11">
      <c r="A11" s="9" t="inlineStr">
        <is>
          <t>Al2O3_AnalysisApp</t>
        </is>
      </c>
    </row>
    <row r="12">
      <c r="A12" s="9" t="inlineStr">
        <is>
          <t>alkahest</t>
        </is>
      </c>
    </row>
    <row r="13">
      <c r="A13" s="9" t="inlineStr">
        <is>
          <t>allen-relations</t>
        </is>
      </c>
    </row>
    <row r="14">
      <c r="A14" s="9" t="inlineStr">
        <is>
          <t>allen.archaeology</t>
        </is>
      </c>
    </row>
    <row r="15">
      <c r="A15" s="9" t="inlineStr">
        <is>
          <t>Alligator</t>
        </is>
      </c>
    </row>
    <row r="16">
      <c r="A16" s="9" t="inlineStr">
        <is>
          <t>anatolia-bibliography-map</t>
        </is>
      </c>
    </row>
    <row r="17">
      <c r="A17" s="9" t="inlineStr">
        <is>
          <t>ancient-artifacts</t>
        </is>
      </c>
    </row>
    <row r="18">
      <c r="A18" s="9" t="inlineStr">
        <is>
          <t>anthroFun</t>
        </is>
      </c>
    </row>
    <row r="19">
      <c r="A19" s="9" t="inlineStr">
        <is>
          <t>anthropmmd</t>
        </is>
      </c>
    </row>
    <row r="20">
      <c r="A20" s="9" t="inlineStr">
        <is>
          <t>aoristAAR</t>
        </is>
      </c>
    </row>
    <row r="21">
      <c r="A21" s="9" t="inlineStr">
        <is>
          <t>aoristic</t>
        </is>
      </c>
    </row>
    <row r="22">
      <c r="A22" s="9" t="inlineStr">
        <is>
          <t>aoristic-analysis</t>
        </is>
      </c>
    </row>
    <row r="23">
      <c r="A23" s="9" t="inlineStr">
        <is>
          <t>ArboDat</t>
        </is>
      </c>
    </row>
    <row r="24">
      <c r="A24" s="9" t="inlineStr">
        <is>
          <t>archaeo-CRF</t>
        </is>
      </c>
    </row>
    <row r="25">
      <c r="A25" s="9" t="inlineStr">
        <is>
          <t>ArchaeoAstroInsight</t>
        </is>
      </c>
    </row>
    <row r="26">
      <c r="A26" s="9" t="inlineStr">
        <is>
          <t>ArchaeoCal</t>
        </is>
      </c>
    </row>
    <row r="27">
      <c r="A27" s="9" t="inlineStr">
        <is>
          <t>ArchaeoChron</t>
        </is>
      </c>
    </row>
    <row r="28">
      <c r="A28" s="9" t="inlineStr">
        <is>
          <t>ArchaeoData</t>
        </is>
      </c>
    </row>
    <row r="29">
      <c r="A29" s="9" t="inlineStr">
        <is>
          <t>ArchaeoLines</t>
        </is>
      </c>
    </row>
    <row r="30">
      <c r="A30" s="9" t="inlineStr">
        <is>
          <t>archaeological-object-sharing</t>
        </is>
      </c>
    </row>
    <row r="31">
      <c r="A31" s="9" t="inlineStr">
        <is>
          <t>archaeological-survey-location-collector</t>
        </is>
      </c>
    </row>
    <row r="32">
      <c r="A32" s="9" t="inlineStr">
        <is>
          <t>archaeology_on_wikipedia.R</t>
        </is>
      </c>
    </row>
    <row r="33">
      <c r="A33" s="9" t="inlineStr">
        <is>
          <t>archaeology-data-service</t>
        </is>
      </c>
    </row>
    <row r="34">
      <c r="A34" s="9" t="inlineStr">
        <is>
          <t>archaeology-object-data-collector-app</t>
        </is>
      </c>
    </row>
    <row r="35">
      <c r="A35" s="9" t="inlineStr">
        <is>
          <t>ArchaeolPhytoliths</t>
        </is>
      </c>
    </row>
    <row r="36">
      <c r="A36" s="9" t="inlineStr">
        <is>
          <t>ArchaeoMag</t>
        </is>
      </c>
    </row>
    <row r="37">
      <c r="A37" s="9" t="inlineStr">
        <is>
          <t>ArchaeoPhases</t>
        </is>
      </c>
    </row>
    <row r="38">
      <c r="A38" s="9" t="inlineStr">
        <is>
          <t>archaeosrp</t>
        </is>
      </c>
    </row>
    <row r="39">
      <c r="A39" s="9" t="inlineStr">
        <is>
          <t>ArchAIDE</t>
        </is>
      </c>
    </row>
    <row r="40">
      <c r="A40" s="9" t="inlineStr">
        <is>
          <t>archchron</t>
        </is>
      </c>
    </row>
    <row r="41">
      <c r="A41" s="9" t="inlineStr">
        <is>
          <t>archdata</t>
        </is>
      </c>
    </row>
    <row r="42">
      <c r="A42" s="9" t="inlineStr">
        <is>
          <t>archeofrag</t>
        </is>
      </c>
    </row>
    <row r="43">
      <c r="A43" s="9" t="inlineStr">
        <is>
          <t>ArcheOS</t>
        </is>
      </c>
    </row>
    <row r="44">
      <c r="A44" s="9" t="inlineStr">
        <is>
          <t>ArcheoShape</t>
        </is>
      </c>
    </row>
    <row r="45">
      <c r="A45" s="9" t="inlineStr">
        <is>
          <t>archeoViz</t>
        </is>
      </c>
    </row>
    <row r="46">
      <c r="A46" s="9" t="inlineStr">
        <is>
          <t>arches</t>
        </is>
      </c>
    </row>
    <row r="47">
      <c r="A47" s="9" t="inlineStr">
        <is>
          <t>arches-via-docker</t>
        </is>
      </c>
    </row>
    <row r="48">
      <c r="A48" s="9" t="inlineStr">
        <is>
          <t>archiedb</t>
        </is>
      </c>
    </row>
    <row r="49">
      <c r="A49" s="9" t="inlineStr">
        <is>
          <t>ArchJobCAD</t>
        </is>
      </c>
    </row>
    <row r="50">
      <c r="A50" s="9" t="inlineStr">
        <is>
          <t>archSeries</t>
        </is>
      </c>
    </row>
    <row r="51">
      <c r="A51" s="9" t="inlineStr">
        <is>
          <t>ARFloorPlanApp</t>
        </is>
      </c>
    </row>
    <row r="52">
      <c r="A52" s="9" t="inlineStr">
        <is>
          <t>ark-addons</t>
        </is>
      </c>
    </row>
    <row r="53">
      <c r="A53" s="9" t="inlineStr">
        <is>
          <t>ARK1</t>
        </is>
      </c>
    </row>
    <row r="54">
      <c r="A54" s="9" t="inlineStr">
        <is>
          <t>Ark2</t>
        </is>
      </c>
    </row>
    <row r="55">
      <c r="A55" s="9" t="inlineStr">
        <is>
          <t>ArkGrid</t>
        </is>
      </c>
    </row>
    <row r="56">
      <c r="A56" s="9" t="inlineStr">
        <is>
          <t>arkhe</t>
        </is>
      </c>
    </row>
    <row r="57">
      <c r="A57" s="9" t="inlineStr">
        <is>
          <t>ArkMatrix</t>
        </is>
      </c>
    </row>
    <row r="58">
      <c r="A58" s="9" t="inlineStr">
        <is>
          <t>ArkScan</t>
        </is>
      </c>
    </row>
    <row r="59">
      <c r="A59" s="9" t="inlineStr">
        <is>
          <t>ArkSpatial</t>
        </is>
      </c>
    </row>
    <row r="60">
      <c r="A60" s="9" t="inlineStr">
        <is>
          <t>Arothron</t>
        </is>
      </c>
    </row>
    <row r="61">
      <c r="A61" s="9" t="inlineStr">
        <is>
          <t>ARQUB</t>
        </is>
      </c>
    </row>
    <row r="62">
      <c r="A62" s="9" t="inlineStr">
        <is>
          <t>arshm-release</t>
        </is>
      </c>
    </row>
    <row r="63">
      <c r="A63" s="9" t="inlineStr">
        <is>
          <t>artefact-morpho.R</t>
        </is>
      </c>
    </row>
    <row r="64">
      <c r="A64" s="9" t="inlineStr">
        <is>
          <t>Artifact_Class_Diversity</t>
        </is>
      </c>
    </row>
    <row r="65">
      <c r="A65" s="9" t="inlineStr">
        <is>
          <t>Artifacts-Analyzer</t>
        </is>
      </c>
    </row>
    <row r="66">
      <c r="A66" s="9" t="inlineStr">
        <is>
          <t>BAM</t>
        </is>
      </c>
    </row>
    <row r="67">
      <c r="A67" s="9" t="inlineStr">
        <is>
          <t>baorista</t>
        </is>
      </c>
    </row>
    <row r="68">
      <c r="A68" s="9" t="inlineStr">
        <is>
          <t>BasicMapping</t>
        </is>
      </c>
    </row>
    <row r="69">
      <c r="A69" s="9" t="inlineStr">
        <is>
          <t>baydem</t>
        </is>
      </c>
    </row>
    <row r="70">
      <c r="A70" s="9" t="inlineStr">
        <is>
          <t>BayLum</t>
        </is>
      </c>
    </row>
    <row r="71">
      <c r="A71" s="9" t="inlineStr">
        <is>
          <t>Bchron</t>
        </is>
      </c>
    </row>
    <row r="72">
      <c r="A72" s="9" t="inlineStr">
        <is>
          <t>benmarwickDY-XYZ-data-on-an-irregular-grid-to-an-interpolated-raster.r</t>
        </is>
      </c>
    </row>
    <row r="73">
      <c r="A73" s="9" t="inlineStr">
        <is>
          <t>benmarwickopencontext.r</t>
        </is>
      </c>
    </row>
    <row r="74">
      <c r="A74" s="9" t="inlineStr">
        <is>
          <t>Binomial-Co-occurrence-Assessment</t>
        </is>
      </c>
    </row>
    <row r="75">
      <c r="A75" s="9" t="inlineStr">
        <is>
          <t>bioanth</t>
        </is>
      </c>
    </row>
    <row r="76">
      <c r="A76" s="9" t="inlineStr">
        <is>
          <t>BioArch_R</t>
        </is>
      </c>
    </row>
    <row r="77">
      <c r="A77" s="9" t="inlineStr">
        <is>
          <t>BioProfile</t>
        </is>
      </c>
    </row>
    <row r="78">
      <c r="A78" s="9" t="inlineStr">
        <is>
          <t>bleiglas</t>
        </is>
      </c>
    </row>
    <row r="79">
      <c r="A79" s="9" t="inlineStr">
        <is>
          <t>Bonify</t>
        </is>
      </c>
    </row>
    <row r="80">
      <c r="A80" s="9" t="inlineStr">
        <is>
          <t>Bootstrap-Correspondence-Analysis</t>
        </is>
      </c>
    </row>
    <row r="81">
      <c r="A81" s="9" t="inlineStr">
        <is>
          <t>BraDypUS</t>
        </is>
      </c>
    </row>
    <row r="82">
      <c r="A82" s="9" t="inlineStr">
        <is>
          <t>Brainerd-Robinson-Similarity-Coefficient-and-Sampling-Error-Assessment</t>
        </is>
      </c>
    </row>
    <row r="83">
      <c r="A83" s="9" t="inlineStr">
        <is>
          <t>c14</t>
        </is>
      </c>
    </row>
    <row r="84">
      <c r="A84" s="9" t="inlineStr">
        <is>
          <t>c14-date-extractor</t>
        </is>
      </c>
    </row>
    <row r="85">
      <c r="A85" s="9" t="inlineStr">
        <is>
          <t>c14bazAAR</t>
        </is>
      </c>
    </row>
    <row r="86">
      <c r="A86" s="9" t="inlineStr">
        <is>
          <t>c14Intervals</t>
        </is>
      </c>
    </row>
    <row r="87">
      <c r="A87" s="9" t="inlineStr">
        <is>
          <t>ca</t>
        </is>
      </c>
    </row>
    <row r="88">
      <c r="A88" s="9" t="inlineStr">
        <is>
          <t>CAinterprTools</t>
        </is>
      </c>
    </row>
    <row r="89">
      <c r="A89" s="9" t="inlineStr">
        <is>
          <t>calibrator</t>
        </is>
      </c>
    </row>
    <row r="90">
      <c r="A90" s="9" t="inlineStr">
        <is>
          <t>carbon14</t>
        </is>
      </c>
    </row>
    <row r="91">
      <c r="A91" s="9" t="inlineStr">
        <is>
          <t>carbondate</t>
        </is>
      </c>
    </row>
    <row r="92">
      <c r="A92" s="9" t="inlineStr">
        <is>
          <t>CAseriation</t>
        </is>
      </c>
    </row>
    <row r="93">
      <c r="A93" s="9" t="inlineStr">
        <is>
          <t>cawd</t>
        </is>
      </c>
    </row>
    <row r="94">
      <c r="A94" s="9" t="inlineStr">
        <is>
          <t>CeraMatch</t>
        </is>
      </c>
    </row>
    <row r="95">
      <c r="A95" s="9" t="inlineStr">
        <is>
          <t>Ceramic_Dashboard</t>
        </is>
      </c>
    </row>
    <row r="96">
      <c r="A96" s="9" t="inlineStr">
        <is>
          <t>ceramic-computation</t>
        </is>
      </c>
    </row>
    <row r="97">
      <c r="A97" s="9" t="inlineStr">
        <is>
          <t>Ceramic-Frequency-Date-Plot</t>
        </is>
      </c>
    </row>
    <row r="98">
      <c r="A98" s="9" t="inlineStr">
        <is>
          <t>CeramicApportioning</t>
        </is>
      </c>
    </row>
    <row r="99">
      <c r="A99" s="9" t="inlineStr">
        <is>
          <t>charcoalhearths</t>
        </is>
      </c>
    </row>
    <row r="100">
      <c r="A100" s="9" t="inlineStr">
        <is>
          <t>CharTool</t>
        </is>
      </c>
    </row>
    <row r="101">
      <c r="A101" s="9" t="inlineStr">
        <is>
          <t>cherish</t>
        </is>
      </c>
    </row>
    <row r="102">
      <c r="A102" s="9" t="inlineStr">
        <is>
          <t>chrongler</t>
        </is>
      </c>
    </row>
    <row r="103">
      <c r="A103" s="9" t="inlineStr">
        <is>
          <t>chronochrt</t>
        </is>
      </c>
    </row>
    <row r="104">
      <c r="A104" s="9" t="inlineStr">
        <is>
          <t>ChronoLog</t>
        </is>
      </c>
    </row>
    <row r="105">
      <c r="A105" s="9" t="inlineStr">
        <is>
          <t>chronomodel</t>
        </is>
      </c>
    </row>
    <row r="106">
      <c r="A106" s="9" t="inlineStr">
        <is>
          <t>Chronophage</t>
        </is>
      </c>
    </row>
    <row r="107">
      <c r="A107" s="9" t="inlineStr">
        <is>
          <t>chronup</t>
        </is>
      </c>
    </row>
    <row r="108">
      <c r="A108" s="9" t="inlineStr">
        <is>
          <t>clam</t>
        </is>
      </c>
    </row>
    <row r="109">
      <c r="A109" s="9" t="inlineStr">
        <is>
          <t>cleanc14</t>
        </is>
      </c>
    </row>
    <row r="110">
      <c r="A110" s="9" t="inlineStr">
        <is>
          <t>CloudCal</t>
        </is>
      </c>
    </row>
    <row r="111">
      <c r="A111" s="9" t="inlineStr">
        <is>
          <t>clustering_14C</t>
        </is>
      </c>
    </row>
    <row r="112">
      <c r="A112" s="9" t="inlineStr">
        <is>
          <t>CoccionCeramica</t>
        </is>
      </c>
    </row>
    <row r="113">
      <c r="A113" s="9" t="inlineStr">
        <is>
          <t>coffee</t>
        </is>
      </c>
    </row>
    <row r="114">
      <c r="A114" s="9" t="inlineStr">
        <is>
          <t>cran-JSDNE</t>
        </is>
      </c>
    </row>
    <row r="115">
      <c r="A115" s="9" t="inlineStr">
        <is>
          <t>cranial-sex-estimation-code</t>
        </is>
      </c>
    </row>
    <row r="116">
      <c r="A116" s="9" t="inlineStr">
        <is>
          <t>crom</t>
        </is>
      </c>
    </row>
    <row r="117">
      <c r="A117" s="9" t="inlineStr">
        <is>
          <t>CropPro</t>
        </is>
      </c>
    </row>
    <row r="118">
      <c r="A118" s="9" t="inlineStr">
        <is>
          <t>Crossbones</t>
        </is>
      </c>
    </row>
    <row r="119">
      <c r="A119" s="9" t="inlineStr">
        <is>
          <t>CSGR</t>
        </is>
      </c>
    </row>
    <row r="120">
      <c r="A120" s="9" t="inlineStr">
        <is>
          <t>cTransmission</t>
        </is>
      </c>
    </row>
    <row r="121">
      <c r="A121" s="9" t="inlineStr">
        <is>
          <t>CuneiPainter</t>
        </is>
      </c>
    </row>
    <row r="122">
      <c r="A122" s="9" t="inlineStr">
        <is>
          <t>currycarbon</t>
        </is>
      </c>
    </row>
    <row r="123">
      <c r="A123" s="9" t="inlineStr">
        <is>
          <t>DACORD</t>
        </is>
      </c>
    </row>
    <row r="124">
      <c r="A124" s="9" t="inlineStr">
        <is>
          <t>datplot</t>
        </is>
      </c>
    </row>
    <row r="125">
      <c r="A125" s="9" t="inlineStr">
        <is>
          <t>dayofarchaeology</t>
        </is>
      </c>
    </row>
    <row r="126">
      <c r="A126" s="9" t="inlineStr">
        <is>
          <t>dedalo</t>
        </is>
      </c>
    </row>
    <row r="127">
      <c r="A127" s="9" t="inlineStr">
        <is>
          <t>demjanp</t>
        </is>
      </c>
    </row>
    <row r="128">
      <c r="A128" s="9" t="inlineStr">
        <is>
          <t>dendroNetwork</t>
        </is>
      </c>
    </row>
    <row r="129">
      <c r="A129" s="9" t="inlineStr">
        <is>
          <t>DIGSS</t>
        </is>
      </c>
    </row>
    <row r="130">
      <c r="A130" s="9" t="inlineStr">
        <is>
          <t>dimensio</t>
        </is>
      </c>
    </row>
    <row r="131">
      <c r="A131" s="9" t="inlineStr">
        <is>
          <t>disastermap</t>
        </is>
      </c>
    </row>
    <row r="132">
      <c r="A132" s="9" t="inlineStr">
        <is>
          <t>dplR</t>
        </is>
      </c>
    </row>
    <row r="133">
      <c r="A133" s="9" t="inlineStr">
        <is>
          <t>DRAC-calculator</t>
        </is>
      </c>
    </row>
    <row r="134">
      <c r="A134" s="9" t="inlineStr">
        <is>
          <t>DroneSurveyPlanner</t>
        </is>
      </c>
    </row>
    <row r="135">
      <c r="A135" s="9" t="inlineStr">
        <is>
          <t>E5</t>
        </is>
      </c>
    </row>
    <row r="136">
      <c r="A136" s="9" t="inlineStr">
        <is>
          <t>ede_interpolation</t>
        </is>
      </c>
    </row>
    <row r="137">
      <c r="A137" s="9" t="inlineStr">
        <is>
          <t>EDM</t>
        </is>
      </c>
    </row>
    <row r="138">
      <c r="A138" s="9" t="inlineStr">
        <is>
          <t>EDMWIN</t>
        </is>
      </c>
    </row>
    <row r="139">
      <c r="A139" s="9" t="inlineStr">
        <is>
          <t>ElementSourcing</t>
        </is>
      </c>
    </row>
    <row r="140">
      <c r="A140" s="9" t="inlineStr">
        <is>
          <t>elemSource</t>
        </is>
      </c>
    </row>
    <row r="141">
      <c r="A141" s="9" t="inlineStr">
        <is>
          <t>EM-blender-tools</t>
        </is>
      </c>
    </row>
    <row r="142">
      <c r="A142" s="9" t="inlineStr">
        <is>
          <t>era</t>
        </is>
      </c>
    </row>
    <row r="143">
      <c r="A143" s="9" t="inlineStr">
        <is>
          <t>eratosthenes</t>
        </is>
      </c>
    </row>
    <row r="144">
      <c r="A144" s="9" t="inlineStr">
        <is>
          <t>ethnobotanyR</t>
        </is>
      </c>
    </row>
    <row r="145">
      <c r="A145" s="9" t="inlineStr">
        <is>
          <t>Excavation_data_viewer</t>
        </is>
      </c>
    </row>
    <row r="146">
      <c r="A146" s="9" t="inlineStr">
        <is>
          <t>Explographe</t>
        </is>
      </c>
    </row>
    <row r="147">
      <c r="A147" s="9" t="inlineStr">
        <is>
          <t>expotime</t>
        </is>
      </c>
    </row>
    <row r="148">
      <c r="A148" s="9" t="inlineStr">
        <is>
          <t>ExtendedMatrix</t>
        </is>
      </c>
    </row>
    <row r="149">
      <c r="A149" s="9" t="inlineStr">
        <is>
          <t>fabryka</t>
        </is>
      </c>
    </row>
    <row r="150">
      <c r="A150" s="9" t="inlineStr">
        <is>
          <t>fastmaRching</t>
        </is>
      </c>
    </row>
    <row r="151">
      <c r="A151" s="9" t="inlineStr">
        <is>
          <t>fellingDateR</t>
        </is>
      </c>
    </row>
    <row r="152">
      <c r="A152" s="9" t="inlineStr">
        <is>
          <t>Fiche Stratigraphique Numérique (FSN)</t>
        </is>
      </c>
    </row>
    <row r="153">
      <c r="A153" s="9" t="inlineStr">
        <is>
          <t>field-photographs</t>
        </is>
      </c>
    </row>
    <row r="154">
      <c r="A154" s="9" t="inlineStr">
        <is>
          <t>fieldwalkr</t>
        </is>
      </c>
    </row>
    <row r="155">
      <c r="A155" s="9" t="inlineStr">
        <is>
          <t>Fix-exif-artist</t>
        </is>
      </c>
    </row>
    <row r="156">
      <c r="A156" s="9" t="inlineStr">
        <is>
          <t>Ford-Diagram</t>
        </is>
      </c>
    </row>
    <row r="157">
      <c r="A157" s="9" t="inlineStr">
        <is>
          <t>FuzzyViewshed</t>
        </is>
      </c>
    </row>
    <row r="158">
      <c r="A158" s="9" t="inlineStr">
        <is>
          <t>gamma</t>
        </is>
      </c>
    </row>
    <row r="159">
      <c r="A159" s="9" t="inlineStr">
        <is>
          <t>geoCore</t>
        </is>
      </c>
    </row>
    <row r="160">
      <c r="A160" s="9" t="inlineStr">
        <is>
          <t>Geostat</t>
        </is>
      </c>
    </row>
    <row r="161">
      <c r="A161" s="9" t="inlineStr">
        <is>
          <t>GlobaLID-App</t>
        </is>
      </c>
    </row>
    <row r="162">
      <c r="A162" s="9" t="inlineStr">
        <is>
          <t>GmAMisc</t>
        </is>
      </c>
    </row>
    <row r="163">
      <c r="A163" s="9" t="inlineStr">
        <is>
          <t>harris-matrix</t>
        </is>
      </c>
    </row>
    <row r="164">
      <c r="A164" s="9" t="inlineStr">
        <is>
          <t>harris-matrix</t>
        </is>
      </c>
    </row>
    <row r="165">
      <c r="A165" s="9" t="inlineStr">
        <is>
          <t>Harris-matrix-legacy</t>
        </is>
      </c>
    </row>
    <row r="166">
      <c r="A166" s="9" t="inlineStr">
        <is>
          <t>harris2graph</t>
        </is>
      </c>
    </row>
    <row r="167">
      <c r="A167" s="9" t="inlineStr">
        <is>
          <t>heurist</t>
        </is>
      </c>
    </row>
    <row r="168">
      <c r="A168" s="9" t="inlineStr">
        <is>
          <t>historical-geocoding-assistant</t>
        </is>
      </c>
    </row>
    <row r="169">
      <c r="A169" s="9" t="inlineStr">
        <is>
          <t>hsv-api</t>
        </is>
      </c>
    </row>
    <row r="170">
      <c r="A170" s="9" t="inlineStr">
        <is>
          <t>HumanOS</t>
        </is>
      </c>
    </row>
    <row r="171">
      <c r="A171" s="9" t="inlineStr">
        <is>
          <t>iconr</t>
        </is>
      </c>
    </row>
    <row r="172">
      <c r="A172" s="9" t="inlineStr">
        <is>
          <t>iDAI.field</t>
        </is>
      </c>
    </row>
    <row r="173">
      <c r="A173" s="9" t="inlineStr">
        <is>
          <t>idaifieldR</t>
        </is>
      </c>
    </row>
    <row r="174">
      <c r="A174" s="9" t="inlineStr">
        <is>
          <t>IntCal</t>
        </is>
      </c>
    </row>
    <row r="175">
      <c r="A175" s="9" t="inlineStr">
        <is>
          <t>IOSACal</t>
        </is>
      </c>
    </row>
    <row r="176">
      <c r="A176" s="9" t="inlineStr">
        <is>
          <t>Iraq_mortar</t>
        </is>
      </c>
    </row>
    <row r="177">
      <c r="A177" s="9" t="inlineStr">
        <is>
          <t>ishtar</t>
        </is>
      </c>
    </row>
    <row r="178">
      <c r="A178" s="9" t="inlineStr">
        <is>
          <t>isopleuros</t>
        </is>
      </c>
    </row>
    <row r="179">
      <c r="A179" s="9" t="inlineStr">
        <is>
          <t>ithaca</t>
        </is>
      </c>
    </row>
    <row r="180">
      <c r="A180" s="9" t="inlineStr">
        <is>
          <t>joint-disease-tool</t>
        </is>
      </c>
    </row>
    <row r="181">
      <c r="A181" s="9" t="inlineStr">
        <is>
          <t>kairos</t>
        </is>
      </c>
    </row>
    <row r="182">
      <c r="A182" s="9" t="inlineStr">
        <is>
          <t>katun</t>
        </is>
      </c>
    </row>
    <row r="183">
      <c r="A183" s="9" t="inlineStr">
        <is>
          <t>khroma</t>
        </is>
      </c>
    </row>
    <row r="184">
      <c r="A184" s="9" t="inlineStr">
        <is>
          <t>kidstats</t>
        </is>
      </c>
    </row>
    <row r="185">
      <c r="A185" s="9" t="inlineStr">
        <is>
          <t>Kmeans</t>
        </is>
      </c>
    </row>
    <row r="186">
      <c r="A186" s="9" t="inlineStr">
        <is>
          <t>kotyle</t>
        </is>
      </c>
    </row>
    <row r="187">
      <c r="A187" s="9" t="inlineStr">
        <is>
          <t>kriging</t>
        </is>
      </c>
    </row>
    <row r="188">
      <c r="A188" s="9" t="inlineStr">
        <is>
          <t>LA_ICP_MS-Routines_FMNH</t>
        </is>
      </c>
    </row>
    <row r="189">
      <c r="A189" s="9" t="inlineStr">
        <is>
          <t>lakhesis</t>
        </is>
      </c>
    </row>
    <row r="190">
      <c r="A190" s="9" t="inlineStr">
        <is>
          <t>Le Stratifiant</t>
        </is>
      </c>
    </row>
    <row r="191">
      <c r="A191" s="9" t="inlineStr">
        <is>
          <t>leastcostpath</t>
        </is>
      </c>
    </row>
    <row r="192">
      <c r="A192" s="9" t="inlineStr">
        <is>
          <t>lecAAR</t>
        </is>
      </c>
    </row>
    <row r="193">
      <c r="A193" s="9" t="inlineStr">
        <is>
          <t>LISA</t>
        </is>
      </c>
    </row>
    <row r="194">
      <c r="A194" s="9" t="inlineStr">
        <is>
          <t>lithic3dslicer</t>
        </is>
      </c>
    </row>
    <row r="195">
      <c r="A195" s="9" t="inlineStr">
        <is>
          <t>Lithics3D</t>
        </is>
      </c>
    </row>
    <row r="196">
      <c r="A196" s="9" t="inlineStr">
        <is>
          <t>long-bone-diaphyseal-CSG-Toolkit</t>
        </is>
      </c>
    </row>
    <row r="197">
      <c r="A197" s="9" t="inlineStr">
        <is>
          <t>Luminescence</t>
        </is>
      </c>
    </row>
    <row r="198">
      <c r="A198" s="9" t="inlineStr">
        <is>
          <t>LumReader</t>
        </is>
      </c>
    </row>
    <row r="199">
      <c r="A199" s="9" t="inlineStr">
        <is>
          <t>maacgis</t>
        </is>
      </c>
    </row>
    <row r="200">
      <c r="A200" s="9" t="inlineStr">
        <is>
          <t>mafa</t>
        </is>
      </c>
    </row>
    <row r="201">
      <c r="A201" s="9" t="inlineStr">
        <is>
          <t>magAAR</t>
        </is>
      </c>
    </row>
    <row r="202">
      <c r="A202" s="9" t="inlineStr">
        <is>
          <t>marbleplan</t>
        </is>
      </c>
    </row>
    <row r="203">
      <c r="A203" s="9" t="inlineStr">
        <is>
          <t>Mask_UAV</t>
        </is>
      </c>
    </row>
    <row r="204">
      <c r="A204" s="9" t="inlineStr">
        <is>
          <t>MAX</t>
        </is>
      </c>
    </row>
    <row r="205">
      <c r="A205" s="9" t="inlineStr">
        <is>
          <t>maya-calendar</t>
        </is>
      </c>
    </row>
    <row r="206">
      <c r="A206" s="9" t="inlineStr">
        <is>
          <t>Mean-Ceramic-Date-and-Error-Estimation</t>
        </is>
      </c>
    </row>
    <row r="207">
      <c r="A207" s="9" t="inlineStr">
        <is>
          <t>meshlab</t>
        </is>
      </c>
    </row>
    <row r="208">
      <c r="A208" s="9" t="inlineStr">
        <is>
          <t>missing</t>
        </is>
      </c>
    </row>
    <row r="209">
      <c r="A209" s="9" t="inlineStr">
        <is>
          <t>mobest</t>
        </is>
      </c>
    </row>
    <row r="210">
      <c r="A210" s="9" t="inlineStr">
        <is>
          <t>MoDuLAAR</t>
        </is>
      </c>
    </row>
    <row r="211">
      <c r="A211" s="9" t="inlineStr">
        <is>
          <t>morphalr</t>
        </is>
      </c>
    </row>
    <row r="212">
      <c r="A212" s="9" t="inlineStr">
        <is>
          <t>morphotype</t>
        </is>
      </c>
    </row>
    <row r="213">
      <c r="A213" s="9" t="inlineStr">
        <is>
          <t>morphotypeShiny</t>
        </is>
      </c>
    </row>
    <row r="214">
      <c r="A214" s="9" t="inlineStr">
        <is>
          <t>mortAAR</t>
        </is>
      </c>
    </row>
    <row r="215">
      <c r="A215" s="9" t="inlineStr">
        <is>
          <t>MtreeRing</t>
        </is>
      </c>
    </row>
    <row r="216">
      <c r="A216" s="9" t="inlineStr">
        <is>
          <t>munsell</t>
        </is>
      </c>
    </row>
    <row r="217">
      <c r="A217" s="9" t="inlineStr">
        <is>
          <t>munsell-plot.R</t>
        </is>
      </c>
    </row>
    <row r="218">
      <c r="A218" s="9" t="inlineStr">
        <is>
          <t>murature</t>
        </is>
      </c>
    </row>
    <row r="219">
      <c r="A219" s="9" t="inlineStr">
        <is>
          <t>NAA analytical dashboard</t>
        </is>
      </c>
    </row>
    <row r="220">
      <c r="A220" s="9" t="inlineStr">
        <is>
          <t>Near-Presence-Analysis</t>
        </is>
      </c>
    </row>
    <row r="221">
      <c r="A221" s="9" t="inlineStr">
        <is>
          <t>nearpresence</t>
        </is>
      </c>
    </row>
    <row r="222">
      <c r="A222" s="9" t="inlineStr">
        <is>
          <t>neiman1995</t>
        </is>
      </c>
    </row>
    <row r="223">
      <c r="A223" s="9" t="inlineStr">
        <is>
          <t>neolithicR</t>
        </is>
      </c>
    </row>
    <row r="224">
      <c r="A224" s="9" t="inlineStr">
        <is>
          <t>neonet</t>
        </is>
      </c>
    </row>
    <row r="225">
      <c r="A225" s="9" t="inlineStr">
        <is>
          <t>neotoma</t>
        </is>
      </c>
    </row>
    <row r="226">
      <c r="A226" s="9" t="inlineStr">
        <is>
          <t>nervia</t>
        </is>
      </c>
    </row>
    <row r="227">
      <c r="A227" s="9" t="inlineStr">
        <is>
          <t>nexus</t>
        </is>
      </c>
    </row>
    <row r="228">
      <c r="A228" s="9" t="inlineStr">
        <is>
          <t>nimbleCarbon</t>
        </is>
      </c>
    </row>
    <row r="229">
      <c r="A229" s="9" t="inlineStr">
        <is>
          <t>non-metric-trait-analysis</t>
        </is>
      </c>
    </row>
    <row r="230">
      <c r="A230" s="9" t="inlineStr">
        <is>
          <t>ODK-forms-archaeology</t>
        </is>
      </c>
    </row>
    <row r="231">
      <c r="A231" s="9" t="inlineStr">
        <is>
          <t>ODKArchForms</t>
        </is>
      </c>
    </row>
    <row r="232">
      <c r="A232" s="9" t="inlineStr">
        <is>
          <t>Open History Map</t>
        </is>
      </c>
    </row>
    <row r="233">
      <c r="A233" s="9" t="inlineStr">
        <is>
          <t>open-context-py</t>
        </is>
      </c>
    </row>
    <row r="234">
      <c r="A234" s="9" t="inlineStr">
        <is>
          <t>OpenAtlas</t>
        </is>
      </c>
    </row>
    <row r="235">
      <c r="A235" s="9" t="inlineStr">
        <is>
          <t>opencontext</t>
        </is>
      </c>
    </row>
    <row r="236">
      <c r="A236" s="9" t="inlineStr">
        <is>
          <t>OpenLidarToolbox</t>
        </is>
      </c>
    </row>
    <row r="237">
      <c r="A237" s="9" t="inlineStr">
        <is>
          <t>osl_calibration.r</t>
        </is>
      </c>
    </row>
    <row r="238">
      <c r="A238" s="9" t="inlineStr">
        <is>
          <t>osteoGIS</t>
        </is>
      </c>
    </row>
    <row r="239">
      <c r="A239" s="9" t="inlineStr">
        <is>
          <t>osteometric-sorting</t>
        </is>
      </c>
    </row>
    <row r="240">
      <c r="A240" s="9" t="inlineStr">
        <is>
          <t>outliner</t>
        </is>
      </c>
    </row>
    <row r="241">
      <c r="A241" s="9" t="inlineStr">
        <is>
          <t>outlineR</t>
        </is>
      </c>
    </row>
    <row r="242">
      <c r="A242" s="9" t="inlineStr">
        <is>
          <t>oxcAAR</t>
        </is>
      </c>
    </row>
    <row r="243">
      <c r="A243" s="9" t="inlineStr">
        <is>
          <t>p2pPerm</t>
        </is>
      </c>
    </row>
    <row r="244">
      <c r="A244" s="9" t="inlineStr">
        <is>
          <t>p3k14c-data-scrubbing</t>
        </is>
      </c>
    </row>
    <row r="245">
      <c r="A245" s="9" t="inlineStr">
        <is>
          <t>paleocar</t>
        </is>
      </c>
    </row>
    <row r="246">
      <c r="A246" s="9" t="inlineStr">
        <is>
          <t>paleocore</t>
        </is>
      </c>
    </row>
    <row r="247">
      <c r="A247" s="9" t="inlineStr">
        <is>
          <t>paleocoreR</t>
        </is>
      </c>
    </row>
    <row r="248">
      <c r="A248" s="9" t="inlineStr">
        <is>
          <t>paleofire</t>
        </is>
      </c>
    </row>
    <row r="249">
      <c r="A249" s="9" t="inlineStr">
        <is>
          <t>paleoxrf</t>
        </is>
      </c>
    </row>
    <row r="250">
      <c r="A250" s="9" t="inlineStr">
        <is>
          <t>pastclim</t>
        </is>
      </c>
    </row>
    <row r="251">
      <c r="A251" s="9" t="inlineStr">
        <is>
          <t>pathAAR</t>
        </is>
      </c>
    </row>
    <row r="252">
      <c r="A252" s="9" t="inlineStr">
        <is>
          <t>pdf-to-nested-xml</t>
        </is>
      </c>
    </row>
    <row r="253">
      <c r="A253" s="9" t="inlineStr">
        <is>
          <t>photogrammetry-object-scannner</t>
        </is>
      </c>
    </row>
    <row r="254">
      <c r="A254" s="9" t="inlineStr">
        <is>
          <t>piwigo-3dhop</t>
        </is>
      </c>
    </row>
    <row r="255">
      <c r="A255" s="9" t="inlineStr">
        <is>
          <t>PLC</t>
        </is>
      </c>
    </row>
    <row r="256">
      <c r="A256" s="9" t="inlineStr">
        <is>
          <t>PleistoDist</t>
        </is>
      </c>
    </row>
    <row r="257">
      <c r="A257" s="9" t="inlineStr">
        <is>
          <t>PleistoDistR</t>
        </is>
      </c>
    </row>
    <row r="258">
      <c r="A258" s="9" t="inlineStr">
        <is>
          <t>PointPattern</t>
        </is>
      </c>
    </row>
    <row r="259">
      <c r="A259" s="9" t="inlineStr">
        <is>
          <t>pollen_data_processing</t>
        </is>
      </c>
    </row>
    <row r="260">
      <c r="A260" s="9" t="inlineStr">
        <is>
          <t>pollencount</t>
        </is>
      </c>
    </row>
    <row r="261">
      <c r="A261" s="9" t="inlineStr">
        <is>
          <t>poseidon-framework</t>
        </is>
      </c>
    </row>
    <row r="262">
      <c r="A262" s="9" t="inlineStr">
        <is>
          <t>postAAR</t>
        </is>
      </c>
    </row>
    <row r="263">
      <c r="A263" s="9" t="inlineStr">
        <is>
          <t>postAAR-python</t>
        </is>
      </c>
    </row>
    <row r="264">
      <c r="A264" s="9" t="inlineStr">
        <is>
          <t>predictSource</t>
        </is>
      </c>
    </row>
    <row r="265">
      <c r="A265" s="9" t="inlineStr">
        <is>
          <t>profileAAR</t>
        </is>
      </c>
    </row>
    <row r="266">
      <c r="A266" s="9" t="inlineStr">
        <is>
          <t>pXRF</t>
        </is>
      </c>
    </row>
    <row r="267">
      <c r="A267" s="9" t="inlineStr">
        <is>
          <t>pyArchInit</t>
        </is>
      </c>
    </row>
    <row r="268">
      <c r="A268" s="9" t="inlineStr">
        <is>
          <t>pygeoroc</t>
        </is>
      </c>
    </row>
    <row r="269">
      <c r="A269" s="9" t="inlineStr">
        <is>
          <t>pypofatu</t>
        </is>
      </c>
    </row>
    <row r="270">
      <c r="A270" s="9" t="inlineStr">
        <is>
          <t>QGIS-scripts</t>
        </is>
      </c>
    </row>
    <row r="271">
      <c r="A271" s="9" t="inlineStr">
        <is>
          <t>QGIS-topographic-networks</t>
        </is>
      </c>
    </row>
    <row r="272">
      <c r="A272" s="9" t="inlineStr">
        <is>
          <t>QGIS-visibility-analysis</t>
        </is>
      </c>
    </row>
    <row r="273">
      <c r="A273" s="9" t="inlineStr">
        <is>
          <t>qrcode-storage</t>
        </is>
      </c>
    </row>
    <row r="274">
      <c r="A274" s="9" t="inlineStr">
        <is>
          <t>quantAAR</t>
        </is>
      </c>
    </row>
    <row r="275">
      <c r="A275" s="9" t="inlineStr">
        <is>
          <t>quantatools</t>
        </is>
      </c>
    </row>
    <row r="276">
      <c r="A276" s="9" t="inlineStr">
        <is>
          <t>quantum-archeo</t>
        </is>
      </c>
    </row>
    <row r="277">
      <c r="A277" s="9" t="inlineStr">
        <is>
          <t>QuARI</t>
        </is>
      </c>
    </row>
    <row r="278">
      <c r="A278" s="9" t="inlineStr">
        <is>
          <t>racisminarchy</t>
        </is>
      </c>
    </row>
    <row r="279">
      <c r="A279" s="9" t="inlineStr">
        <is>
          <t>RACORD</t>
        </is>
      </c>
    </row>
    <row r="280">
      <c r="A280" s="9" t="inlineStr">
        <is>
          <t>radiocarbon-scrapers</t>
        </is>
      </c>
    </row>
    <row r="281">
      <c r="A281" s="9" t="inlineStr">
        <is>
          <t>radon</t>
        </is>
      </c>
    </row>
    <row r="282">
      <c r="A282" s="9" t="inlineStr">
        <is>
          <t>rbacon</t>
        </is>
      </c>
    </row>
    <row r="283">
      <c r="A283" s="9" t="inlineStr">
        <is>
          <t>Rcarb</t>
        </is>
      </c>
    </row>
    <row r="284">
      <c r="A284" s="9" t="inlineStr">
        <is>
          <t>rcarbon</t>
        </is>
      </c>
    </row>
    <row r="285">
      <c r="A285" s="9" t="inlineStr">
        <is>
          <t>rdss</t>
        </is>
      </c>
    </row>
    <row r="286">
      <c r="A286" s="9" t="inlineStr">
        <is>
          <t>recexcavAAR</t>
        </is>
      </c>
    </row>
    <row r="287">
      <c r="A287" s="9" t="inlineStr">
        <is>
          <t>recmod</t>
        </is>
      </c>
    </row>
    <row r="288">
      <c r="A288" s="9" t="inlineStr">
        <is>
          <t>rekrei</t>
        </is>
      </c>
    </row>
    <row r="289">
      <c r="A289" s="9" t="inlineStr">
        <is>
          <t>RGPR</t>
        </is>
      </c>
    </row>
    <row r="290">
      <c r="A290" s="9" t="inlineStr">
        <is>
          <t>rintchron</t>
        </is>
      </c>
    </row>
    <row r="291">
      <c r="A291" s="9" t="inlineStr">
        <is>
          <t>RJradiocarbon</t>
        </is>
      </c>
    </row>
    <row r="292">
      <c r="A292" s="9" t="inlineStr">
        <is>
          <t>RLumModel</t>
        </is>
      </c>
    </row>
    <row r="293">
      <c r="A293" s="9" t="inlineStr">
        <is>
          <t>rock-art-radnet</t>
        </is>
      </c>
    </row>
    <row r="294">
      <c r="A294" s="9" t="inlineStr">
        <is>
          <t>rock-art-ratopoviz</t>
        </is>
      </c>
    </row>
    <row r="295">
      <c r="A295" s="9" t="inlineStr">
        <is>
          <t>rock-art-transfer-learning</t>
        </is>
      </c>
    </row>
    <row r="296">
      <c r="A296" s="9" t="inlineStr">
        <is>
          <t>rockart-textanalysis</t>
        </is>
      </c>
    </row>
    <row r="297">
      <c r="A297" s="9" t="inlineStr">
        <is>
          <t>roev</t>
        </is>
      </c>
    </row>
    <row r="298">
      <c r="A298" s="9" t="inlineStr">
        <is>
          <t>RoomAccum</t>
        </is>
      </c>
    </row>
    <row r="299">
      <c r="A299" s="9" t="inlineStr">
        <is>
          <t>rpaleoclim</t>
        </is>
      </c>
    </row>
    <row r="300">
      <c r="A300" s="9" t="inlineStr">
        <is>
          <t>rtfact</t>
        </is>
      </c>
    </row>
    <row r="301">
      <c r="A301" s="9" t="inlineStr">
        <is>
          <t>rti</t>
        </is>
      </c>
    </row>
    <row r="302">
      <c r="A302" s="9" t="inlineStr">
        <is>
          <t>RTIBuilder</t>
        </is>
      </c>
    </row>
    <row r="303">
      <c r="A303" s="9" t="inlineStr">
        <is>
          <t>RTIViewer</t>
        </is>
      </c>
    </row>
    <row r="304">
      <c r="A304" s="9" t="inlineStr">
        <is>
          <t>ruby-radiocarbon</t>
        </is>
      </c>
    </row>
    <row r="305">
      <c r="A305" s="9" t="inlineStr">
        <is>
          <t>rxylib</t>
        </is>
      </c>
    </row>
    <row r="306">
      <c r="A306" s="9" t="inlineStr">
        <is>
          <t>SCEM</t>
        </is>
      </c>
    </row>
    <row r="307">
      <c r="A307" s="9" t="inlineStr">
        <is>
          <t>sdsanalysis</t>
        </is>
      </c>
    </row>
    <row r="308">
      <c r="A308" s="9" t="inlineStr">
        <is>
          <t>sdsbrowser</t>
        </is>
      </c>
    </row>
    <row r="309">
      <c r="A309" s="9" t="inlineStr">
        <is>
          <t>SEAHORS</t>
        </is>
      </c>
    </row>
    <row r="310">
      <c r="A310" s="9" t="inlineStr">
        <is>
          <t>senscape</t>
        </is>
      </c>
    </row>
    <row r="311">
      <c r="A311" s="9" t="inlineStr">
        <is>
          <t>seriation</t>
        </is>
      </c>
    </row>
    <row r="312">
      <c r="A312" s="9" t="inlineStr">
        <is>
          <t>Seriation</t>
        </is>
      </c>
    </row>
    <row r="313">
      <c r="A313" s="9" t="inlineStr">
        <is>
          <t>Sériation de matrice en présence/absence</t>
        </is>
      </c>
    </row>
    <row r="314">
      <c r="A314" s="9" t="inlineStr">
        <is>
          <t>Seriographe EPPM</t>
        </is>
      </c>
    </row>
    <row r="315">
      <c r="A315" s="9" t="inlineStr">
        <is>
          <t>SexEst</t>
        </is>
      </c>
    </row>
    <row r="316">
      <c r="A316" s="9" t="inlineStr">
        <is>
          <t>shapAAR</t>
        </is>
      </c>
    </row>
    <row r="317">
      <c r="A317" s="9" t="inlineStr">
        <is>
          <t>shiny_DRAC</t>
        </is>
      </c>
    </row>
    <row r="318">
      <c r="A318" s="9" t="inlineStr">
        <is>
          <t>shiny_Tldating</t>
        </is>
      </c>
    </row>
    <row r="319">
      <c r="A319" s="9" t="inlineStr">
        <is>
          <t>shkrdata</t>
        </is>
      </c>
    </row>
    <row r="320">
      <c r="A320" s="9" t="inlineStr">
        <is>
          <t>shootpoints-web-api</t>
        </is>
      </c>
    </row>
    <row r="321">
      <c r="A321" s="9" t="inlineStr">
        <is>
          <t>shootpoints-web-frontend</t>
        </is>
      </c>
    </row>
    <row r="322">
      <c r="A322" s="9" t="inlineStr">
        <is>
          <t>shoredate</t>
        </is>
      </c>
    </row>
    <row r="323">
      <c r="A323" s="9" t="inlineStr">
        <is>
          <t>signboardr</t>
        </is>
      </c>
    </row>
    <row r="324">
      <c r="A324" s="9" t="inlineStr">
        <is>
          <t>sindwem</t>
        </is>
      </c>
    </row>
    <row r="325">
      <c r="A325" s="9" t="inlineStr">
        <is>
          <t>sipontomedievale</t>
        </is>
      </c>
    </row>
    <row r="326">
      <c r="A326" s="9" t="inlineStr">
        <is>
          <t>sitedefinition</t>
        </is>
      </c>
    </row>
    <row r="327">
      <c r="A327" s="9" t="inlineStr">
        <is>
          <t>SiteSyncro</t>
        </is>
      </c>
    </row>
    <row r="328">
      <c r="A328" s="9" t="inlineStr">
        <is>
          <t>skeletal-sex-estimation</t>
        </is>
      </c>
    </row>
    <row r="329">
      <c r="A329" s="9" t="inlineStr">
        <is>
          <t>skullanalyzer</t>
        </is>
      </c>
    </row>
    <row r="330">
      <c r="A330" s="9" t="inlineStr">
        <is>
          <t>skyscapeR</t>
        </is>
      </c>
    </row>
    <row r="331">
      <c r="A331" s="9" t="inlineStr">
        <is>
          <t>soiltexture</t>
        </is>
      </c>
    </row>
    <row r="332">
      <c r="A332" s="9" t="inlineStr">
        <is>
          <t>sparch</t>
        </is>
      </c>
    </row>
    <row r="333">
      <c r="A333" s="9" t="inlineStr">
        <is>
          <t>SPARTAAS</t>
        </is>
      </c>
    </row>
    <row r="334">
      <c r="A334" s="9" t="inlineStr">
        <is>
          <t>spDates</t>
        </is>
      </c>
    </row>
    <row r="335">
      <c r="A335" s="9" t="inlineStr">
        <is>
          <t>statuAAR</t>
        </is>
      </c>
    </row>
    <row r="336">
      <c r="A336" s="9" t="inlineStr">
        <is>
          <t>Stratibase</t>
        </is>
      </c>
    </row>
    <row r="337">
      <c r="A337" s="9" t="inlineStr">
        <is>
          <t>stratigraphr</t>
        </is>
      </c>
    </row>
    <row r="338">
      <c r="A338" s="9" t="inlineStr">
        <is>
          <t>SurveyeR</t>
        </is>
      </c>
    </row>
    <row r="339">
      <c r="A339" s="9" t="inlineStr">
        <is>
          <t>synthkat</t>
        </is>
      </c>
    </row>
    <row r="340">
      <c r="A340" s="9" t="inlineStr">
        <is>
          <t>tabula</t>
        </is>
      </c>
    </row>
    <row r="341">
      <c r="A341" s="9" t="inlineStr">
        <is>
          <t>Tachy2GIS</t>
        </is>
      </c>
    </row>
    <row r="342">
      <c r="A342" s="9" t="inlineStr">
        <is>
          <t>Tachy2GIS_arch</t>
        </is>
      </c>
    </row>
    <row r="343">
      <c r="A343" s="9" t="inlineStr">
        <is>
          <t>tdar</t>
        </is>
      </c>
    </row>
    <row r="344">
      <c r="A344" s="9" t="inlineStr">
        <is>
          <t>teethr</t>
        </is>
      </c>
    </row>
    <row r="345">
      <c r="A345" s="9" t="inlineStr">
        <is>
          <t>tfqar</t>
        </is>
      </c>
    </row>
    <row r="346">
      <c r="A346" s="9" t="inlineStr">
        <is>
          <t>THANADOS</t>
        </is>
      </c>
    </row>
    <row r="347">
      <c r="A347" s="9" t="inlineStr">
        <is>
          <t>The Southwestern Taphonomic Protocol</t>
        </is>
      </c>
    </row>
    <row r="348">
      <c r="A348" s="9" t="inlineStr">
        <is>
          <t>tidypaleo</t>
        </is>
      </c>
    </row>
    <row r="349">
      <c r="A349" s="9" t="inlineStr">
        <is>
          <t>timeperiod2daterange</t>
        </is>
      </c>
    </row>
    <row r="350">
      <c r="A350" s="9" t="inlineStr">
        <is>
          <t>tipom</t>
        </is>
      </c>
    </row>
    <row r="351">
      <c r="A351" s="9" t="inlineStr">
        <is>
          <t>Tldating</t>
        </is>
      </c>
    </row>
    <row r="352">
      <c r="A352" s="9" t="inlineStr">
        <is>
          <t>tosca</t>
        </is>
      </c>
    </row>
    <row r="353">
      <c r="A353" s="9" t="inlineStr">
        <is>
          <t>totalopenstation</t>
        </is>
      </c>
    </row>
    <row r="354">
      <c r="A354" s="9" t="inlineStr">
        <is>
          <t>totalopenstationToQgis</t>
        </is>
      </c>
    </row>
    <row r="355">
      <c r="A355" s="9" t="inlineStr">
        <is>
          <t>totalstation-tools</t>
        </is>
      </c>
    </row>
    <row r="356">
      <c r="A356" s="9" t="inlineStr">
        <is>
          <t>TPQ-Composer</t>
        </is>
      </c>
    </row>
    <row r="357">
      <c r="A357" s="9" t="inlineStr">
        <is>
          <t>TRANSIT</t>
        </is>
      </c>
    </row>
    <row r="358">
      <c r="A358" s="9" t="inlineStr">
        <is>
          <t>TransmissionBias</t>
        </is>
      </c>
    </row>
    <row r="359">
      <c r="A359" s="9" t="inlineStr">
        <is>
          <t>tRauma</t>
        </is>
      </c>
    </row>
    <row r="360">
      <c r="A360" s="9" t="inlineStr">
        <is>
          <t>trenchdrawer</t>
        </is>
      </c>
    </row>
    <row r="361">
      <c r="A361" s="9" t="inlineStr">
        <is>
          <t>tweet-edits-to-archaeology-articles.R</t>
        </is>
      </c>
    </row>
    <row r="362">
      <c r="A362" s="9" t="inlineStr">
        <is>
          <t>UnconstrainedClustering</t>
        </is>
      </c>
    </row>
    <row r="363">
      <c r="A363" s="9" t="inlineStr">
        <is>
          <t>UniformProbabilityDensityAnalysis</t>
        </is>
      </c>
    </row>
    <row r="364">
      <c r="A364" s="9" t="inlineStr">
        <is>
          <t>unstruwwel</t>
        </is>
      </c>
    </row>
    <row r="365">
      <c r="A365" s="9" t="inlineStr">
        <is>
          <t>UThwigl</t>
        </is>
      </c>
    </row>
    <row r="366">
      <c r="A366" s="9" t="inlineStr">
        <is>
          <t>Vessel-Measuring-Tool</t>
        </is>
      </c>
    </row>
    <row r="367">
      <c r="A367" s="9" t="inlineStr">
        <is>
          <t>web_geochemistry</t>
        </is>
      </c>
    </row>
    <row r="368">
      <c r="A368" s="9" t="inlineStr">
        <is>
          <t>WeedEco</t>
        </is>
      </c>
    </row>
    <row r="369">
      <c r="A369" s="9" t="inlineStr">
        <is>
          <t>xDateR</t>
        </is>
      </c>
    </row>
    <row r="370">
      <c r="A370" s="9" t="inlineStr">
        <is>
          <t>xrf</t>
        </is>
      </c>
    </row>
    <row r="371">
      <c r="A371" s="9" t="inlineStr">
        <is>
          <t>xronos.R</t>
        </is>
      </c>
    </row>
    <row r="372">
      <c r="A372" s="9" t="inlineStr">
        <is>
          <t>yada</t>
        </is>
      </c>
    </row>
    <row r="373">
      <c r="A373" s="9" t="inlineStr">
        <is>
          <t>zooaRch</t>
        </is>
      </c>
    </row>
    <row r="374">
      <c r="A374" s="9" t="inlineStr">
        <is>
          <t>zooaRchGUI</t>
        </is>
      </c>
    </row>
    <row r="375">
      <c r="A375" s="9" t="inlineStr">
        <is>
          <t>ZooarchMixMod</t>
        </is>
      </c>
    </row>
    <row r="376">
      <c r="A376" s="9" t="inlineStr">
        <is>
          <t>zoolog</t>
        </is>
      </c>
    </row>
  </sheetData>
  <conditionalFormatting sqref="A160">
    <cfRule type="notContainsBlanks" priority="1" dxfId="0">
      <formula>LEN(TRIM(A160))&gt;0</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G1000"/>
  <sheetViews>
    <sheetView workbookViewId="0">
      <pane ySplit="1" topLeftCell="A2" activePane="bottomLeft" state="frozen"/>
      <selection pane="bottomLeft" activeCell="B3" sqref="B3"/>
    </sheetView>
  </sheetViews>
  <sheetFormatPr baseColWidth="8" defaultColWidth="12.63" defaultRowHeight="15.75" customHeight="1"/>
  <cols>
    <col width="40.5" customWidth="1" style="20" min="1" max="33"/>
  </cols>
  <sheetData>
    <row r="1">
      <c r="A1" s="12" t="inlineStr">
        <is>
          <t>item_name</t>
        </is>
      </c>
      <c r="B1" s="12" t="inlineStr">
        <is>
          <t>description</t>
        </is>
      </c>
      <c r="C1" s="12" t="inlineStr">
        <is>
          <t>github</t>
        </is>
      </c>
      <c r="D1" s="12" t="inlineStr">
        <is>
          <t>gist</t>
        </is>
      </c>
      <c r="E1" s="12" t="inlineStr">
        <is>
          <t>gitlab</t>
        </is>
      </c>
      <c r="F1" s="12" t="inlineStr">
        <is>
          <t>bitbucket</t>
        </is>
      </c>
      <c r="G1" s="12" t="inlineStr">
        <is>
          <t>launchpad</t>
        </is>
      </c>
      <c r="H1" s="12" t="inlineStr">
        <is>
          <t>twitter</t>
        </is>
      </c>
      <c r="I1" s="12" t="inlineStr">
        <is>
          <t>youtube</t>
        </is>
      </c>
      <c r="J1" s="12" t="inlineStr">
        <is>
          <t>blogpost</t>
        </is>
      </c>
      <c r="K1" s="12" t="inlineStr">
        <is>
          <t>cran</t>
        </is>
      </c>
      <c r="L1" s="12" t="inlineStr">
        <is>
          <t>pypi</t>
        </is>
      </c>
      <c r="M1" s="12" t="inlineStr">
        <is>
          <t>codeberg</t>
        </is>
      </c>
      <c r="N1" s="12" t="inlineStr">
        <is>
          <t>website</t>
        </is>
      </c>
      <c r="O1" s="12" t="inlineStr">
        <is>
          <t>publication</t>
        </is>
      </c>
      <c r="P1" s="12" t="inlineStr">
        <is>
          <t>DOI</t>
        </is>
      </c>
      <c r="Q1" s="12" t="inlineStr">
        <is>
          <t>author1_name</t>
        </is>
      </c>
      <c r="R1" s="12" t="inlineStr">
        <is>
          <t>author2_name</t>
        </is>
      </c>
      <c r="S1" s="12" t="inlineStr">
        <is>
          <t>author3_name</t>
        </is>
      </c>
      <c r="T1" s="12" t="inlineStr">
        <is>
          <t>author4_name</t>
        </is>
      </c>
      <c r="U1" s="12" t="inlineStr">
        <is>
          <t>author5_name</t>
        </is>
      </c>
      <c r="V1" s="12" t="inlineStr">
        <is>
          <t>author6_name</t>
        </is>
      </c>
      <c r="W1" s="12" t="inlineStr">
        <is>
          <t>category</t>
        </is>
      </c>
      <c r="X1" s="12" t="inlineStr">
        <is>
          <t>platform</t>
        </is>
      </c>
      <c r="Y1" s="12" t="inlineStr">
        <is>
          <t>tag1</t>
        </is>
      </c>
      <c r="Z1" s="12" t="inlineStr">
        <is>
          <t>tag2</t>
        </is>
      </c>
      <c r="AA1" s="12" t="inlineStr">
        <is>
          <t>tag3</t>
        </is>
      </c>
      <c r="AB1" s="12" t="inlineStr">
        <is>
          <t>tag4</t>
        </is>
      </c>
      <c r="AC1" s="12" t="inlineStr">
        <is>
          <t>tag5</t>
        </is>
      </c>
      <c r="AD1" s="12" t="inlineStr">
        <is>
          <t>notes</t>
        </is>
      </c>
      <c r="AE1" s="12" t="inlineStr">
        <is>
          <t>internetarchive</t>
        </is>
      </c>
      <c r="AF1" s="12" t="n"/>
      <c r="AG1" s="12" t="n"/>
    </row>
    <row r="2">
      <c r="A2" s="9" t="inlineStr">
        <is>
          <t>ca</t>
        </is>
      </c>
      <c r="B2" s="9" t="inlineStr">
        <is>
          <t>R Script for Seriation Using Correspondence Analysis.</t>
        </is>
      </c>
      <c r="C2" s="9" t="n"/>
      <c r="D2" s="9" t="n"/>
      <c r="E2" s="9" t="n"/>
      <c r="F2" s="9" t="n"/>
      <c r="G2" s="9" t="n"/>
      <c r="H2" s="9" t="n"/>
      <c r="I2" s="9" t="n"/>
      <c r="J2" s="9" t="n"/>
      <c r="K2" s="9" t="n"/>
      <c r="L2" s="9" t="n"/>
      <c r="M2" s="9" t="n"/>
      <c r="N2" s="10" t="inlineStr">
        <is>
          <t>http://www.mattpeeples.net/ca.html</t>
        </is>
      </c>
      <c r="O2" s="9" t="n"/>
      <c r="P2" s="9" t="n"/>
      <c r="Q2" s="9" t="inlineStr">
        <is>
          <t>mpeeples2008</t>
        </is>
      </c>
      <c r="R2" s="9" t="n"/>
      <c r="S2" s="9" t="n"/>
      <c r="T2" s="9" t="n"/>
      <c r="U2" s="9" t="n"/>
      <c r="V2" s="9" t="n"/>
      <c r="W2" s="9" t="inlineStr">
        <is>
          <t>Scripts</t>
        </is>
      </c>
      <c r="X2" s="9" t="inlineStr">
        <is>
          <t>R</t>
        </is>
      </c>
      <c r="Y2" s="9" t="inlineStr">
        <is>
          <t>Statistical analysis</t>
        </is>
      </c>
      <c r="Z2" s="9" t="inlineStr">
        <is>
          <t>Seriation</t>
        </is>
      </c>
      <c r="AA2" s="9" t="n"/>
      <c r="AB2" s="9" t="n"/>
      <c r="AC2" s="9" t="n"/>
      <c r="AD2" s="9" t="n"/>
      <c r="AE2" s="9" t="n"/>
      <c r="AF2" s="9" t="n"/>
      <c r="AG2" s="9" t="n"/>
    </row>
    <row r="3">
      <c r="A3" s="9" t="inlineStr">
        <is>
          <t>LISA</t>
        </is>
      </c>
      <c r="B3" s="9" t="inlineStr">
        <is>
          <t>Moran's I and Getis-Ord G* Analysis.</t>
        </is>
      </c>
      <c r="C3" s="9" t="n"/>
      <c r="D3" s="9" t="n"/>
      <c r="E3" s="9" t="n"/>
      <c r="F3" s="9" t="n"/>
      <c r="G3" s="9" t="n"/>
      <c r="H3" s="9" t="n"/>
      <c r="I3" s="9" t="n"/>
      <c r="J3" s="9" t="n"/>
      <c r="K3" s="9" t="n"/>
      <c r="L3" s="9" t="n"/>
      <c r="M3" s="9" t="n"/>
      <c r="N3" s="10" t="inlineStr">
        <is>
          <t>http://www.mattpeeples.net/modules/LISA.html</t>
        </is>
      </c>
      <c r="O3" s="9" t="n"/>
      <c r="P3" s="9" t="n"/>
      <c r="Q3" s="9" t="inlineStr">
        <is>
          <t>mpeeples2008</t>
        </is>
      </c>
      <c r="R3" s="9" t="n"/>
      <c r="S3" s="9" t="n"/>
      <c r="T3" s="9" t="n"/>
      <c r="U3" s="9" t="n"/>
      <c r="V3" s="9" t="n"/>
      <c r="W3" s="9" t="inlineStr">
        <is>
          <t>Scripts</t>
        </is>
      </c>
      <c r="X3" s="9" t="inlineStr">
        <is>
          <t>R</t>
        </is>
      </c>
      <c r="Y3" s="9" t="inlineStr">
        <is>
          <t>Statistical analysis</t>
        </is>
      </c>
      <c r="Z3" s="9" t="n"/>
      <c r="AA3" s="9" t="n"/>
      <c r="AB3" s="9" t="n"/>
      <c r="AC3" s="9" t="n"/>
      <c r="AD3" s="9" t="n"/>
      <c r="AE3" s="9" t="n"/>
      <c r="AF3" s="9" t="n"/>
      <c r="AG3" s="9" t="n"/>
    </row>
    <row r="4">
      <c r="A4" s="9" t="inlineStr">
        <is>
          <t>PLC</t>
        </is>
      </c>
      <c r="B4" s="9" t="inlineStr">
        <is>
          <t>Pure Locational Clustering.</t>
        </is>
      </c>
      <c r="C4" s="9" t="n"/>
      <c r="D4" s="9" t="n"/>
      <c r="E4" s="9" t="n"/>
      <c r="F4" s="9" t="n"/>
      <c r="G4" s="9" t="n"/>
      <c r="H4" s="9" t="n"/>
      <c r="I4" s="9" t="n"/>
      <c r="J4" s="9" t="n"/>
      <c r="K4" s="9" t="n"/>
      <c r="L4" s="9" t="n"/>
      <c r="M4" s="9" t="n"/>
      <c r="N4" s="10" t="inlineStr">
        <is>
          <t>http://www.mattpeeples.net/modules/PLC.html</t>
        </is>
      </c>
      <c r="O4" s="9" t="n"/>
      <c r="P4" s="9" t="n"/>
      <c r="Q4" s="9" t="inlineStr">
        <is>
          <t>mpeeples2008</t>
        </is>
      </c>
      <c r="R4" s="9" t="n"/>
      <c r="S4" s="9" t="n"/>
      <c r="T4" s="9" t="n"/>
      <c r="U4" s="9" t="n"/>
      <c r="V4" s="9" t="n"/>
      <c r="W4" s="9" t="inlineStr">
        <is>
          <t>Scripts</t>
        </is>
      </c>
      <c r="X4" s="9" t="inlineStr">
        <is>
          <t>R</t>
        </is>
      </c>
      <c r="Y4" s="9" t="inlineStr">
        <is>
          <t>Statistical analysis</t>
        </is>
      </c>
      <c r="Z4" s="9" t="n"/>
      <c r="AA4" s="9" t="n"/>
      <c r="AB4" s="9" t="n"/>
      <c r="AC4" s="9" t="n"/>
      <c r="AD4" s="9" t="n"/>
      <c r="AE4" s="9" t="n"/>
      <c r="AF4" s="9" t="n"/>
      <c r="AG4" s="9" t="n"/>
    </row>
    <row r="5">
      <c r="A5" s="9" t="inlineStr">
        <is>
          <t>UnconstrainedClustering</t>
        </is>
      </c>
      <c r="B5" s="9" t="inlineStr">
        <is>
          <t>Unconstrained Clustering.</t>
        </is>
      </c>
      <c r="C5" s="9" t="n"/>
      <c r="D5" s="9" t="n"/>
      <c r="E5" s="9" t="n"/>
      <c r="F5" s="9" t="n"/>
      <c r="G5" s="9" t="n"/>
      <c r="H5" s="9" t="n"/>
      <c r="I5" s="9" t="n"/>
      <c r="J5" s="9" t="n"/>
      <c r="K5" s="9" t="n"/>
      <c r="L5" s="9" t="n"/>
      <c r="M5" s="9" t="n"/>
      <c r="N5" s="10" t="inlineStr">
        <is>
          <t>http://www.mattpeeples.net/modules/UnconstrainedClustering.html</t>
        </is>
      </c>
      <c r="O5" s="9" t="n"/>
      <c r="P5" s="9" t="n"/>
      <c r="Q5" s="9" t="inlineStr">
        <is>
          <t>mpeeples2008</t>
        </is>
      </c>
      <c r="R5" s="9" t="n"/>
      <c r="S5" s="9" t="n"/>
      <c r="T5" s="9" t="n"/>
      <c r="U5" s="9" t="n"/>
      <c r="V5" s="9" t="n"/>
      <c r="W5" s="9" t="inlineStr">
        <is>
          <t>Scripts</t>
        </is>
      </c>
      <c r="X5" s="9" t="inlineStr">
        <is>
          <t>R</t>
        </is>
      </c>
      <c r="Y5" s="9" t="inlineStr">
        <is>
          <t>Statistical analysis</t>
        </is>
      </c>
      <c r="Z5" s="9" t="n"/>
      <c r="AA5" s="9" t="n"/>
      <c r="AB5" s="9" t="n"/>
      <c r="AC5" s="9" t="n"/>
      <c r="AD5" s="9" t="n"/>
      <c r="AE5" s="9" t="n"/>
      <c r="AF5" s="9" t="n"/>
      <c r="AG5" s="9" t="n"/>
    </row>
    <row r="6">
      <c r="A6" s="9" t="inlineStr">
        <is>
          <t>BasicMapping</t>
        </is>
      </c>
      <c r="B6" s="9" t="inlineStr">
        <is>
          <t>Working with map data in R.</t>
        </is>
      </c>
      <c r="C6" s="9" t="n"/>
      <c r="D6" s="9" t="n"/>
      <c r="E6" s="9" t="n"/>
      <c r="F6" s="9" t="n"/>
      <c r="G6" s="9" t="n"/>
      <c r="H6" s="9" t="n"/>
      <c r="I6" s="9" t="n"/>
      <c r="J6" s="9" t="n"/>
      <c r="K6" s="9" t="n"/>
      <c r="L6" s="9" t="n"/>
      <c r="M6" s="9" t="n"/>
      <c r="N6" s="10" t="inlineStr">
        <is>
          <t>http://www.mattpeeples.net/modules/BasicMapping.html</t>
        </is>
      </c>
      <c r="O6" s="9" t="n"/>
      <c r="P6" s="9" t="n"/>
      <c r="Q6" s="9" t="inlineStr">
        <is>
          <t>mpeeples2008</t>
        </is>
      </c>
      <c r="R6" s="9" t="n"/>
      <c r="S6" s="9" t="n"/>
      <c r="T6" s="9" t="n"/>
      <c r="U6" s="9" t="n"/>
      <c r="V6" s="9" t="n"/>
      <c r="W6" s="9" t="inlineStr">
        <is>
          <t>Scripts</t>
        </is>
      </c>
      <c r="X6" s="9" t="inlineStr">
        <is>
          <t>R</t>
        </is>
      </c>
      <c r="Y6" s="9" t="inlineStr">
        <is>
          <t>Statistical analysis</t>
        </is>
      </c>
      <c r="Z6" s="9" t="n"/>
      <c r="AA6" s="9" t="n"/>
      <c r="AB6" s="9" t="n"/>
      <c r="AC6" s="9" t="n"/>
      <c r="AD6" s="9" t="n"/>
      <c r="AE6" s="9" t="n"/>
      <c r="AF6" s="9" t="n"/>
      <c r="AG6" s="9" t="n"/>
    </row>
    <row r="7">
      <c r="A7" s="9" t="inlineStr">
        <is>
          <t>PointPattern</t>
        </is>
      </c>
      <c r="B7" s="9" t="inlineStr">
        <is>
          <t>Point Pattern Analysis.</t>
        </is>
      </c>
      <c r="C7" s="9" t="n"/>
      <c r="D7" s="9" t="n"/>
      <c r="E7" s="9" t="n"/>
      <c r="F7" s="9" t="n"/>
      <c r="G7" s="9" t="n"/>
      <c r="H7" s="9" t="n"/>
      <c r="I7" s="9" t="n"/>
      <c r="J7" s="9" t="n"/>
      <c r="K7" s="9" t="n"/>
      <c r="L7" s="9" t="n"/>
      <c r="M7" s="9" t="n"/>
      <c r="N7" s="10" t="inlineStr">
        <is>
          <t>http://www.mattpeeples.net/modules/PointPattern.html</t>
        </is>
      </c>
      <c r="O7" s="9" t="n"/>
      <c r="P7" s="9" t="n"/>
      <c r="Q7" s="9" t="inlineStr">
        <is>
          <t>mpeeples2008</t>
        </is>
      </c>
      <c r="R7" s="9" t="n"/>
      <c r="S7" s="9" t="n"/>
      <c r="T7" s="9" t="n"/>
      <c r="U7" s="9" t="n"/>
      <c r="V7" s="9" t="n"/>
      <c r="W7" s="9" t="inlineStr">
        <is>
          <t>Scripts</t>
        </is>
      </c>
      <c r="X7" s="9" t="inlineStr">
        <is>
          <t>R</t>
        </is>
      </c>
      <c r="Y7" s="9" t="inlineStr">
        <is>
          <t>Statistical analysis</t>
        </is>
      </c>
      <c r="Z7" s="9" t="n"/>
      <c r="AA7" s="9" t="n"/>
      <c r="AB7" s="9" t="n"/>
      <c r="AC7" s="9" t="n"/>
      <c r="AD7" s="9" t="n"/>
      <c r="AE7" s="9" t="n"/>
      <c r="AF7" s="9" t="n"/>
      <c r="AG7" s="9" t="n"/>
    </row>
    <row r="8">
      <c r="A8" s="9" t="inlineStr">
        <is>
          <t>Explographe</t>
        </is>
      </c>
      <c r="B8" s="9" t="inlineStr">
        <is>
          <t>Application (in LibreOffice Calc) for serializing a graphic matrix from counting tables. The application makes it possible to obtain either a serograph or a graph of the PVI matrograph type (visualization of the differences in independence from the percentages of independence values) which does not favor the vision of the variables over that of the lines and more suitable for non-chronological treatments.</t>
        </is>
      </c>
      <c r="C8" s="9" t="n"/>
      <c r="D8" s="9" t="n"/>
      <c r="E8" s="9" t="n"/>
      <c r="F8" s="9" t="n"/>
      <c r="G8" s="9" t="n"/>
      <c r="H8" s="9" t="n"/>
      <c r="I8" s="9" t="n"/>
      <c r="J8" s="9" t="n"/>
      <c r="K8" s="9" t="n"/>
      <c r="L8" s="9" t="n"/>
      <c r="M8" s="9" t="n"/>
      <c r="N8" s="10" t="inlineStr">
        <is>
          <t>https://abp.hypotheses.org/le-programme-bassin-parisien/les-projets/les-projets-associes-au-programme/outils-danalyse-graphique-des-donnees</t>
        </is>
      </c>
      <c r="O8" s="9" t="n"/>
      <c r="P8" s="9" t="n"/>
      <c r="Q8" s="9" t="inlineStr">
        <is>
          <t>Bruno Desachy</t>
        </is>
      </c>
      <c r="R8" s="9" t="n"/>
      <c r="S8" s="9" t="n"/>
      <c r="T8" s="9" t="n"/>
      <c r="U8" s="9" t="n"/>
      <c r="V8" s="9" t="n"/>
      <c r="W8" s="9" t="inlineStr">
        <is>
          <t>Packages and libraries</t>
        </is>
      </c>
      <c r="X8" s="9" t="inlineStr">
        <is>
          <t>LibreOffice Calc</t>
        </is>
      </c>
      <c r="Y8" s="9" t="inlineStr">
        <is>
          <t>Statistical analysis</t>
        </is>
      </c>
      <c r="Z8" s="9" t="n"/>
      <c r="AA8" s="9" t="n"/>
      <c r="AB8" s="9" t="n"/>
      <c r="AC8" s="9" t="n"/>
      <c r="AD8" s="9" t="n"/>
      <c r="AE8" s="9" t="n"/>
      <c r="AF8" s="9" t="n"/>
      <c r="AG8" s="9" t="n"/>
    </row>
    <row r="9">
      <c r="A9" s="9" t="inlineStr">
        <is>
          <t>Harris-matrix-legacy</t>
        </is>
      </c>
      <c r="B9" s="9" t="inlineStr">
        <is>
          <t>Create a Harris Matrix from archaeological stratigraphy data using Python and Graphviz.</t>
        </is>
      </c>
      <c r="C9" s="9" t="n"/>
      <c r="D9" s="9" t="n"/>
      <c r="E9" s="9" t="n"/>
      <c r="F9" s="9" t="n"/>
      <c r="G9" s="9" t="n"/>
      <c r="H9" s="9" t="n"/>
      <c r="I9" s="9" t="n"/>
      <c r="J9" s="10" t="inlineStr">
        <is>
          <t>https://codeberg.org/steko/harris-matrix-legacy</t>
        </is>
      </c>
      <c r="K9" s="9" t="n"/>
      <c r="L9" s="9" t="n"/>
      <c r="M9" s="9" t="n"/>
      <c r="N9" s="10" t="inlineStr">
        <is>
          <t>https://www.iosa.it/2008/08/27/harris-matrix-with-graphviz-a-draft-application-with-python/</t>
        </is>
      </c>
      <c r="O9" s="9" t="n"/>
      <c r="P9" s="9" t="n"/>
      <c r="Q9" s="9" t="inlineStr">
        <is>
          <t>steko</t>
        </is>
      </c>
      <c r="R9" s="9" t="inlineStr">
        <is>
          <t>iosa</t>
        </is>
      </c>
      <c r="S9" s="9" t="n"/>
      <c r="T9" s="9" t="n"/>
      <c r="U9" s="9" t="n"/>
      <c r="V9" s="9" t="n"/>
      <c r="W9" s="9" t="inlineStr">
        <is>
          <t>Packages and libraries</t>
        </is>
      </c>
      <c r="X9" s="9" t="inlineStr">
        <is>
          <t>Python</t>
        </is>
      </c>
      <c r="Y9" s="9" t="inlineStr">
        <is>
          <t>Harris matrix</t>
        </is>
      </c>
      <c r="Z9" s="9" t="n"/>
      <c r="AA9" s="9" t="n"/>
      <c r="AB9" s="9" t="n"/>
      <c r="AC9" s="9" t="n"/>
      <c r="AD9" s="9" t="n"/>
      <c r="AE9" s="9" t="n"/>
      <c r="AF9" s="9" t="n"/>
      <c r="AG9" s="9" t="n"/>
    </row>
    <row r="10">
      <c r="A10" s="9" t="inlineStr">
        <is>
          <t>Le Stratifiant</t>
        </is>
      </c>
      <c r="B10" s="9" t="inlineStr">
        <is>
          <t>Application for creating stratigraphic diagrams and checking the consistency of the chronostratigraphic recording.</t>
        </is>
      </c>
      <c r="C10" s="9" t="n"/>
      <c r="D10" s="9" t="n"/>
      <c r="E10" s="9" t="n"/>
      <c r="F10" s="9" t="n"/>
      <c r="G10" s="9" t="n"/>
      <c r="H10" s="9" t="n"/>
      <c r="I10" s="9" t="n"/>
      <c r="J10" s="9" t="n"/>
      <c r="K10" s="9" t="n"/>
      <c r="L10" s="9" t="n"/>
      <c r="M10" s="9" t="n"/>
      <c r="N10" s="10" t="inlineStr">
        <is>
          <t>https://abp.hypotheses.org/3965</t>
        </is>
      </c>
      <c r="O10" s="9" t="n"/>
      <c r="P10" s="9" t="n"/>
      <c r="Q10" s="9" t="inlineStr">
        <is>
          <t>Bruno Desachy</t>
        </is>
      </c>
      <c r="R10" s="9" t="n"/>
      <c r="S10" s="9" t="n"/>
      <c r="T10" s="9" t="n"/>
      <c r="U10" s="9" t="n"/>
      <c r="V10" s="9" t="n"/>
      <c r="W10" s="9" t="inlineStr">
        <is>
          <t>Packages and libraries</t>
        </is>
      </c>
      <c r="X10" s="9" t="inlineStr">
        <is>
          <t>Microsoft Excel</t>
        </is>
      </c>
      <c r="Y10" s="9" t="inlineStr">
        <is>
          <t>Harris matrix</t>
        </is>
      </c>
      <c r="Z10" s="9" t="n"/>
      <c r="AA10" s="9" t="n"/>
      <c r="AB10" s="9" t="n"/>
      <c r="AC10" s="9" t="n"/>
      <c r="AD10" s="9" t="n"/>
      <c r="AE10" s="9" t="n"/>
      <c r="AF10" s="9" t="n"/>
      <c r="AG10" s="9" t="n"/>
    </row>
    <row r="11">
      <c r="A11" s="9" t="inlineStr">
        <is>
          <t>Chronophage</t>
        </is>
      </c>
      <c r="B11" s="9" t="inlineStr">
        <is>
          <t>Applications for obtaining chronograms (quantified chronology diagrams) and time distribution curves of archaeological or historical units from quantified dating indicators treated as inaccuracy intervals.</t>
        </is>
      </c>
      <c r="C11" s="9" t="n"/>
      <c r="D11" s="9" t="n"/>
      <c r="E11" s="9" t="n"/>
      <c r="F11" s="9" t="n"/>
      <c r="G11" s="9" t="n"/>
      <c r="H11" s="9" t="n"/>
      <c r="I11" s="9" t="n"/>
      <c r="J11" s="9" t="n"/>
      <c r="K11" s="9" t="n"/>
      <c r="L11" s="9" t="n"/>
      <c r="M11" s="9" t="n"/>
      <c r="N11" s="10" t="inlineStr">
        <is>
          <t>https://abp.hypotheses.org/4284</t>
        </is>
      </c>
      <c r="O11" s="9" t="n"/>
      <c r="P11" s="9" t="n"/>
      <c r="Q11" s="9" t="inlineStr">
        <is>
          <t>Bruno Desachy</t>
        </is>
      </c>
      <c r="R11" s="9" t="n"/>
      <c r="S11" s="9" t="n"/>
      <c r="T11" s="9" t="n"/>
      <c r="U11" s="9" t="n"/>
      <c r="V11" s="9" t="n"/>
      <c r="W11" s="9" t="inlineStr">
        <is>
          <t>Packages and libraries</t>
        </is>
      </c>
      <c r="X11" s="9" t="inlineStr">
        <is>
          <t>LibreOffice Calc</t>
        </is>
      </c>
      <c r="Y11" s="9" t="inlineStr">
        <is>
          <t>Chronological modelling</t>
        </is>
      </c>
      <c r="Z11" s="9" t="n"/>
      <c r="AA11" s="9" t="n"/>
      <c r="AB11" s="9" t="n"/>
      <c r="AC11" s="9" t="n"/>
      <c r="AD11" s="9" t="n"/>
      <c r="AE11" s="9" t="n"/>
      <c r="AF11" s="9" t="n"/>
      <c r="AG11" s="9" t="n"/>
    </row>
    <row r="12">
      <c r="A12" s="9" t="inlineStr">
        <is>
          <t>Seriographe EPPM</t>
        </is>
      </c>
      <c r="B12" s="9" t="inlineStr">
        <is>
          <t>The EPPM serograph is a graphical tool for chronological serialization of archaeological furniture counting tables.</t>
        </is>
      </c>
      <c r="C12" s="9" t="n"/>
      <c r="D12" s="9" t="n"/>
      <c r="E12" s="9" t="n"/>
      <c r="F12" s="9" t="n"/>
      <c r="G12" s="9" t="n"/>
      <c r="H12" s="9" t="n"/>
      <c r="I12" s="9" t="n"/>
      <c r="J12" s="9" t="n"/>
      <c r="K12" s="9" t="n"/>
      <c r="L12" s="9" t="n"/>
      <c r="M12" s="9" t="n"/>
      <c r="N12" s="10" t="inlineStr">
        <is>
          <t>https://abp.hypotheses.org/le-programme-bassin-parisien/les-projets/les-projets-associes-au-programme/outils-danalyse-graphique-des-donnees</t>
        </is>
      </c>
      <c r="O12" s="9" t="n"/>
      <c r="P12" s="9" t="n"/>
      <c r="Q12" s="9" t="inlineStr">
        <is>
          <t>Bruno Desachy</t>
        </is>
      </c>
      <c r="R12" s="9" t="n"/>
      <c r="S12" s="9" t="n"/>
      <c r="T12" s="9" t="n"/>
      <c r="U12" s="9" t="n"/>
      <c r="V12" s="9" t="n"/>
      <c r="W12" s="9" t="inlineStr">
        <is>
          <t>Packages and libraries</t>
        </is>
      </c>
      <c r="X12" s="9" t="inlineStr">
        <is>
          <t>Microsoft Excel</t>
        </is>
      </c>
      <c r="Y12" s="9" t="inlineStr">
        <is>
          <t>Chronological modelling</t>
        </is>
      </c>
      <c r="Z12" s="9" t="n"/>
      <c r="AA12" s="9" t="n"/>
      <c r="AB12" s="9" t="n"/>
      <c r="AC12" s="9" t="n"/>
      <c r="AD12" s="9" t="n"/>
      <c r="AE12" s="9" t="n"/>
      <c r="AF12" s="9" t="n"/>
      <c r="AG12" s="9" t="n"/>
    </row>
    <row r="13">
      <c r="A13" s="9" t="inlineStr">
        <is>
          <t>Crossbones</t>
        </is>
      </c>
      <c r="B13" s="9" t="inlineStr">
        <is>
          <t>Crossbones autogenerates 3D schematic skeletons, making rapid surveying and visualisation of dense skeletal assemblages a snap.</t>
        </is>
      </c>
      <c r="C13" s="9" t="n"/>
      <c r="D13" s="9" t="n"/>
      <c r="E13" s="9" t="n"/>
      <c r="F13" s="9" t="n"/>
      <c r="G13" s="9" t="n"/>
      <c r="H13" s="9" t="n"/>
      <c r="I13" s="9" t="n"/>
      <c r="J13" s="9" t="n"/>
      <c r="K13" s="9" t="n"/>
      <c r="L13" s="9" t="n"/>
      <c r="M13" s="9" t="n"/>
      <c r="N13" s="10" t="inlineStr">
        <is>
          <t>http://oadigital.net/software/xbones.html</t>
        </is>
      </c>
      <c r="O13" s="9" t="n"/>
      <c r="P13" s="9" t="n"/>
      <c r="Q13" s="9" t="inlineStr">
        <is>
          <t>Leif Isaksen</t>
        </is>
      </c>
      <c r="R13" s="9" t="n"/>
      <c r="S13" s="9" t="n"/>
      <c r="T13" s="9" t="n"/>
      <c r="U13" s="9" t="n"/>
      <c r="V13" s="9" t="n"/>
      <c r="W13" s="9" t="inlineStr">
        <is>
          <t>Standalone software</t>
        </is>
      </c>
      <c r="X13" s="9" t="n"/>
      <c r="Y13" s="9" t="inlineStr">
        <is>
          <t>Zooarchaeology</t>
        </is>
      </c>
      <c r="Z13" s="9" t="n"/>
      <c r="AA13" s="9" t="n"/>
      <c r="AB13" s="9" t="n"/>
      <c r="AC13" s="9" t="n"/>
      <c r="AD13" s="9" t="n"/>
      <c r="AE13" s="9" t="n"/>
      <c r="AF13" s="9" t="n"/>
      <c r="AG13" s="9" t="n"/>
    </row>
    <row r="14">
      <c r="A14" s="9" t="inlineStr">
        <is>
          <t>artefact-morpho.R</t>
        </is>
      </c>
      <c r="B14" s="9" t="inlineStr">
        <is>
          <t>R code for converting B&amp;W jpgs of artefact silhouettes to matrices and computing basic Elliptical Fourier statistics, including PCA and MANOVA.</t>
        </is>
      </c>
      <c r="C14" s="9" t="n"/>
      <c r="D14" s="10" t="inlineStr">
        <is>
          <t>https://gist.github.com/benmarwick/6260541</t>
        </is>
      </c>
      <c r="E14" s="9" t="n"/>
      <c r="F14" s="9" t="n"/>
      <c r="G14" s="9" t="n"/>
      <c r="H14" s="9" t="n"/>
      <c r="I14" s="9" t="n"/>
      <c r="J14" s="9" t="n"/>
      <c r="K14" s="9" t="n"/>
      <c r="L14" s="9" t="n"/>
      <c r="M14" s="9" t="n"/>
      <c r="N14" s="9" t="n"/>
      <c r="O14" s="9" t="n"/>
      <c r="P14" s="9" t="n"/>
      <c r="Q14" s="9" t="inlineStr">
        <is>
          <t>benmarwick</t>
        </is>
      </c>
      <c r="R14" s="9" t="n"/>
      <c r="S14" s="9" t="n"/>
      <c r="T14" s="9" t="n"/>
      <c r="U14" s="9" t="n"/>
      <c r="V14" s="9" t="n"/>
      <c r="W14" s="9" t="inlineStr">
        <is>
          <t>Scripts</t>
        </is>
      </c>
      <c r="X14" s="9" t="inlineStr">
        <is>
          <t>R</t>
        </is>
      </c>
      <c r="Y14" s="9" t="inlineStr">
        <is>
          <t>Shape recognition</t>
        </is>
      </c>
      <c r="Z14" s="9" t="n"/>
      <c r="AA14" s="9" t="n"/>
      <c r="AB14" s="9" t="n"/>
      <c r="AC14" s="9" t="n"/>
      <c r="AD14" s="9" t="n"/>
      <c r="AE14" s="10" t="inlineStr">
        <is>
          <t>https://archive.org/details/gist.github.com-6260541_-_2015-12-21_05-58-59</t>
        </is>
      </c>
      <c r="AF14" s="9" t="n"/>
      <c r="AG14" s="9" t="n"/>
    </row>
    <row r="15">
      <c r="A15" s="9" t="inlineStr">
        <is>
          <t>RTIBuilder</t>
        </is>
      </c>
      <c r="B15" s="9" t="inlineStr">
        <is>
          <t>A software interface to a set of tools that process your captured image set to produce the final RTI files. The RTIBuilder download includes the Hemispherical Harmonics (HSH) fitter to create .rti files.</t>
        </is>
      </c>
      <c r="C15" s="9" t="n"/>
      <c r="D15" s="9" t="n"/>
      <c r="E15" s="9" t="n"/>
      <c r="F15" s="9" t="n"/>
      <c r="G15" s="9" t="n"/>
      <c r="H15" s="9" t="n"/>
      <c r="I15" s="9" t="n"/>
      <c r="J15" s="9" t="n"/>
      <c r="K15" s="9" t="n"/>
      <c r="L15" s="9" t="n"/>
      <c r="M15" s="9" t="n"/>
      <c r="N15" s="10" t="inlineStr">
        <is>
          <t>http://culturalheritageimaging.org/What_We_Offer/Downloads/Process/index.html</t>
        </is>
      </c>
      <c r="O15" s="9" t="n"/>
      <c r="P15" s="9" t="n"/>
      <c r="Q15" s="9" t="inlineStr">
        <is>
          <t>culturalheritageimaging</t>
        </is>
      </c>
      <c r="R15" s="9" t="n"/>
      <c r="S15" s="9" t="n"/>
      <c r="T15" s="9" t="n"/>
      <c r="U15" s="9" t="n"/>
      <c r="V15" s="9" t="n"/>
      <c r="W15" s="9" t="inlineStr">
        <is>
          <t>Standalone software</t>
        </is>
      </c>
      <c r="X15" s="9" t="n"/>
      <c r="Y15" s="9" t="inlineStr">
        <is>
          <t>Photogrammetry</t>
        </is>
      </c>
      <c r="Z15" s="9" t="n"/>
      <c r="AA15" s="9" t="n"/>
      <c r="AB15" s="9" t="n"/>
      <c r="AC15" s="9" t="n"/>
      <c r="AD15" s="9" t="n"/>
      <c r="AE15" s="9" t="n"/>
      <c r="AF15" s="9" t="n"/>
      <c r="AG15" s="9" t="n"/>
    </row>
    <row r="16">
      <c r="A16" s="9" t="inlineStr">
        <is>
          <t>RTIViewer</t>
        </is>
      </c>
      <c r="B16" s="9" t="inlineStr">
        <is>
          <t>Enables you to view and explore Reflectance Transformation Imaging (RTI) files at very high resolution (Polynomial Texture Maps, Hemispherical Harmonics Map, and Multiview RTI). You can view image files stored on your local file system, and remote files through HTTP.</t>
        </is>
      </c>
      <c r="C16" s="9" t="n"/>
      <c r="D16" s="9" t="n"/>
      <c r="E16" s="9" t="n"/>
      <c r="F16" s="9" t="n"/>
      <c r="G16" s="9" t="n"/>
      <c r="H16" s="9" t="n"/>
      <c r="I16" s="9" t="n"/>
      <c r="J16" s="9" t="n"/>
      <c r="K16" s="9" t="n"/>
      <c r="L16" s="9" t="n"/>
      <c r="M16" s="9" t="n"/>
      <c r="N16" s="10" t="inlineStr">
        <is>
          <t>http://culturalheritageimaging.org/What_We_Offer/Downloads/View/index.html</t>
        </is>
      </c>
      <c r="O16" s="9" t="n"/>
      <c r="P16" s="9" t="n"/>
      <c r="Q16" s="9" t="inlineStr">
        <is>
          <t>culturalheritageimaging</t>
        </is>
      </c>
      <c r="R16" s="9" t="n"/>
      <c r="S16" s="9" t="n"/>
      <c r="T16" s="9" t="n"/>
      <c r="U16" s="9" t="n"/>
      <c r="V16" s="9" t="n"/>
      <c r="W16" s="9" t="inlineStr">
        <is>
          <t>Standalone software</t>
        </is>
      </c>
      <c r="X16" s="9" t="n"/>
      <c r="Y16" s="9" t="inlineStr">
        <is>
          <t>Photogrammetry</t>
        </is>
      </c>
      <c r="Z16" s="9" t="n"/>
      <c r="AA16" s="9" t="n"/>
      <c r="AB16" s="9" t="n"/>
      <c r="AC16" s="9" t="n"/>
      <c r="AD16" s="9" t="n"/>
      <c r="AE16" s="9" t="n"/>
      <c r="AF16" s="9" t="n"/>
      <c r="AG16" s="9" t="n"/>
    </row>
    <row r="17">
      <c r="A17" s="9" t="inlineStr">
        <is>
          <t>benmarwickDY-XYZ-data-on-an-irregular-grid-to-an-interpolated-raster.r</t>
        </is>
      </c>
      <c r="B17" s="9" t="inlineStr">
        <is>
          <t>Plotting remote sensing data, especially how to go from XYZ data on an irregular grid to an interpolated raster</t>
        </is>
      </c>
      <c r="C17" s="9" t="n"/>
      <c r="D17" s="10" t="inlineStr">
        <is>
          <t>https://gist.github.com/benmarwick/7331879</t>
        </is>
      </c>
      <c r="E17" s="9" t="n"/>
      <c r="F17" s="9" t="n"/>
      <c r="G17" s="9" t="n"/>
      <c r="H17" s="9" t="n"/>
      <c r="I17" s="9" t="n"/>
      <c r="J17" s="9" t="n"/>
      <c r="K17" s="9" t="n"/>
      <c r="L17" s="9" t="n"/>
      <c r="M17" s="9" t="n"/>
      <c r="N17" s="9" t="n"/>
      <c r="O17" s="9" t="n"/>
      <c r="P17" s="9" t="n"/>
      <c r="Q17" s="9" t="inlineStr">
        <is>
          <t>benmarwick</t>
        </is>
      </c>
      <c r="R17" s="9" t="n"/>
      <c r="S17" s="9" t="n"/>
      <c r="T17" s="9" t="n"/>
      <c r="U17" s="9" t="n"/>
      <c r="V17" s="9" t="n"/>
      <c r="W17" s="9" t="inlineStr">
        <is>
          <t>Scripts</t>
        </is>
      </c>
      <c r="X17" s="9" t="inlineStr">
        <is>
          <t>R</t>
        </is>
      </c>
      <c r="Y17" s="9" t="inlineStr">
        <is>
          <t>Aerial and satellite imagery</t>
        </is>
      </c>
      <c r="Z17" s="9" t="n"/>
      <c r="AA17" s="9" t="n"/>
      <c r="AB17" s="9" t="n"/>
      <c r="AC17" s="9" t="n"/>
      <c r="AD17" s="9" t="n"/>
      <c r="AE17" s="10" t="inlineStr">
        <is>
          <t>https://archive.org/details/gist.github.com-7331879_-_2015-12-27_20-29-23</t>
        </is>
      </c>
      <c r="AF17" s="9" t="n"/>
      <c r="AG17" s="9" t="n"/>
    </row>
    <row r="18">
      <c r="A18" s="9" t="inlineStr">
        <is>
          <t>osl_calibration.r</t>
        </is>
      </c>
      <c r="B18" s="9" t="inlineStr">
        <is>
          <t>osl_calibration</t>
        </is>
      </c>
      <c r="C18" s="9" t="n"/>
      <c r="D18" s="10" t="inlineStr">
        <is>
          <t>https://gist.github.com/benmarwick/5f996a0f52ba1d92f76968119f941bd8</t>
        </is>
      </c>
      <c r="E18" s="9" t="n"/>
      <c r="F18" s="9" t="n"/>
      <c r="G18" s="9" t="n"/>
      <c r="H18" s="9" t="n"/>
      <c r="I18" s="9" t="n"/>
      <c r="J18" s="9" t="n"/>
      <c r="K18" s="9" t="n"/>
      <c r="L18" s="9" t="n"/>
      <c r="M18" s="9" t="n"/>
      <c r="N18" s="9" t="n"/>
      <c r="O18" s="9" t="n"/>
      <c r="P18" s="9" t="n"/>
      <c r="Q18" s="9" t="inlineStr">
        <is>
          <t>benmarwick</t>
        </is>
      </c>
      <c r="R18" s="9" t="n"/>
      <c r="S18" s="9" t="n"/>
      <c r="T18" s="9" t="n"/>
      <c r="U18" s="9" t="n"/>
      <c r="V18" s="9" t="n"/>
      <c r="W18" s="9" t="inlineStr">
        <is>
          <t>Scripts</t>
        </is>
      </c>
      <c r="X18" s="9" t="inlineStr">
        <is>
          <t>R</t>
        </is>
      </c>
      <c r="Y18" s="9" t="inlineStr">
        <is>
          <t>Luminescence dating</t>
        </is>
      </c>
      <c r="Z18" s="9" t="n"/>
      <c r="AA18" s="9" t="n"/>
      <c r="AB18" s="9" t="n"/>
      <c r="AC18" s="9" t="n"/>
      <c r="AD18" s="9" t="n"/>
      <c r="AE18" s="10" t="inlineStr">
        <is>
          <t>https://archive.org/details/gist.github.com-5f996a0f52ba1d92f76968119f941bd8_-_2016-05-10_07-53-04</t>
        </is>
      </c>
      <c r="AF18" s="9" t="n"/>
      <c r="AG18" s="9" t="n"/>
    </row>
    <row r="19">
      <c r="A19" s="9" t="inlineStr">
        <is>
          <t>pyArchInit</t>
        </is>
      </c>
      <c r="B19" s="9" t="inlineStr">
        <is>
          <t>A python plugin for QGIS aimed at managing data from archaeological contexts on the GIS platform</t>
        </is>
      </c>
      <c r="C19" s="9" t="n"/>
      <c r="D19" s="9" t="n"/>
      <c r="E19" s="9" t="n"/>
      <c r="F19" s="9" t="n"/>
      <c r="G19" s="9" t="n"/>
      <c r="H19" s="9" t="n"/>
      <c r="I19" s="9" t="n"/>
      <c r="J19" s="9" t="n"/>
      <c r="K19" s="9" t="n"/>
      <c r="L19" s="9" t="n"/>
      <c r="M19" s="9" t="n"/>
      <c r="N19" s="10" t="inlineStr">
        <is>
          <t>https://sites.google.com/site/pyarchinit/</t>
        </is>
      </c>
      <c r="O19" s="9" t="n"/>
      <c r="P19" s="9" t="n"/>
      <c r="Q19" s="9" t="inlineStr">
        <is>
          <t>pyarchinit</t>
        </is>
      </c>
      <c r="R19" s="9" t="n"/>
      <c r="S19" s="9" t="n"/>
      <c r="T19" s="9" t="n"/>
      <c r="U19" s="9" t="n"/>
      <c r="V19" s="9" t="n"/>
      <c r="W19" s="9" t="inlineStr">
        <is>
          <t>Packages and libraries</t>
        </is>
      </c>
      <c r="X19" s="9" t="inlineStr">
        <is>
          <t>QGIS</t>
        </is>
      </c>
      <c r="Y19" s="9" t="inlineStr">
        <is>
          <t>Data management</t>
        </is>
      </c>
      <c r="Z19" s="9" t="n"/>
      <c r="AA19" s="9" t="n"/>
      <c r="AB19" s="9" t="n"/>
      <c r="AC19" s="9" t="n"/>
      <c r="AD19" s="9" t="n"/>
      <c r="AE19" s="9" t="n"/>
      <c r="AF19" s="9" t="n"/>
      <c r="AG19" s="9" t="n"/>
    </row>
    <row r="20">
      <c r="A20" s="9" t="inlineStr">
        <is>
          <t>Stratibase</t>
        </is>
      </c>
      <c r="B20" s="9" t="inlineStr">
        <is>
          <t>Stratibase is a minimal field recording database application (currently in FileMaker FP7 format software), aimed at the simplest structure possible to perform the basic functions of a stratigraphic recording.</t>
        </is>
      </c>
      <c r="C20" s="9" t="n"/>
      <c r="D20" s="9" t="n"/>
      <c r="E20" s="9" t="n"/>
      <c r="F20" s="9" t="n"/>
      <c r="G20" s="9" t="n"/>
      <c r="H20" s="9" t="n"/>
      <c r="I20" s="9" t="n"/>
      <c r="J20" s="9" t="n"/>
      <c r="K20" s="9" t="n"/>
      <c r="L20" s="9" t="n"/>
      <c r="M20" s="9" t="n"/>
      <c r="N20" s="10" t="inlineStr">
        <is>
          <t>https://abp.hypotheses.org/le-programme-bassin-parisien/les-projets/les-projets-associes-au-programme/fsn</t>
        </is>
      </c>
      <c r="O20" s="9" t="n"/>
      <c r="P20" s="9" t="n"/>
      <c r="Q20" s="9" t="inlineStr">
        <is>
          <t>Bruno Desachy</t>
        </is>
      </c>
      <c r="R20" s="9" t="n"/>
      <c r="S20" s="9" t="n"/>
      <c r="T20" s="9" t="n"/>
      <c r="U20" s="9" t="n"/>
      <c r="V20" s="9" t="n"/>
      <c r="W20" s="9" t="inlineStr">
        <is>
          <t>Standalone software</t>
        </is>
      </c>
      <c r="X20" s="9" t="n"/>
      <c r="Y20" s="9" t="inlineStr">
        <is>
          <t>Data management</t>
        </is>
      </c>
      <c r="Z20" s="9" t="n"/>
      <c r="AA20" s="9" t="n"/>
      <c r="AB20" s="9" t="n"/>
      <c r="AC20" s="9" t="n"/>
      <c r="AD20" s="9" t="n"/>
      <c r="AE20" s="9" t="n"/>
      <c r="AF20" s="9" t="n"/>
      <c r="AG20" s="9" t="n"/>
    </row>
    <row r="21">
      <c r="A21" s="9" t="inlineStr">
        <is>
          <t>Fiche Stratigraphique Numérique (FSN)</t>
        </is>
      </c>
      <c r="B21" s="9" t="inlineStr">
        <is>
          <t>Fiche Stratigraphique Numerique (FSN) is an application project for field recording and management of archaeological operations data.</t>
        </is>
      </c>
      <c r="C21" s="9" t="n"/>
      <c r="D21" s="9" t="n"/>
      <c r="E21" s="9" t="n"/>
      <c r="F21" s="9" t="n"/>
      <c r="G21" s="9" t="n"/>
      <c r="H21" s="9" t="n"/>
      <c r="I21" s="9" t="n"/>
      <c r="J21" s="9" t="n"/>
      <c r="K21" s="9" t="n"/>
      <c r="L21" s="9" t="n"/>
      <c r="M21" s="9" t="n"/>
      <c r="N21" s="10" t="inlineStr">
        <is>
          <t>https://abp.hypotheses.org/le-programme-bassin-parisien/les-projets/les-projets-associes-au-programme/fsn</t>
        </is>
      </c>
      <c r="O21" s="9" t="n"/>
      <c r="P21" s="9" t="n"/>
      <c r="Q21" s="9" t="inlineStr">
        <is>
          <t>Bruno Desachy</t>
        </is>
      </c>
      <c r="R21" s="9" t="n"/>
      <c r="S21" s="9" t="n"/>
      <c r="T21" s="9" t="n"/>
      <c r="U21" s="9" t="n"/>
      <c r="V21" s="9" t="n"/>
      <c r="W21" s="9" t="inlineStr">
        <is>
          <t>Standalone software</t>
        </is>
      </c>
      <c r="X21" s="9" t="n"/>
      <c r="Y21" s="9" t="inlineStr">
        <is>
          <t>Data management</t>
        </is>
      </c>
      <c r="Z21" s="9" t="n"/>
      <c r="AA21" s="9" t="n"/>
      <c r="AB21" s="9" t="n"/>
      <c r="AC21" s="9" t="n"/>
      <c r="AD21" s="9" t="n"/>
      <c r="AE21" s="9" t="n"/>
      <c r="AF21" s="9" t="n"/>
      <c r="AG21" s="9" t="n"/>
    </row>
    <row r="22">
      <c r="A22" s="9" t="inlineStr">
        <is>
          <t>benmarwickopencontext.r</t>
        </is>
      </c>
      <c r="B22" s="9" t="inlineStr">
        <is>
          <t>Experimenting with the opencontext.org API using R</t>
        </is>
      </c>
      <c r="C22" s="9" t="n"/>
      <c r="D22" s="10" t="inlineStr">
        <is>
          <t>https://gist.github.com/benmarwick/50aa4c39b7d955d0ec40</t>
        </is>
      </c>
      <c r="E22" s="9" t="n"/>
      <c r="F22" s="9" t="n"/>
      <c r="G22" s="9" t="n"/>
      <c r="H22" s="9" t="n"/>
      <c r="I22" s="9" t="n"/>
      <c r="J22" s="9" t="n"/>
      <c r="K22" s="9" t="n"/>
      <c r="L22" s="9" t="n"/>
      <c r="M22" s="9" t="n"/>
      <c r="N22" s="9" t="n"/>
      <c r="O22" s="9" t="n"/>
      <c r="P22" s="9" t="n"/>
      <c r="Q22" s="9" t="inlineStr">
        <is>
          <t>benmarwick</t>
        </is>
      </c>
      <c r="R22" s="9" t="n"/>
      <c r="S22" s="9" t="n"/>
      <c r="T22" s="9" t="n"/>
      <c r="U22" s="9" t="n"/>
      <c r="V22" s="9" t="n"/>
      <c r="W22" s="9" t="inlineStr">
        <is>
          <t>Scripts</t>
        </is>
      </c>
      <c r="X22" s="9" t="inlineStr">
        <is>
          <t>R</t>
        </is>
      </c>
      <c r="Y22" s="9" t="inlineStr">
        <is>
          <t>API interfaces and web scrapers</t>
        </is>
      </c>
      <c r="Z22" s="9" t="n"/>
      <c r="AA22" s="9" t="n"/>
      <c r="AB22" s="9" t="n"/>
      <c r="AC22" s="9" t="n"/>
      <c r="AD22" s="9" t="n"/>
      <c r="AE22" s="10" t="inlineStr">
        <is>
          <t>https://archive.org/details/gist.github.com-50aa4c39b7d955d0ec40_-_2016-09-16_22-55-57</t>
        </is>
      </c>
      <c r="AF22" s="9" t="n"/>
      <c r="AG22" s="9" t="n"/>
    </row>
    <row r="23">
      <c r="A23" s="9" t="inlineStr">
        <is>
          <t>munsell-plot.R</t>
        </is>
      </c>
      <c r="B23" s="9" t="inlineStr">
        <is>
          <t>Make a stratigraphic-style plot-schematic of sediment colour using munsell values</t>
        </is>
      </c>
      <c r="C23" s="9" t="n"/>
      <c r="D23" s="10" t="inlineStr">
        <is>
          <t>https://gist.github.com/benmarwick/f32cbc2fe7297ec9f276b52c118a249a</t>
        </is>
      </c>
      <c r="E23" s="9" t="n"/>
      <c r="F23" s="9" t="n"/>
      <c r="G23" s="9" t="n"/>
      <c r="H23" s="9" t="n"/>
      <c r="I23" s="9" t="n"/>
      <c r="J23" s="9" t="n"/>
      <c r="K23" s="9" t="n"/>
      <c r="L23" s="9" t="n"/>
      <c r="M23" s="9" t="n"/>
      <c r="N23" s="9" t="n"/>
      <c r="O23" s="9" t="n"/>
      <c r="P23" s="9" t="n"/>
      <c r="Q23" s="9" t="inlineStr">
        <is>
          <t>benmarwick</t>
        </is>
      </c>
      <c r="R23" s="9" t="n"/>
      <c r="S23" s="9" t="n"/>
      <c r="T23" s="9" t="n"/>
      <c r="U23" s="9" t="n"/>
      <c r="V23" s="9" t="n"/>
      <c r="W23" s="9" t="inlineStr">
        <is>
          <t>Scripts</t>
        </is>
      </c>
      <c r="X23" s="9" t="inlineStr">
        <is>
          <t>R</t>
        </is>
      </c>
      <c r="Y23" s="9" t="inlineStr">
        <is>
          <t>Diagrams and visualizations</t>
        </is>
      </c>
      <c r="Z23" s="9" t="n"/>
      <c r="AA23" s="9" t="n"/>
      <c r="AB23" s="9" t="n"/>
      <c r="AC23" s="9" t="n"/>
      <c r="AD23" s="9" t="n"/>
      <c r="AE23" s="10" t="inlineStr">
        <is>
          <t>https://archive.org/details/gist.github.com-f32cbc2fe7297ec9f276b52c118a249a_-_2019-03-16_00-28-14</t>
        </is>
      </c>
      <c r="AF23" s="9" t="n"/>
      <c r="AG23" s="9" t="n"/>
    </row>
    <row r="24">
      <c r="A24" s="9" t="inlineStr">
        <is>
          <t>archaeology_on_wikipedia.R</t>
        </is>
      </c>
      <c r="B24" s="9" t="inlineStr">
        <is>
          <t>How does wikipedia see archaeology?</t>
        </is>
      </c>
      <c r="C24" s="9" t="n"/>
      <c r="D24" s="10" t="inlineStr">
        <is>
          <t>https://gist.github.com/benmarwick/0d5e6526604e755b556f</t>
        </is>
      </c>
      <c r="E24" s="9" t="n"/>
      <c r="F24" s="9" t="n"/>
      <c r="G24" s="9" t="n"/>
      <c r="H24" s="9" t="n"/>
      <c r="I24" s="9" t="n"/>
      <c r="J24" s="9" t="n"/>
      <c r="K24" s="9" t="n"/>
      <c r="L24" s="9" t="n"/>
      <c r="M24" s="9" t="n"/>
      <c r="N24" s="9" t="n"/>
      <c r="O24" s="9" t="n"/>
      <c r="P24" s="9" t="n"/>
      <c r="Q24" s="9" t="inlineStr">
        <is>
          <t>benmarwick</t>
        </is>
      </c>
      <c r="R24" s="9" t="n"/>
      <c r="S24" s="9" t="n"/>
      <c r="T24" s="9" t="n"/>
      <c r="U24" s="9" t="n"/>
      <c r="V24" s="9" t="n"/>
      <c r="W24" s="9" t="inlineStr">
        <is>
          <t>Products</t>
        </is>
      </c>
      <c r="X24" s="9" t="n"/>
      <c r="Y24" s="9" t="inlineStr">
        <is>
          <t>Public archaeology</t>
        </is>
      </c>
      <c r="Z24" s="9" t="n"/>
      <c r="AA24" s="9" t="n"/>
      <c r="AB24" s="9" t="n"/>
      <c r="AC24" s="9" t="n"/>
      <c r="AD24" s="9" t="n"/>
      <c r="AE24" s="10" t="inlineStr">
        <is>
          <t>https://archive.org/details/gist.github.com-0d5e6526604e755b556f_-_2015-09-22_16-54-45</t>
        </is>
      </c>
      <c r="AF24" s="9" t="n"/>
      <c r="AG24" s="9" t="n"/>
    </row>
    <row r="25">
      <c r="A25" s="9" t="inlineStr">
        <is>
          <t>tweet-edits-to-archaeology-articles.R</t>
        </is>
      </c>
      <c r="B25" s="9" t="inlineStr">
        <is>
          <t>Using R with wikipedia for various things</t>
        </is>
      </c>
      <c r="C25" s="9" t="n"/>
      <c r="D25" s="10" t="inlineStr">
        <is>
          <t>https://gist.github.com/benmarwick/ac394fd61f481393b0ae</t>
        </is>
      </c>
      <c r="E25" s="9" t="n"/>
      <c r="F25" s="9" t="n"/>
      <c r="G25" s="9" t="n"/>
      <c r="H25" s="9" t="n"/>
      <c r="I25" s="9" t="n"/>
      <c r="J25" s="9" t="n"/>
      <c r="K25" s="9" t="n"/>
      <c r="L25" s="9" t="n"/>
      <c r="M25" s="9" t="n"/>
      <c r="N25" s="9" t="n"/>
      <c r="O25" s="9" t="n"/>
      <c r="P25" s="9" t="n"/>
      <c r="Q25" s="9" t="inlineStr">
        <is>
          <t>benmarwick</t>
        </is>
      </c>
      <c r="R25" s="9" t="n"/>
      <c r="S25" s="9" t="n"/>
      <c r="T25" s="9" t="n"/>
      <c r="U25" s="9" t="n"/>
      <c r="V25" s="9" t="n"/>
      <c r="W25" s="9" t="inlineStr">
        <is>
          <t>Products</t>
        </is>
      </c>
      <c r="X25" s="9" t="n"/>
      <c r="Y25" s="9" t="inlineStr">
        <is>
          <t>Public archaeology</t>
        </is>
      </c>
      <c r="Z25" s="9" t="n"/>
      <c r="AA25" s="9" t="n"/>
      <c r="AB25" s="9" t="n"/>
      <c r="AC25" s="9" t="n"/>
      <c r="AD25" s="9" t="n"/>
      <c r="AE25" s="10" t="inlineStr">
        <is>
          <t>https://archive.org/details/gist.github.com-ac394fd61f481393b0ae_-_2020-06-14_18-15-41</t>
        </is>
      </c>
      <c r="AF25" s="9" t="n"/>
      <c r="AG25" s="9" t="n"/>
    </row>
    <row r="26">
      <c r="A26" s="9" t="inlineStr">
        <is>
          <t>Sériation de matrice en présence/absence</t>
        </is>
      </c>
      <c r="B26" s="9" t="inlineStr">
        <is>
          <t>Excel file containing macro commands making it possible to transform a 1/0 table (presence / absence) into a graphic matrix treated by matrix permutations; it is possible to take into account the uncertain presence of a character. The instructions for use are contained in the file.</t>
        </is>
      </c>
      <c r="C26" s="9" t="n"/>
      <c r="D26" s="9" t="n"/>
      <c r="E26" s="9" t="n"/>
      <c r="F26" s="9" t="n"/>
      <c r="G26" s="9" t="n"/>
      <c r="H26" s="9" t="n"/>
      <c r="I26" s="9" t="n"/>
      <c r="J26" s="9" t="n"/>
      <c r="K26" s="9" t="n"/>
      <c r="L26" s="9" t="n"/>
      <c r="M26" s="9" t="n"/>
      <c r="N26" s="10" t="inlineStr">
        <is>
          <t>https://abp.hypotheses.org/le-programme-bassin-parisien/les-projets/les-projets-associes-au-programme/outils-danalyse-graphique-des-donnees</t>
        </is>
      </c>
      <c r="O26" s="9" t="n"/>
      <c r="P26" s="9" t="n"/>
      <c r="Q26" s="9" t="inlineStr">
        <is>
          <t>Bruno Desachy</t>
        </is>
      </c>
      <c r="R26" s="9" t="n"/>
      <c r="S26" s="9" t="n"/>
      <c r="T26" s="9" t="n"/>
      <c r="U26" s="9" t="n"/>
      <c r="V26" s="9" t="n"/>
      <c r="W26" s="9" t="inlineStr">
        <is>
          <t>Scripts</t>
        </is>
      </c>
      <c r="X26" s="9" t="inlineStr">
        <is>
          <t>Microsoft Excel</t>
        </is>
      </c>
      <c r="Y26" s="9" t="inlineStr">
        <is>
          <t>Bits and bobs</t>
        </is>
      </c>
      <c r="Z26" s="9" t="inlineStr">
        <is>
          <t>Seriation</t>
        </is>
      </c>
      <c r="AA26" s="9" t="n"/>
      <c r="AB26" s="9" t="n"/>
      <c r="AC26" s="9" t="n"/>
      <c r="AD26" s="9" t="n"/>
      <c r="AE26" s="9" t="n"/>
      <c r="AF26" s="9" t="n"/>
      <c r="AG26" s="9" t="n"/>
    </row>
    <row r="27">
      <c r="A27" s="9" t="inlineStr">
        <is>
          <t>HumanOS</t>
        </is>
      </c>
      <c r="B27" s="9" t="inlineStr">
        <is>
          <t>A mobile application for the intuitive recording of human bones from archaeological sites.</t>
        </is>
      </c>
      <c r="C27" s="9" t="n"/>
      <c r="D27" s="9" t="n"/>
      <c r="E27" s="9" t="n"/>
      <c r="F27" s="9" t="n"/>
      <c r="G27" s="9" t="n"/>
      <c r="H27" s="9" t="n"/>
      <c r="I27" s="9" t="n"/>
      <c r="J27" s="9" t="n"/>
      <c r="K27" s="9" t="n"/>
      <c r="L27" s="9" t="n"/>
      <c r="M27" s="9" t="n"/>
      <c r="N27" s="10" t="inlineStr">
        <is>
          <t>https://www.humanos.cnrs.fr/</t>
        </is>
      </c>
      <c r="O27" s="10" t="inlineStr">
        <is>
          <t>https://polipapers.upv.es/index.php/var/article/view/13422</t>
        </is>
      </c>
      <c r="P27" s="9" t="inlineStr">
        <is>
          <t>10.4995/var.2020.13422</t>
        </is>
      </c>
      <c r="Q27" s="9" t="inlineStr">
        <is>
          <t>Rozenn Colleter</t>
        </is>
      </c>
      <c r="R27" s="9" t="inlineStr">
        <is>
          <t>Jean-Baptiste Romain</t>
        </is>
      </c>
      <c r="S27" s="9" t="inlineStr">
        <is>
          <t>Jean-Baptiste Barreau</t>
        </is>
      </c>
      <c r="T27" s="9" t="n"/>
      <c r="U27" s="9" t="n"/>
      <c r="V27" s="9" t="n"/>
      <c r="W27" s="9" t="inlineStr">
        <is>
          <t>Packages and libraries</t>
        </is>
      </c>
      <c r="X27" s="9" t="inlineStr">
        <is>
          <t>Mobile app</t>
        </is>
      </c>
      <c r="Y27" s="9" t="inlineStr">
        <is>
          <t>Zooarchaeology</t>
        </is>
      </c>
      <c r="Z27" s="9" t="inlineStr">
        <is>
          <t>Data management</t>
        </is>
      </c>
      <c r="AA27" s="9" t="n"/>
      <c r="AB27" s="9" t="n"/>
      <c r="AC27" s="9" t="n"/>
      <c r="AD27" s="9" t="n"/>
      <c r="AE27" s="9" t="n"/>
      <c r="AF27" s="9" t="n"/>
      <c r="AG27" s="9" t="n"/>
    </row>
    <row r="28">
      <c r="A28" s="9" t="inlineStr">
        <is>
          <t>Bonify</t>
        </is>
      </c>
      <c r="B28" s="9" t="inlineStr">
        <is>
          <t>Access and visualize 3D models of faunal remains.</t>
        </is>
      </c>
      <c r="C28" s="9" t="n"/>
      <c r="D28" s="9" t="n"/>
      <c r="E28" s="9" t="n"/>
      <c r="F28" s="9" t="n"/>
      <c r="G28" s="9" t="n"/>
      <c r="H28" s="9" t="n"/>
      <c r="I28" s="9" t="n"/>
      <c r="J28" s="9" t="n"/>
      <c r="K28" s="9" t="n"/>
      <c r="L28" s="9" t="n"/>
      <c r="M28" s="9" t="n"/>
      <c r="N28" s="10" t="inlineStr">
        <is>
          <t>https://www.digitalbones.eu</t>
        </is>
      </c>
      <c r="O28" s="9" t="n"/>
      <c r="P28" s="9" t="n"/>
      <c r="Q28" s="9" t="inlineStr">
        <is>
          <t>garynobles</t>
        </is>
      </c>
      <c r="R28" s="9" t="inlineStr">
        <is>
          <t>Canan Cakirlar</t>
        </is>
      </c>
      <c r="S28" s="9" t="inlineStr">
        <is>
          <t>Nynke de Boer</t>
        </is>
      </c>
      <c r="T28" s="9" t="n"/>
      <c r="U28" s="9" t="n"/>
      <c r="V28" s="9" t="n"/>
      <c r="W28" s="9" t="inlineStr">
        <is>
          <t>Standalone software</t>
        </is>
      </c>
      <c r="X28" s="9" t="n"/>
      <c r="Y28" s="9" t="inlineStr">
        <is>
          <t>3D modelling</t>
        </is>
      </c>
      <c r="Z28" s="9" t="inlineStr">
        <is>
          <t>Zooarchaeology</t>
        </is>
      </c>
      <c r="AA28" s="9" t="n"/>
      <c r="AB28" s="9" t="n"/>
      <c r="AC28" s="9" t="n"/>
      <c r="AD28" s="9" t="n"/>
      <c r="AE28" s="9" t="n"/>
      <c r="AF28" s="9" t="n"/>
      <c r="AG28" s="9" t="n"/>
    </row>
    <row r="29">
      <c r="A29" s="9" t="inlineStr">
        <is>
          <t>ArboDat</t>
        </is>
      </c>
      <c r="B29" s="9" t="inlineStr">
        <is>
          <t>A program package for registering and importing data of archaeobotanical analyses including contexts of samples as well as evaluation tools.</t>
        </is>
      </c>
      <c r="C29" s="9" t="n"/>
      <c r="D29" s="9" t="n"/>
      <c r="E29" s="9" t="n"/>
      <c r="F29" s="9" t="n"/>
      <c r="G29" s="9" t="n"/>
      <c r="H29" s="9" t="n"/>
      <c r="I29" s="9" t="n"/>
      <c r="J29" s="9" t="n"/>
      <c r="K29" s="9" t="n"/>
      <c r="L29" s="9" t="n"/>
      <c r="M29" s="9" t="n"/>
      <c r="N29" s="10" t="inlineStr">
        <is>
          <t>https://nihk.de/en/research/current-projects/arbodat-ape</t>
        </is>
      </c>
      <c r="O29" s="9" t="n"/>
      <c r="P29" s="9" t="n"/>
      <c r="Q29" s="9" t="inlineStr">
        <is>
          <t>Angela Kreuz</t>
        </is>
      </c>
      <c r="R29" s="9" t="n"/>
      <c r="S29" s="9" t="n"/>
      <c r="T29" s="9" t="n"/>
      <c r="U29" s="9" t="n"/>
      <c r="V29" s="9" t="n"/>
      <c r="W29" s="9" t="inlineStr">
        <is>
          <t>Standalone software</t>
        </is>
      </c>
      <c r="X29" s="9" t="n"/>
      <c r="Y29" s="9" t="inlineStr">
        <is>
          <t>Palaeobotany</t>
        </is>
      </c>
      <c r="Z29" s="9" t="inlineStr">
        <is>
          <t>Data management</t>
        </is>
      </c>
      <c r="AA29" s="9" t="n"/>
      <c r="AB29" s="9" t="n"/>
      <c r="AC29" s="9" t="n"/>
      <c r="AD29" s="9" t="n"/>
      <c r="AE29" s="9" t="n"/>
      <c r="AF29" s="9" t="n"/>
      <c r="AG29" s="9" t="n"/>
    </row>
    <row r="30">
      <c r="A30" s="9" t="inlineStr">
        <is>
          <t>ChronoLog</t>
        </is>
      </c>
      <c r="B30" s="9" t="inlineStr">
        <is>
          <t>A tool for computer-assisted chronological research.</t>
        </is>
      </c>
      <c r="C30" s="9" t="n"/>
      <c r="D30" s="9" t="n"/>
      <c r="E30" s="9" t="n"/>
      <c r="F30" s="9" t="n"/>
      <c r="G30" s="9" t="n"/>
      <c r="H30" s="9" t="n"/>
      <c r="I30" s="9" t="n"/>
      <c r="J30" s="9" t="n"/>
      <c r="K30" s="9" t="n"/>
      <c r="L30" s="9" t="n"/>
      <c r="M30" s="9" t="n"/>
      <c r="N30" s="10" t="inlineStr">
        <is>
          <t>https://chrono.ulb.be/</t>
        </is>
      </c>
      <c r="O30" s="9" t="n"/>
      <c r="P30" s="9" t="inlineStr">
        <is>
          <t>10.1016/j.jas.2020.105225</t>
        </is>
      </c>
      <c r="Q30" s="9" t="inlineStr">
        <is>
          <t>Eythan Levy</t>
        </is>
      </c>
      <c r="R30" s="9" t="inlineStr">
        <is>
          <t>Frédéric Pluquet</t>
        </is>
      </c>
      <c r="S30" s="9" t="inlineStr">
        <is>
          <t>Gilles Geeraerts</t>
        </is>
      </c>
      <c r="T30" s="9" t="n"/>
      <c r="U30" s="9" t="n"/>
      <c r="V30" s="9" t="n"/>
      <c r="W30" s="9" t="inlineStr">
        <is>
          <t>Standalone software</t>
        </is>
      </c>
      <c r="X30" s="9" t="n"/>
      <c r="Y30" s="9" t="inlineStr">
        <is>
          <t>Chronological modelling</t>
        </is>
      </c>
      <c r="Z30" s="9" t="n"/>
      <c r="AA30" s="9" t="n"/>
      <c r="AB30" s="9" t="n"/>
      <c r="AC30" s="9" t="n"/>
      <c r="AD30" s="9" t="n"/>
      <c r="AE30" s="9" t="n"/>
      <c r="AF30" s="9" t="n"/>
      <c r="AG30" s="9" t="n"/>
    </row>
    <row r="31">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9" t="n"/>
      <c r="AC31" s="9" t="n"/>
      <c r="AD31" s="9" t="n"/>
      <c r="AE31" s="9" t="n"/>
      <c r="AF31" s="9" t="n"/>
      <c r="AG31" s="9" t="n"/>
    </row>
    <row r="32">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c r="AD32" s="9" t="n"/>
      <c r="AE32" s="9" t="n"/>
      <c r="AF32" s="9" t="n"/>
      <c r="AG32" s="9" t="n"/>
    </row>
    <row r="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c r="AE33" s="9" t="n"/>
      <c r="AF33" s="9" t="n"/>
      <c r="AG33" s="9" t="n"/>
    </row>
    <row r="34">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row>
    <row r="35">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row>
    <row r="3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c r="AC36" s="9" t="n"/>
      <c r="AD36" s="9" t="n"/>
      <c r="AE36" s="9" t="n"/>
      <c r="AF36" s="9" t="n"/>
      <c r="AG36" s="9" t="n"/>
    </row>
    <row r="37">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c r="AC37" s="9" t="n"/>
      <c r="AD37" s="9" t="n"/>
      <c r="AE37" s="9" t="n"/>
      <c r="AF37" s="9" t="n"/>
      <c r="AG37" s="9" t="n"/>
    </row>
    <row r="38">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c r="AD38" s="9" t="n"/>
      <c r="AE38" s="9" t="n"/>
      <c r="AF38" s="9" t="n"/>
      <c r="AG38" s="9" t="n"/>
    </row>
    <row r="39">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c r="AD39" s="9" t="n"/>
      <c r="AE39" s="9" t="n"/>
      <c r="AF39" s="9" t="n"/>
      <c r="AG39" s="9" t="n"/>
    </row>
    <row r="40">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row>
    <row r="4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row>
    <row r="42">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c r="AA42" s="9" t="n"/>
      <c r="AB42" s="9" t="n"/>
      <c r="AC42" s="9" t="n"/>
      <c r="AD42" s="9" t="n"/>
      <c r="AE42" s="9" t="n"/>
      <c r="AF42" s="9" t="n"/>
      <c r="AG42" s="9" t="n"/>
    </row>
    <row r="4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c r="AD43" s="9" t="n"/>
      <c r="AE43" s="9" t="n"/>
      <c r="AF43" s="9" t="n"/>
      <c r="AG43" s="9" t="n"/>
    </row>
    <row r="44">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9" t="n"/>
      <c r="AC44" s="9" t="n"/>
      <c r="AD44" s="9" t="n"/>
      <c r="AE44" s="9" t="n"/>
      <c r="AF44" s="9" t="n"/>
      <c r="AG44" s="9" t="n"/>
    </row>
    <row r="45">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9" t="n"/>
      <c r="AC45" s="9" t="n"/>
      <c r="AD45" s="9" t="n"/>
      <c r="AE45" s="9" t="n"/>
      <c r="AF45" s="9" t="n"/>
      <c r="AG45" s="9" t="n"/>
    </row>
    <row r="4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c r="AF46" s="9" t="n"/>
      <c r="AG46" s="9" t="n"/>
    </row>
    <row r="47">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c r="AD47" s="9" t="n"/>
      <c r="AE47" s="9" t="n"/>
      <c r="AF47" s="9" t="n"/>
      <c r="AG47" s="9" t="n"/>
    </row>
    <row r="48">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row>
    <row r="49">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c r="AE49" s="9" t="n"/>
      <c r="AF49" s="9" t="n"/>
      <c r="AG49" s="9" t="n"/>
    </row>
    <row r="50">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row>
    <row r="5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row>
    <row r="52">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row>
    <row r="5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c r="AE53" s="9" t="n"/>
      <c r="AF53" s="9" t="n"/>
      <c r="AG53" s="9" t="n"/>
    </row>
    <row r="54">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row>
    <row r="55">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c r="AD55" s="9" t="n"/>
      <c r="AE55" s="9" t="n"/>
      <c r="AF55" s="9" t="n"/>
      <c r="AG55" s="9" t="n"/>
    </row>
    <row r="5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row>
    <row r="57">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9" t="n"/>
      <c r="AD57" s="9" t="n"/>
      <c r="AE57" s="9" t="n"/>
      <c r="AF57" s="9" t="n"/>
      <c r="AG57" s="9" t="n"/>
    </row>
    <row r="58">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c r="AC58" s="9" t="n"/>
      <c r="AD58" s="9" t="n"/>
      <c r="AE58" s="9" t="n"/>
      <c r="AF58" s="9" t="n"/>
      <c r="AG58" s="9" t="n"/>
    </row>
    <row r="59">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c r="AC59" s="9" t="n"/>
      <c r="AD59" s="9" t="n"/>
      <c r="AE59" s="9" t="n"/>
      <c r="AF59" s="9" t="n"/>
      <c r="AG59" s="9" t="n"/>
    </row>
    <row r="60">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9" t="n"/>
      <c r="AD60" s="9" t="n"/>
      <c r="AE60" s="9" t="n"/>
      <c r="AF60" s="9" t="n"/>
      <c r="AG60" s="9" t="n"/>
    </row>
    <row r="6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row>
    <row r="62">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c r="AD62" s="9" t="n"/>
      <c r="AE62" s="9" t="n"/>
      <c r="AF62" s="9" t="n"/>
      <c r="AG62" s="9" t="n"/>
    </row>
    <row r="6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row>
    <row r="64">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row>
    <row r="65">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row>
    <row r="6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row>
    <row r="67">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row>
    <row r="6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row>
    <row r="69">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row>
    <row r="70">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9" t="n"/>
      <c r="AD70" s="9" t="n"/>
      <c r="AE70" s="9" t="n"/>
      <c r="AF70" s="9" t="n"/>
      <c r="AG70" s="9" t="n"/>
    </row>
    <row r="7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c r="AD71" s="9" t="n"/>
      <c r="AE71" s="9" t="n"/>
      <c r="AF71" s="9" t="n"/>
      <c r="AG71" s="9" t="n"/>
    </row>
    <row r="72">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c r="AC72" s="9" t="n"/>
      <c r="AD72" s="9" t="n"/>
      <c r="AE72" s="9" t="n"/>
      <c r="AF72" s="9" t="n"/>
      <c r="AG72" s="9" t="n"/>
    </row>
    <row r="7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c r="AD73" s="9" t="n"/>
      <c r="AE73" s="9" t="n"/>
      <c r="AF73" s="9" t="n"/>
      <c r="AG73" s="9" t="n"/>
    </row>
    <row r="74">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c r="AC74" s="9" t="n"/>
      <c r="AD74" s="9" t="n"/>
      <c r="AE74" s="9" t="n"/>
      <c r="AF74" s="9" t="n"/>
      <c r="AG74" s="9" t="n"/>
    </row>
    <row r="75">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row>
    <row r="7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9" t="n"/>
      <c r="AD76" s="9" t="n"/>
      <c r="AE76" s="9" t="n"/>
      <c r="AF76" s="9" t="n"/>
      <c r="AG76" s="9" t="n"/>
    </row>
    <row r="77">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row>
    <row r="7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row>
    <row r="79">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row>
    <row r="80">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row>
    <row r="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row>
    <row r="82">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c r="AC82" s="9" t="n"/>
      <c r="AD82" s="9" t="n"/>
      <c r="AE82" s="9" t="n"/>
      <c r="AF82" s="9" t="n"/>
      <c r="AG82" s="9" t="n"/>
    </row>
    <row r="8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row>
    <row r="84">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9" t="n"/>
      <c r="AD84" s="9" t="n"/>
      <c r="AE84" s="9" t="n"/>
      <c r="AF84" s="9" t="n"/>
      <c r="AG84" s="9" t="n"/>
    </row>
    <row r="85">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c r="AG85" s="9" t="n"/>
    </row>
    <row r="8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c r="AC86" s="9" t="n"/>
      <c r="AD86" s="9" t="n"/>
      <c r="AE86" s="9" t="n"/>
      <c r="AF86" s="9" t="n"/>
      <c r="AG86" s="9" t="n"/>
    </row>
    <row r="87">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c r="AD87" s="9" t="n"/>
      <c r="AE87" s="9" t="n"/>
      <c r="AF87" s="9" t="n"/>
      <c r="AG87" s="9" t="n"/>
    </row>
    <row r="8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row>
    <row r="89">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c r="AD89" s="9" t="n"/>
      <c r="AE89" s="9" t="n"/>
      <c r="AF89" s="9" t="n"/>
      <c r="AG89" s="9" t="n"/>
    </row>
    <row r="90">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row>
    <row r="9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row>
    <row r="92">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c r="AD95" s="9" t="n"/>
      <c r="AE95" s="9" t="n"/>
      <c r="AF95" s="9" t="n"/>
      <c r="AG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c r="AD97" s="9" t="n"/>
      <c r="AE97" s="9" t="n"/>
      <c r="AF97" s="9" t="n"/>
      <c r="AG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9" t="n"/>
      <c r="AD98" s="9" t="n"/>
      <c r="AE98" s="9" t="n"/>
      <c r="AF98" s="9" t="n"/>
      <c r="AG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c r="AD99" s="9" t="n"/>
      <c r="AE99" s="9" t="n"/>
      <c r="AF99" s="9" t="n"/>
      <c r="AG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9" t="n"/>
      <c r="AD100" s="9" t="n"/>
      <c r="AE100" s="9" t="n"/>
      <c r="AF100" s="9" t="n"/>
      <c r="AG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c r="AC102" s="9" t="n"/>
      <c r="AD102" s="9" t="n"/>
      <c r="AE102" s="9" t="n"/>
      <c r="AF102" s="9" t="n"/>
      <c r="AG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row>
    <row r="104">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row>
    <row r="105">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row>
    <row r="10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row>
    <row r="107">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row>
    <row r="10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row>
    <row r="109">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row>
    <row r="110">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c r="AC110" s="9" t="n"/>
      <c r="AD110" s="9" t="n"/>
      <c r="AE110" s="9" t="n"/>
      <c r="AF110" s="9" t="n"/>
      <c r="AG110" s="9" t="n"/>
    </row>
    <row r="11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c r="AD111" s="9" t="n"/>
      <c r="AE111" s="9" t="n"/>
      <c r="AF111" s="9" t="n"/>
      <c r="AG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9" t="n"/>
      <c r="AD112" s="9" t="n"/>
      <c r="AE112" s="9" t="n"/>
      <c r="AF112" s="9" t="n"/>
      <c r="AG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9" t="n"/>
      <c r="AD113" s="9" t="n"/>
      <c r="AE113" s="9" t="n"/>
      <c r="AF113" s="9" t="n"/>
      <c r="AG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C114" s="9" t="n"/>
      <c r="AD114" s="9" t="n"/>
      <c r="AE114" s="9" t="n"/>
      <c r="AF114" s="9" t="n"/>
      <c r="AG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c r="AF116" s="9" t="n"/>
      <c r="AG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row>
    <row r="119">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row>
    <row r="120">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row>
    <row r="1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row>
    <row r="12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row>
    <row r="12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row>
    <row r="124">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c r="AE124" s="9" t="n"/>
      <c r="AF124" s="9" t="n"/>
      <c r="AG124" s="9" t="n"/>
    </row>
    <row r="125">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c r="AE125" s="9" t="n"/>
      <c r="AF125" s="9" t="n"/>
      <c r="AG125" s="9" t="n"/>
    </row>
    <row r="1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c r="AE126" s="9" t="n"/>
      <c r="AF126" s="9" t="n"/>
      <c r="AG126" s="9" t="n"/>
    </row>
    <row r="127">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c r="AE127" s="9" t="n"/>
      <c r="AF127" s="9" t="n"/>
      <c r="AG127" s="9" t="n"/>
    </row>
    <row r="12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row>
    <row r="129">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c r="AD129" s="9" t="n"/>
      <c r="AE129" s="9" t="n"/>
      <c r="AF129" s="9" t="n"/>
      <c r="AG129" s="9" t="n"/>
    </row>
    <row r="130">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row>
    <row r="13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row>
    <row r="1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row>
    <row r="1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row>
    <row r="134">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row>
    <row r="135">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row>
    <row r="13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row>
    <row r="137">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row>
    <row r="13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c r="AC138" s="9" t="n"/>
      <c r="AD138" s="9" t="n"/>
      <c r="AE138" s="9" t="n"/>
      <c r="AF138" s="9" t="n"/>
      <c r="AG138" s="9" t="n"/>
    </row>
    <row r="139">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c r="AD139" s="9" t="n"/>
      <c r="AE139" s="9" t="n"/>
      <c r="AF139" s="9" t="n"/>
      <c r="AG139" s="9" t="n"/>
    </row>
    <row r="140">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9" t="n"/>
      <c r="AD140" s="9" t="n"/>
      <c r="AE140" s="9" t="n"/>
      <c r="AF140" s="9" t="n"/>
      <c r="AG140" s="9" t="n"/>
    </row>
    <row r="1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row>
    <row r="14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9" t="n"/>
      <c r="AD142" s="9" t="n"/>
      <c r="AE142" s="9" t="n"/>
      <c r="AF142" s="9" t="n"/>
      <c r="AG142" s="9" t="n"/>
    </row>
    <row r="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row>
    <row r="144">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row>
    <row r="145">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row>
    <row r="147">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row>
    <row r="149">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row>
    <row r="150">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c r="AD151" s="9" t="n"/>
      <c r="AE151" s="9" t="n"/>
      <c r="AF151" s="9" t="n"/>
      <c r="AG151" s="9" t="n"/>
    </row>
    <row r="15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row>
    <row r="15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c r="AD153" s="9" t="n"/>
      <c r="AE153" s="9" t="n"/>
      <c r="AF153" s="9" t="n"/>
      <c r="AG153" s="9" t="n"/>
    </row>
    <row r="154">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row>
    <row r="155">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c r="AD155" s="9" t="n"/>
      <c r="AE155" s="9" t="n"/>
      <c r="AF155" s="9" t="n"/>
      <c r="AG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row>
    <row r="157">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row>
    <row r="15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c r="AD161" s="9" t="n"/>
      <c r="AE161" s="9" t="n"/>
      <c r="AF161" s="9" t="n"/>
      <c r="AG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c r="AC166" s="9" t="n"/>
      <c r="AD166" s="9" t="n"/>
      <c r="AE166" s="9" t="n"/>
      <c r="AF166" s="9" t="n"/>
      <c r="AG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c r="AD167" s="9" t="n"/>
      <c r="AE167" s="9" t="n"/>
      <c r="AF167" s="9" t="n"/>
      <c r="AG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c r="AG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c r="AG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row>
    <row r="180">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c r="AE180" s="9" t="n"/>
      <c r="AF180" s="9" t="n"/>
      <c r="AG180" s="9" t="n"/>
    </row>
    <row r="1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row>
    <row r="18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c r="AE182" s="9" t="n"/>
      <c r="AF182" s="9" t="n"/>
      <c r="AG182" s="9" t="n"/>
    </row>
    <row r="18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row>
    <row r="184">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row>
    <row r="185">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row>
    <row r="18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row>
    <row r="187">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row>
    <row r="18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c r="AE188" s="9" t="n"/>
      <c r="AF188" s="9" t="n"/>
      <c r="AG188" s="9" t="n"/>
    </row>
    <row r="189">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row>
    <row r="190">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row>
    <row r="19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row>
    <row r="19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row>
    <row r="19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row>
    <row r="194">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row>
    <row r="195">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c r="AE195" s="9" t="n"/>
      <c r="AF195" s="9" t="n"/>
      <c r="AG195" s="9" t="n"/>
    </row>
    <row r="19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row>
    <row r="197">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c r="AE197" s="9" t="n"/>
      <c r="AF197" s="9" t="n"/>
      <c r="AG197" s="9" t="n"/>
    </row>
    <row r="19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row>
    <row r="199">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c r="AE199" s="9" t="n"/>
      <c r="AF199" s="9" t="n"/>
      <c r="AG199" s="9" t="n"/>
    </row>
    <row r="200">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row>
    <row r="20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row>
    <row r="20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c r="AD202" s="9" t="n"/>
      <c r="AE202" s="9" t="n"/>
      <c r="AF202" s="9" t="n"/>
      <c r="AG202" s="9" t="n"/>
    </row>
    <row r="20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row>
    <row r="204">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c r="AD204" s="9" t="n"/>
      <c r="AE204" s="9" t="n"/>
      <c r="AF204" s="9" t="n"/>
      <c r="AG204" s="9" t="n"/>
    </row>
    <row r="205">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row>
    <row r="20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c r="AD206" s="9" t="n"/>
      <c r="AE206" s="9" t="n"/>
      <c r="AF206" s="9" t="n"/>
      <c r="AG206" s="9" t="n"/>
    </row>
    <row r="207">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row>
    <row r="20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c r="AD208" s="9" t="n"/>
      <c r="AE208" s="9" t="n"/>
      <c r="AF208" s="9" t="n"/>
      <c r="AG208" s="9" t="n"/>
    </row>
    <row r="209">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row>
    <row r="210">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c r="AD210" s="9" t="n"/>
      <c r="AE210" s="9" t="n"/>
      <c r="AF210" s="9" t="n"/>
      <c r="AG210" s="9" t="n"/>
    </row>
    <row r="21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row>
    <row r="2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c r="AD212" s="9" t="n"/>
      <c r="AE212" s="9" t="n"/>
      <c r="AF212" s="9" t="n"/>
      <c r="AG212" s="9" t="n"/>
    </row>
    <row r="21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row>
    <row r="214">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row>
    <row r="215">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c r="AE215" s="9" t="n"/>
      <c r="AF215" s="9" t="n"/>
      <c r="AG215" s="9" t="n"/>
    </row>
    <row r="21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row>
    <row r="217">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c r="AE217" s="9" t="n"/>
      <c r="AF217" s="9" t="n"/>
      <c r="AG217" s="9" t="n"/>
    </row>
    <row r="2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c r="AD218" s="9" t="n"/>
      <c r="AE218" s="9" t="n"/>
      <c r="AF218" s="9" t="n"/>
      <c r="AG218" s="9" t="n"/>
    </row>
    <row r="219">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row>
    <row r="220">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row>
    <row r="2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row>
    <row r="22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row>
    <row r="22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c r="AE223" s="9" t="n"/>
      <c r="AF223" s="9" t="n"/>
      <c r="AG223" s="9" t="n"/>
    </row>
    <row r="224">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row>
    <row r="225">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c r="AD225" s="9" t="n"/>
      <c r="AE225" s="9" t="n"/>
      <c r="AF225" s="9" t="n"/>
      <c r="AG225" s="9" t="n"/>
    </row>
    <row r="2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row>
    <row r="227">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row>
    <row r="228">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9" t="n"/>
      <c r="AD228" s="9" t="n"/>
      <c r="AE228" s="9" t="n"/>
      <c r="AF228" s="9" t="n"/>
      <c r="AG228" s="9" t="n"/>
    </row>
    <row r="229">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row>
    <row r="230">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c r="AD230" s="9" t="n"/>
      <c r="AE230" s="9" t="n"/>
      <c r="AF230" s="9" t="n"/>
      <c r="AG230" s="9" t="n"/>
    </row>
    <row r="23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c r="AE231" s="9" t="n"/>
      <c r="AF231" s="9" t="n"/>
      <c r="AG231" s="9" t="n"/>
    </row>
    <row r="2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c r="AD232" s="9" t="n"/>
      <c r="AE232" s="9" t="n"/>
      <c r="AF232" s="9" t="n"/>
      <c r="AG232" s="9" t="n"/>
    </row>
    <row r="2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row>
    <row r="234">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row>
    <row r="235">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row>
    <row r="23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row>
    <row r="237">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row>
    <row r="238">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row>
    <row r="239">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c r="AE239" s="9" t="n"/>
      <c r="AF239" s="9" t="n"/>
      <c r="AG239" s="9" t="n"/>
    </row>
    <row r="240">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row>
    <row r="2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c r="AE241" s="9" t="n"/>
      <c r="AF241" s="9" t="n"/>
      <c r="AG241" s="9" t="n"/>
    </row>
    <row r="24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row>
    <row r="2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c r="AE243" s="9" t="n"/>
      <c r="AF243" s="9" t="n"/>
      <c r="AG243" s="9" t="n"/>
    </row>
    <row r="244">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c r="AD244" s="9" t="n"/>
      <c r="AE244" s="9" t="n"/>
      <c r="AF244" s="9" t="n"/>
      <c r="AG244" s="9" t="n"/>
    </row>
    <row r="245">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c r="AE245" s="9" t="n"/>
      <c r="AF245" s="9" t="n"/>
      <c r="AG245" s="9" t="n"/>
    </row>
    <row r="24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c r="AD246" s="9" t="n"/>
      <c r="AE246" s="9" t="n"/>
      <c r="AF246" s="9" t="n"/>
      <c r="AG246" s="9" t="n"/>
    </row>
    <row r="247">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row>
    <row r="248">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row>
    <row r="249">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row>
    <row r="250">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row>
    <row r="25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row>
    <row r="25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c r="AD252" s="9" t="n"/>
      <c r="AE252" s="9" t="n"/>
      <c r="AF252" s="9" t="n"/>
      <c r="AG252" s="9" t="n"/>
    </row>
    <row r="25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row>
    <row r="254">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c r="AD254" s="9" t="n"/>
      <c r="AE254" s="9" t="n"/>
      <c r="AF254" s="9" t="n"/>
      <c r="AG254" s="9" t="n"/>
    </row>
    <row r="255">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row>
    <row r="25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c r="AD256" s="9" t="n"/>
      <c r="AE256" s="9" t="n"/>
      <c r="AF256" s="9" t="n"/>
      <c r="AG256" s="9" t="n"/>
    </row>
    <row r="257">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c r="AE257" s="9" t="n"/>
      <c r="AF257" s="9" t="n"/>
      <c r="AG257" s="9" t="n"/>
    </row>
    <row r="258">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c r="AD258" s="9" t="n"/>
      <c r="AE258" s="9" t="n"/>
      <c r="AF258" s="9" t="n"/>
      <c r="AG258" s="9" t="n"/>
    </row>
    <row r="259">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c r="AE259" s="9" t="n"/>
      <c r="AF259" s="9" t="n"/>
      <c r="AG259" s="9" t="n"/>
    </row>
    <row r="260">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row>
    <row r="26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row>
    <row r="26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row>
    <row r="26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row>
    <row r="264">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row>
    <row r="265">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row>
    <row r="26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row>
    <row r="267">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c r="AE267" s="9" t="n"/>
      <c r="AF267" s="9" t="n"/>
      <c r="AG267" s="9" t="n"/>
    </row>
    <row r="268">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row>
    <row r="269">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c r="AE269" s="9" t="n"/>
      <c r="AF269" s="9" t="n"/>
      <c r="AG269" s="9" t="n"/>
    </row>
    <row r="270">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c r="AD270" s="9" t="n"/>
      <c r="AE270" s="9" t="n"/>
      <c r="AF270" s="9" t="n"/>
      <c r="AG270" s="9" t="n"/>
    </row>
    <row r="27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c r="AE271" s="9" t="n"/>
      <c r="AF271" s="9" t="n"/>
      <c r="AG271" s="9" t="n"/>
    </row>
    <row r="27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c r="AD272" s="9" t="n"/>
      <c r="AE272" s="9" t="n"/>
      <c r="AF272" s="9" t="n"/>
      <c r="AG272" s="9" t="n"/>
    </row>
    <row r="27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row>
    <row r="274">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c r="AD274" s="9" t="n"/>
      <c r="AE274" s="9" t="n"/>
      <c r="AF274" s="9" t="n"/>
      <c r="AG274" s="9" t="n"/>
    </row>
    <row r="275">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row>
    <row r="27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c r="AD276" s="9" t="n"/>
      <c r="AE276" s="9" t="n"/>
      <c r="AF276" s="9" t="n"/>
      <c r="AG276" s="9" t="n"/>
    </row>
    <row r="277">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row>
    <row r="278">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c r="AD278" s="9" t="n"/>
      <c r="AE278" s="9" t="n"/>
      <c r="AF278" s="9" t="n"/>
      <c r="AG278" s="9" t="n"/>
    </row>
    <row r="279">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row>
    <row r="280">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c r="AD280" s="9" t="n"/>
      <c r="AE280" s="9" t="n"/>
      <c r="AF280" s="9" t="n"/>
      <c r="AG280" s="9" t="n"/>
    </row>
    <row r="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row>
    <row r="28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c r="AD282" s="9" t="n"/>
      <c r="AE282" s="9" t="n"/>
      <c r="AF282" s="9" t="n"/>
      <c r="AG282" s="9" t="n"/>
    </row>
    <row r="28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c r="AE283" s="9" t="n"/>
      <c r="AF283" s="9" t="n"/>
      <c r="AG283" s="9" t="n"/>
    </row>
    <row r="284">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c r="AD284" s="9" t="n"/>
      <c r="AE284" s="9" t="n"/>
      <c r="AF284" s="9" t="n"/>
      <c r="AG284" s="9" t="n"/>
    </row>
    <row r="285">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c r="AE285" s="9" t="n"/>
      <c r="AF285" s="9" t="n"/>
      <c r="AG285" s="9" t="n"/>
    </row>
    <row r="28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c r="AD286" s="9" t="n"/>
      <c r="AE286" s="9" t="n"/>
      <c r="AF286" s="9" t="n"/>
      <c r="AG286" s="9" t="n"/>
    </row>
    <row r="287">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row>
    <row r="288">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row>
    <row r="289">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row>
    <row r="290">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row>
    <row r="29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c r="AE291" s="9" t="n"/>
      <c r="AF291" s="9" t="n"/>
      <c r="AG291" s="9" t="n"/>
    </row>
    <row r="29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row>
    <row r="29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c r="AE293" s="9" t="n"/>
      <c r="AF293" s="9" t="n"/>
      <c r="AG293" s="9" t="n"/>
    </row>
    <row r="294">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row>
    <row r="295">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c r="AE295" s="9" t="n"/>
      <c r="AF295" s="9" t="n"/>
      <c r="AG295" s="9" t="n"/>
    </row>
    <row r="29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c r="AD296" s="9" t="n"/>
      <c r="AE296" s="9" t="n"/>
      <c r="AF296" s="9" t="n"/>
      <c r="AG296" s="9" t="n"/>
    </row>
    <row r="297">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c r="AE297" s="9" t="n"/>
      <c r="AF297" s="9" t="n"/>
      <c r="AG297" s="9" t="n"/>
    </row>
    <row r="298">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c r="AD298" s="9" t="n"/>
      <c r="AE298" s="9" t="n"/>
      <c r="AF298" s="9" t="n"/>
      <c r="AG298" s="9" t="n"/>
    </row>
    <row r="299">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c r="AE299" s="9" t="n"/>
      <c r="AF299" s="9" t="n"/>
      <c r="AG299" s="9" t="n"/>
    </row>
    <row r="300">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c r="AD300" s="9" t="n"/>
      <c r="AE300" s="9" t="n"/>
      <c r="AF300" s="9" t="n"/>
      <c r="AG300" s="9" t="n"/>
    </row>
    <row r="30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row>
    <row r="30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c r="AD302" s="9" t="n"/>
      <c r="AE302" s="9" t="n"/>
      <c r="AF302" s="9" t="n"/>
      <c r="AG302" s="9" t="n"/>
    </row>
    <row r="30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row>
    <row r="304">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row>
    <row r="305">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c r="AE305" s="9" t="n"/>
      <c r="AF305" s="9" t="n"/>
      <c r="AG305" s="9" t="n"/>
    </row>
    <row r="30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row>
    <row r="307">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c r="AD307" s="9" t="n"/>
      <c r="AE307" s="9" t="n"/>
      <c r="AF307" s="9" t="n"/>
      <c r="AG307" s="9" t="n"/>
    </row>
    <row r="308">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row>
    <row r="309">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c r="AE309" s="9" t="n"/>
      <c r="AF309" s="9" t="n"/>
      <c r="AG309" s="9" t="n"/>
    </row>
    <row r="310">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c r="AD310" s="9" t="n"/>
      <c r="AE310" s="9" t="n"/>
      <c r="AF310" s="9" t="n"/>
      <c r="AG310" s="9" t="n"/>
    </row>
    <row r="31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c r="AE311" s="9" t="n"/>
      <c r="AF311" s="9" t="n"/>
      <c r="AG311" s="9" t="n"/>
    </row>
    <row r="3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c r="AD312" s="9" t="n"/>
      <c r="AE312" s="9" t="n"/>
      <c r="AF312" s="9" t="n"/>
      <c r="AG312" s="9" t="n"/>
    </row>
    <row r="31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c r="AE313" s="9" t="n"/>
      <c r="AF313" s="9" t="n"/>
      <c r="AG313" s="9" t="n"/>
    </row>
    <row r="314">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row>
    <row r="315">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c r="AE315" s="9" t="n"/>
      <c r="AF315" s="9" t="n"/>
      <c r="AG315" s="9" t="n"/>
    </row>
    <row r="31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row>
    <row r="317">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row>
    <row r="318">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c r="AD318" s="9" t="n"/>
      <c r="AE318" s="9" t="n"/>
      <c r="AF318" s="9" t="n"/>
      <c r="AG318" s="9" t="n"/>
    </row>
    <row r="319">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row>
    <row r="320">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c r="AD320" s="9" t="n"/>
      <c r="AE320" s="9" t="n"/>
      <c r="AF320" s="9" t="n"/>
      <c r="AG320" s="9" t="n"/>
    </row>
    <row r="32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row>
    <row r="32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9" t="n"/>
      <c r="AD322" s="9" t="n"/>
      <c r="AE322" s="9" t="n"/>
      <c r="AF322" s="9" t="n"/>
      <c r="AG322" s="9" t="n"/>
    </row>
    <row r="32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c r="AD323" s="9" t="n"/>
      <c r="AE323" s="9" t="n"/>
      <c r="AF323" s="9" t="n"/>
      <c r="AG323" s="9" t="n"/>
    </row>
    <row r="324">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c r="AD324" s="9" t="n"/>
      <c r="AE324" s="9" t="n"/>
      <c r="AF324" s="9" t="n"/>
      <c r="AG324" s="9" t="n"/>
    </row>
    <row r="325">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c r="AD325" s="9" t="n"/>
      <c r="AE325" s="9" t="n"/>
      <c r="AF325" s="9" t="n"/>
      <c r="AG325" s="9" t="n"/>
    </row>
    <row r="3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c r="AD326" s="9" t="n"/>
      <c r="AE326" s="9" t="n"/>
      <c r="AF326" s="9" t="n"/>
      <c r="AG326" s="9" t="n"/>
    </row>
    <row r="327">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row>
    <row r="328">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c r="AD328" s="9" t="n"/>
      <c r="AE328" s="9" t="n"/>
      <c r="AF328" s="9" t="n"/>
      <c r="AG328" s="9" t="n"/>
    </row>
    <row r="329">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row>
    <row r="330">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c r="AD330" s="9" t="n"/>
      <c r="AE330" s="9" t="n"/>
      <c r="AF330" s="9" t="n"/>
      <c r="AG330" s="9" t="n"/>
    </row>
    <row r="33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row>
    <row r="3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c r="AD332" s="9" t="n"/>
      <c r="AE332" s="9" t="n"/>
      <c r="AF332" s="9" t="n"/>
      <c r="AG332" s="9" t="n"/>
    </row>
    <row r="3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row>
    <row r="334">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c r="AD334" s="9" t="n"/>
      <c r="AE334" s="9" t="n"/>
      <c r="AF334" s="9" t="n"/>
      <c r="AG334" s="9" t="n"/>
    </row>
    <row r="335">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row>
    <row r="33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c r="AD336" s="9" t="n"/>
      <c r="AE336" s="9" t="n"/>
      <c r="AF336" s="9" t="n"/>
      <c r="AG336" s="9" t="n"/>
    </row>
    <row r="337">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c r="AE337" s="9" t="n"/>
      <c r="AF337" s="9" t="n"/>
      <c r="AG337" s="9" t="n"/>
    </row>
    <row r="338">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c r="AE338" s="9" t="n"/>
      <c r="AF338" s="9" t="n"/>
      <c r="AG338" s="9" t="n"/>
    </row>
    <row r="339">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c r="AD339" s="9" t="n"/>
      <c r="AE339" s="9" t="n"/>
      <c r="AF339" s="9" t="n"/>
      <c r="AG339" s="9" t="n"/>
    </row>
    <row r="340">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row>
    <row r="3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c r="AD341" s="9" t="n"/>
      <c r="AE341" s="9" t="n"/>
      <c r="AF341" s="9" t="n"/>
      <c r="AG341" s="9" t="n"/>
    </row>
    <row r="34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row>
    <row r="3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c r="AD343" s="9" t="n"/>
      <c r="AE343" s="9" t="n"/>
      <c r="AF343" s="9" t="n"/>
      <c r="AG343" s="9" t="n"/>
    </row>
    <row r="344">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row>
    <row r="345">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c r="AD345" s="9" t="n"/>
      <c r="AE345" s="9" t="n"/>
      <c r="AF345" s="9" t="n"/>
      <c r="AG345" s="9" t="n"/>
    </row>
    <row r="34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row>
    <row r="347">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row>
    <row r="348">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c r="AD348" s="9" t="n"/>
      <c r="AE348" s="9" t="n"/>
      <c r="AF348" s="9" t="n"/>
      <c r="AG348" s="9" t="n"/>
    </row>
    <row r="349">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row>
    <row r="350">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c r="AD350" s="9" t="n"/>
      <c r="AE350" s="9" t="n"/>
      <c r="AF350" s="9" t="n"/>
      <c r="AG350" s="9" t="n"/>
    </row>
    <row r="35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c r="AD351" s="9" t="n"/>
      <c r="AE351" s="9" t="n"/>
      <c r="AF351" s="9" t="n"/>
      <c r="AG351" s="9" t="n"/>
    </row>
    <row r="35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c r="AD352" s="9" t="n"/>
      <c r="AE352" s="9" t="n"/>
      <c r="AF352" s="9" t="n"/>
      <c r="AG352" s="9" t="n"/>
    </row>
    <row r="35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row>
    <row r="354">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c r="AD354" s="9" t="n"/>
      <c r="AE354" s="9" t="n"/>
      <c r="AF354" s="9" t="n"/>
      <c r="AG354" s="9" t="n"/>
    </row>
    <row r="355">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row>
    <row r="35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9" t="n"/>
      <c r="AD356" s="9" t="n"/>
      <c r="AE356" s="9" t="n"/>
      <c r="AF356" s="9" t="n"/>
      <c r="AG356" s="9" t="n"/>
    </row>
    <row r="357">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row>
    <row r="358">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9" t="n"/>
      <c r="AD358" s="9" t="n"/>
      <c r="AE358" s="9" t="n"/>
      <c r="AF358" s="9" t="n"/>
      <c r="AG358" s="9" t="n"/>
    </row>
    <row r="359">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row>
    <row r="360">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c r="AD360" s="9" t="n"/>
      <c r="AE360" s="9" t="n"/>
      <c r="AF360" s="9" t="n"/>
      <c r="AG360" s="9" t="n"/>
    </row>
    <row r="36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row>
    <row r="36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c r="AD362" s="9" t="n"/>
      <c r="AE362" s="9" t="n"/>
      <c r="AF362" s="9" t="n"/>
      <c r="AG362" s="9" t="n"/>
    </row>
    <row r="36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row>
    <row r="364">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c r="AD364" s="9" t="n"/>
      <c r="AE364" s="9" t="n"/>
      <c r="AF364" s="9" t="n"/>
      <c r="AG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c r="AD365" s="9" t="n"/>
      <c r="AE365" s="9" t="n"/>
      <c r="AF365" s="9" t="n"/>
      <c r="AG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9" t="n"/>
      <c r="AD371" s="9" t="n"/>
      <c r="AE371" s="9" t="n"/>
      <c r="AF371" s="9" t="n"/>
      <c r="AG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9" t="n"/>
      <c r="AD373" s="9" t="n"/>
      <c r="AE373" s="9" t="n"/>
      <c r="AF373" s="9" t="n"/>
      <c r="AG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9" t="n"/>
      <c r="AD374" s="9" t="n"/>
      <c r="AE374" s="9" t="n"/>
      <c r="AF374" s="9" t="n"/>
      <c r="AG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9" t="n"/>
      <c r="AD376" s="9" t="n"/>
      <c r="AE376" s="9" t="n"/>
      <c r="AF376" s="9" t="n"/>
      <c r="AG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9" t="n"/>
      <c r="AD378" s="9" t="n"/>
      <c r="AE378" s="9" t="n"/>
      <c r="AF378" s="9" t="n"/>
      <c r="AG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9" t="n"/>
      <c r="AD384" s="9" t="n"/>
      <c r="AE384" s="9" t="n"/>
      <c r="AF384" s="9" t="n"/>
      <c r="AG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9" t="n"/>
      <c r="AD386" s="9" t="n"/>
      <c r="AE386" s="9" t="n"/>
      <c r="AF386" s="9" t="n"/>
      <c r="AG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9" t="n"/>
      <c r="AD387" s="9" t="n"/>
      <c r="AE387" s="9" t="n"/>
      <c r="AF387" s="9" t="n"/>
      <c r="AG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9" t="n"/>
      <c r="AD389" s="9" t="n"/>
      <c r="AE389" s="9" t="n"/>
      <c r="AF389" s="9" t="n"/>
      <c r="AG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9" t="n"/>
      <c r="AD391" s="9" t="n"/>
      <c r="AE391" s="9" t="n"/>
      <c r="AF391" s="9" t="n"/>
      <c r="AG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9" t="n"/>
      <c r="AD392" s="9" t="n"/>
      <c r="AE392" s="9" t="n"/>
      <c r="AF392" s="9" t="n"/>
      <c r="AG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9" t="n"/>
      <c r="AD394" s="9" t="n"/>
      <c r="AE394" s="9" t="n"/>
      <c r="AF394" s="9" t="n"/>
      <c r="AG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9" t="n"/>
      <c r="AD396" s="9" t="n"/>
      <c r="AE396" s="9" t="n"/>
      <c r="AF396" s="9" t="n"/>
      <c r="AG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9" t="n"/>
      <c r="AD398" s="9" t="n"/>
      <c r="AE398" s="9" t="n"/>
      <c r="AF398" s="9" t="n"/>
      <c r="AG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9" t="n"/>
      <c r="AD400" s="9" t="n"/>
      <c r="AE400" s="9" t="n"/>
      <c r="AF400" s="9" t="n"/>
      <c r="AG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9" t="n"/>
      <c r="AD401" s="9" t="n"/>
      <c r="AE401" s="9" t="n"/>
      <c r="AF401" s="9" t="n"/>
      <c r="AG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9" t="n"/>
      <c r="AD403" s="9" t="n"/>
      <c r="AE403" s="9" t="n"/>
      <c r="AF403" s="9" t="n"/>
      <c r="AG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9" t="n"/>
      <c r="AD405" s="9" t="n"/>
      <c r="AE405" s="9" t="n"/>
      <c r="AF405" s="9" t="n"/>
      <c r="AG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9" t="n"/>
      <c r="AD407" s="9" t="n"/>
      <c r="AE407" s="9" t="n"/>
      <c r="AF407" s="9" t="n"/>
      <c r="AG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c r="AD409" s="9" t="n"/>
      <c r="AE409" s="9" t="n"/>
      <c r="AF409" s="9" t="n"/>
      <c r="AG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9" t="n"/>
      <c r="AD410" s="9" t="n"/>
      <c r="AE410" s="9" t="n"/>
      <c r="AF410" s="9" t="n"/>
      <c r="AG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9" t="n"/>
      <c r="AD412" s="9" t="n"/>
      <c r="AE412" s="9" t="n"/>
      <c r="AF412" s="9" t="n"/>
      <c r="AG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9" t="n"/>
      <c r="AD414" s="9" t="n"/>
      <c r="AE414" s="9" t="n"/>
      <c r="AF414" s="9" t="n"/>
      <c r="AG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9" t="n"/>
      <c r="AD415" s="9" t="n"/>
      <c r="AE415" s="9" t="n"/>
      <c r="AF415" s="9" t="n"/>
      <c r="AG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9" t="n"/>
      <c r="AD416" s="9" t="n"/>
      <c r="AE416" s="9" t="n"/>
      <c r="AF416" s="9" t="n"/>
      <c r="AG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9" t="n"/>
      <c r="AD417" s="9" t="n"/>
      <c r="AE417" s="9" t="n"/>
      <c r="AF417" s="9" t="n"/>
      <c r="AG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9" t="n"/>
      <c r="AD418" s="9" t="n"/>
      <c r="AE418" s="9" t="n"/>
      <c r="AF418" s="9" t="n"/>
      <c r="AG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9" t="n"/>
      <c r="AD419" s="9" t="n"/>
      <c r="AE419" s="9" t="n"/>
      <c r="AF419" s="9" t="n"/>
      <c r="AG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9" t="n"/>
      <c r="AD421" s="9" t="n"/>
      <c r="AE421" s="9" t="n"/>
      <c r="AF421" s="9" t="n"/>
      <c r="AG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9" t="n"/>
      <c r="AD423" s="9" t="n"/>
      <c r="AE423" s="9" t="n"/>
      <c r="AF423" s="9" t="n"/>
      <c r="AG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9" t="n"/>
      <c r="AD424" s="9" t="n"/>
      <c r="AE424" s="9" t="n"/>
      <c r="AF424" s="9" t="n"/>
      <c r="AG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9" t="n"/>
      <c r="AD426" s="9" t="n"/>
      <c r="AE426" s="9" t="n"/>
      <c r="AF426" s="9" t="n"/>
      <c r="AG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9" t="n"/>
      <c r="AD428" s="9" t="n"/>
      <c r="AE428" s="9" t="n"/>
      <c r="AF428" s="9" t="n"/>
      <c r="AG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9" t="n"/>
      <c r="AD429" s="9" t="n"/>
      <c r="AE429" s="9" t="n"/>
      <c r="AF429" s="9" t="n"/>
      <c r="AG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9" t="n"/>
      <c r="AD430" s="9" t="n"/>
      <c r="AE430" s="9" t="n"/>
      <c r="AF430" s="9" t="n"/>
      <c r="AG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9" t="n"/>
      <c r="AD431" s="9" t="n"/>
      <c r="AE431" s="9" t="n"/>
      <c r="AF431" s="9" t="n"/>
      <c r="AG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9" t="n"/>
      <c r="AD432" s="9" t="n"/>
      <c r="AE432" s="9" t="n"/>
      <c r="AF432" s="9" t="n"/>
      <c r="AG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9" t="n"/>
      <c r="AD433" s="9" t="n"/>
      <c r="AE433" s="9" t="n"/>
      <c r="AF433" s="9" t="n"/>
      <c r="AG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9" t="n"/>
      <c r="AD435" s="9" t="n"/>
      <c r="AE435" s="9" t="n"/>
      <c r="AF435" s="9" t="n"/>
      <c r="AG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9" t="n"/>
      <c r="AD437" s="9" t="n"/>
      <c r="AE437" s="9" t="n"/>
      <c r="AF437" s="9" t="n"/>
      <c r="AG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9" t="n"/>
      <c r="AD438" s="9" t="n"/>
      <c r="AE438" s="9" t="n"/>
      <c r="AF438" s="9" t="n"/>
      <c r="AG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9" t="n"/>
      <c r="AD440" s="9" t="n"/>
      <c r="AE440" s="9" t="n"/>
      <c r="AF440" s="9" t="n"/>
      <c r="AG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9" t="n"/>
      <c r="AD442" s="9" t="n"/>
      <c r="AE442" s="9" t="n"/>
      <c r="AF442" s="9" t="n"/>
      <c r="AG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9" t="n"/>
      <c r="AD443" s="9" t="n"/>
      <c r="AE443" s="9" t="n"/>
      <c r="AF443" s="9" t="n"/>
      <c r="AG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9" t="n"/>
      <c r="AD444" s="9" t="n"/>
      <c r="AE444" s="9" t="n"/>
      <c r="AF444" s="9" t="n"/>
      <c r="AG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9" t="n"/>
      <c r="AD445" s="9" t="n"/>
      <c r="AE445" s="9" t="n"/>
      <c r="AF445" s="9" t="n"/>
      <c r="AG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9" t="n"/>
      <c r="AD446" s="9" t="n"/>
      <c r="AE446" s="9" t="n"/>
      <c r="AF446" s="9" t="n"/>
      <c r="AG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9" t="n"/>
      <c r="AD448" s="9" t="n"/>
      <c r="AE448" s="9" t="n"/>
      <c r="AF448" s="9" t="n"/>
      <c r="AG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9" t="n"/>
      <c r="AD450" s="9" t="n"/>
      <c r="AE450" s="9" t="n"/>
      <c r="AF450" s="9" t="n"/>
      <c r="AG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9" t="n"/>
      <c r="AD451" s="9" t="n"/>
      <c r="AE451" s="9" t="n"/>
      <c r="AF451" s="9" t="n"/>
      <c r="AG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9" t="n"/>
      <c r="AD453" s="9" t="n"/>
      <c r="AE453" s="9" t="n"/>
      <c r="AF453" s="9" t="n"/>
      <c r="AG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9" t="n"/>
      <c r="AD455" s="9" t="n"/>
      <c r="AE455" s="9" t="n"/>
      <c r="AF455" s="9" t="n"/>
      <c r="AG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9" t="n"/>
      <c r="AD456" s="9" t="n"/>
      <c r="AE456" s="9" t="n"/>
      <c r="AF456" s="9" t="n"/>
      <c r="AG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9" t="n"/>
      <c r="AD457" s="9" t="n"/>
      <c r="AE457" s="9" t="n"/>
      <c r="AF457" s="9" t="n"/>
      <c r="AG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9" t="n"/>
      <c r="AD458" s="9" t="n"/>
      <c r="AE458" s="9" t="n"/>
      <c r="AF458" s="9" t="n"/>
      <c r="AG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9" t="n"/>
      <c r="AD459" s="9" t="n"/>
      <c r="AE459" s="9" t="n"/>
      <c r="AF459" s="9" t="n"/>
      <c r="AG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9" t="n"/>
      <c r="AD461" s="9" t="n"/>
      <c r="AE461" s="9" t="n"/>
      <c r="AF461" s="9" t="n"/>
      <c r="AG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9" t="n"/>
      <c r="AD463" s="9" t="n"/>
      <c r="AE463" s="9" t="n"/>
      <c r="AF463" s="9" t="n"/>
      <c r="AG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9" t="n"/>
      <c r="AD464" s="9" t="n"/>
      <c r="AE464" s="9" t="n"/>
      <c r="AF464" s="9" t="n"/>
      <c r="AG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9" t="n"/>
      <c r="AD466" s="9" t="n"/>
      <c r="AE466" s="9" t="n"/>
      <c r="AF466" s="9" t="n"/>
      <c r="AG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9" t="n"/>
      <c r="AD468" s="9" t="n"/>
      <c r="AE468" s="9" t="n"/>
      <c r="AF468" s="9" t="n"/>
      <c r="AG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9" t="n"/>
      <c r="AD469" s="9" t="n"/>
      <c r="AE469" s="9" t="n"/>
      <c r="AF469" s="9" t="n"/>
      <c r="AG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9" t="n"/>
      <c r="AD470" s="9" t="n"/>
      <c r="AE470" s="9" t="n"/>
      <c r="AF470" s="9" t="n"/>
      <c r="AG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9" t="n"/>
      <c r="AD471" s="9" t="n"/>
      <c r="AE471" s="9" t="n"/>
      <c r="AF471" s="9" t="n"/>
      <c r="AG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9" t="n"/>
      <c r="AD472" s="9" t="n"/>
      <c r="AE472" s="9" t="n"/>
      <c r="AF472" s="9" t="n"/>
      <c r="AG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9" t="n"/>
      <c r="AD474" s="9" t="n"/>
      <c r="AE474" s="9" t="n"/>
      <c r="AF474" s="9" t="n"/>
      <c r="AG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9" t="n"/>
      <c r="AD476" s="9" t="n"/>
      <c r="AE476" s="9" t="n"/>
      <c r="AF476" s="9" t="n"/>
      <c r="AG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9" t="n"/>
      <c r="AD477" s="9" t="n"/>
      <c r="AE477" s="9" t="n"/>
      <c r="AF477" s="9" t="n"/>
      <c r="AG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9" t="n"/>
      <c r="AD479" s="9" t="n"/>
      <c r="AE479" s="9" t="n"/>
      <c r="AF479" s="9" t="n"/>
      <c r="AG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9" t="n"/>
      <c r="AD481" s="9" t="n"/>
      <c r="AE481" s="9" t="n"/>
      <c r="AF481" s="9" t="n"/>
      <c r="AG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9" t="n"/>
      <c r="AD482" s="9" t="n"/>
      <c r="AE482" s="9" t="n"/>
      <c r="AF482" s="9" t="n"/>
      <c r="AG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9" t="n"/>
      <c r="AD483" s="9" t="n"/>
      <c r="AE483" s="9" t="n"/>
      <c r="AF483" s="9" t="n"/>
      <c r="AG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9" t="n"/>
      <c r="AD484" s="9" t="n"/>
      <c r="AE484" s="9" t="n"/>
      <c r="AF484" s="9" t="n"/>
      <c r="AG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9" t="n"/>
      <c r="AD485" s="9" t="n"/>
      <c r="AE485" s="9" t="n"/>
      <c r="AF485" s="9" t="n"/>
      <c r="AG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9" t="n"/>
      <c r="AD487" s="9" t="n"/>
      <c r="AE487" s="9" t="n"/>
      <c r="AF487" s="9" t="n"/>
      <c r="AG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9" t="n"/>
      <c r="AD489" s="9" t="n"/>
      <c r="AE489" s="9" t="n"/>
      <c r="AF489" s="9" t="n"/>
      <c r="AG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9" t="n"/>
      <c r="AD490" s="9" t="n"/>
      <c r="AE490" s="9" t="n"/>
      <c r="AF490" s="9" t="n"/>
      <c r="AG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9" t="n"/>
      <c r="AD492" s="9" t="n"/>
      <c r="AE492" s="9" t="n"/>
      <c r="AF492" s="9" t="n"/>
      <c r="AG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9" t="n"/>
      <c r="AD494" s="9" t="n"/>
      <c r="AE494" s="9" t="n"/>
      <c r="AF494" s="9" t="n"/>
      <c r="AG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9" t="n"/>
      <c r="AD495" s="9" t="n"/>
      <c r="AE495" s="9" t="n"/>
      <c r="AF495" s="9" t="n"/>
      <c r="AG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9" t="n"/>
      <c r="AD496" s="9" t="n"/>
      <c r="AE496" s="9" t="n"/>
      <c r="AF496" s="9" t="n"/>
      <c r="AG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9" t="n"/>
      <c r="AD497" s="9" t="n"/>
      <c r="AE497" s="9" t="n"/>
      <c r="AF497" s="9" t="n"/>
      <c r="AG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9" t="n"/>
      <c r="AD498" s="9" t="n"/>
      <c r="AE498" s="9" t="n"/>
      <c r="AF498" s="9" t="n"/>
      <c r="AG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9" t="n"/>
      <c r="AD500" s="9" t="n"/>
      <c r="AE500" s="9" t="n"/>
      <c r="AF500" s="9" t="n"/>
      <c r="AG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9" t="n"/>
      <c r="AD502" s="9" t="n"/>
      <c r="AE502" s="9" t="n"/>
      <c r="AF502" s="9" t="n"/>
      <c r="AG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9" t="n"/>
      <c r="AD503" s="9" t="n"/>
      <c r="AE503" s="9" t="n"/>
      <c r="AF503" s="9" t="n"/>
      <c r="AG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9" t="n"/>
      <c r="AD505" s="9" t="n"/>
      <c r="AE505" s="9" t="n"/>
      <c r="AF505" s="9" t="n"/>
      <c r="AG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9" t="n"/>
      <c r="AD507" s="9" t="n"/>
      <c r="AE507" s="9" t="n"/>
      <c r="AF507" s="9" t="n"/>
      <c r="AG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9" t="n"/>
      <c r="AD508" s="9" t="n"/>
      <c r="AE508" s="9" t="n"/>
      <c r="AF508" s="9" t="n"/>
      <c r="AG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9" t="n"/>
      <c r="AD509" s="9" t="n"/>
      <c r="AE509" s="9" t="n"/>
      <c r="AF509" s="9" t="n"/>
      <c r="AG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9" t="n"/>
      <c r="AD510" s="9" t="n"/>
      <c r="AE510" s="9" t="n"/>
      <c r="AF510" s="9" t="n"/>
      <c r="AG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9" t="n"/>
      <c r="AD511" s="9" t="n"/>
      <c r="AE511" s="9" t="n"/>
      <c r="AF511" s="9" t="n"/>
      <c r="AG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9" t="n"/>
      <c r="AD513" s="9" t="n"/>
      <c r="AE513" s="9" t="n"/>
      <c r="AF513" s="9" t="n"/>
      <c r="AG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9" t="n"/>
      <c r="AD515" s="9" t="n"/>
      <c r="AE515" s="9" t="n"/>
      <c r="AF515" s="9" t="n"/>
      <c r="AG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9" t="n"/>
      <c r="AD516" s="9" t="n"/>
      <c r="AE516" s="9" t="n"/>
      <c r="AF516" s="9" t="n"/>
      <c r="AG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9" t="n"/>
      <c r="AD518" s="9" t="n"/>
      <c r="AE518" s="9" t="n"/>
      <c r="AF518" s="9" t="n"/>
      <c r="AG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9" t="n"/>
      <c r="AD520" s="9" t="n"/>
      <c r="AE520" s="9" t="n"/>
      <c r="AF520" s="9" t="n"/>
      <c r="AG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9" t="n"/>
      <c r="AD521" s="9" t="n"/>
      <c r="AE521" s="9" t="n"/>
      <c r="AF521" s="9" t="n"/>
      <c r="AG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9" t="n"/>
      <c r="AD522" s="9" t="n"/>
      <c r="AE522" s="9" t="n"/>
      <c r="AF522" s="9" t="n"/>
      <c r="AG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9" t="n"/>
      <c r="AD523" s="9" t="n"/>
      <c r="AE523" s="9" t="n"/>
      <c r="AF523" s="9" t="n"/>
      <c r="AG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9" t="n"/>
      <c r="AD524" s="9" t="n"/>
      <c r="AE524" s="9" t="n"/>
      <c r="AF524" s="9" t="n"/>
      <c r="AG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9" t="n"/>
      <c r="AD525" s="9" t="n"/>
      <c r="AE525" s="9" t="n"/>
      <c r="AF525" s="9" t="n"/>
      <c r="AG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9" t="n"/>
      <c r="AD526" s="9" t="n"/>
      <c r="AE526" s="9" t="n"/>
      <c r="AF526" s="9" t="n"/>
      <c r="AG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9" t="n"/>
      <c r="AD527" s="9" t="n"/>
      <c r="AE527" s="9" t="n"/>
      <c r="AF527" s="9" t="n"/>
      <c r="AG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9" t="n"/>
      <c r="AD528" s="9" t="n"/>
      <c r="AE528" s="9" t="n"/>
      <c r="AF528" s="9" t="n"/>
      <c r="AG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9" t="n"/>
      <c r="AD529" s="9" t="n"/>
      <c r="AE529" s="9" t="n"/>
      <c r="AF529" s="9" t="n"/>
      <c r="AG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9" t="n"/>
      <c r="AD531" s="9" t="n"/>
      <c r="AE531" s="9" t="n"/>
      <c r="AF531" s="9" t="n"/>
      <c r="AG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9" t="n"/>
      <c r="AD533" s="9" t="n"/>
      <c r="AE533" s="9" t="n"/>
      <c r="AF533" s="9" t="n"/>
      <c r="AG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9" t="n"/>
      <c r="AD534" s="9" t="n"/>
      <c r="AE534" s="9" t="n"/>
      <c r="AF534" s="9" t="n"/>
      <c r="AG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9" t="n"/>
      <c r="AD535" s="9" t="n"/>
      <c r="AE535" s="9" t="n"/>
      <c r="AF535" s="9" t="n"/>
      <c r="AG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9" t="n"/>
      <c r="AD536" s="9" t="n"/>
      <c r="AE536" s="9" t="n"/>
      <c r="AF536" s="9" t="n"/>
      <c r="AG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9" t="n"/>
      <c r="AD537" s="9" t="n"/>
      <c r="AE537" s="9" t="n"/>
      <c r="AF537" s="9" t="n"/>
      <c r="AG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9" t="n"/>
      <c r="AD538" s="9" t="n"/>
      <c r="AE538" s="9" t="n"/>
      <c r="AF538" s="9" t="n"/>
      <c r="AG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9" t="n"/>
      <c r="AD539" s="9" t="n"/>
      <c r="AE539" s="9" t="n"/>
      <c r="AF539" s="9" t="n"/>
      <c r="AG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9" t="n"/>
      <c r="AD540" s="9" t="n"/>
      <c r="AE540" s="9" t="n"/>
      <c r="AF540" s="9" t="n"/>
      <c r="AG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9" t="n"/>
      <c r="AD541" s="9" t="n"/>
      <c r="AE541" s="9" t="n"/>
      <c r="AF541" s="9" t="n"/>
      <c r="AG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9" t="n"/>
      <c r="AD542" s="9" t="n"/>
      <c r="AE542" s="9" t="n"/>
      <c r="AF542" s="9" t="n"/>
      <c r="AG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9" t="n"/>
      <c r="AD544" s="9" t="n"/>
      <c r="AE544" s="9" t="n"/>
      <c r="AF544" s="9" t="n"/>
      <c r="AG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9" t="n"/>
      <c r="AD546" s="9" t="n"/>
      <c r="AE546" s="9" t="n"/>
      <c r="AF546" s="9" t="n"/>
      <c r="AG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9" t="n"/>
      <c r="AD547" s="9" t="n"/>
      <c r="AE547" s="9" t="n"/>
      <c r="AF547" s="9" t="n"/>
      <c r="AG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9" t="n"/>
      <c r="AD548" s="9" t="n"/>
      <c r="AE548" s="9" t="n"/>
      <c r="AF548" s="9" t="n"/>
      <c r="AG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9" t="n"/>
      <c r="AD549" s="9" t="n"/>
      <c r="AE549" s="9" t="n"/>
      <c r="AF549" s="9" t="n"/>
      <c r="AG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9" t="n"/>
      <c r="AD550" s="9" t="n"/>
      <c r="AE550" s="9" t="n"/>
      <c r="AF550" s="9" t="n"/>
      <c r="AG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9" t="n"/>
      <c r="AD551" s="9" t="n"/>
      <c r="AE551" s="9" t="n"/>
      <c r="AF551" s="9" t="n"/>
      <c r="AG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9" t="n"/>
      <c r="AD552" s="9" t="n"/>
      <c r="AE552" s="9" t="n"/>
      <c r="AF552" s="9" t="n"/>
      <c r="AG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9" t="n"/>
      <c r="AD553" s="9" t="n"/>
      <c r="AE553" s="9" t="n"/>
      <c r="AF553" s="9" t="n"/>
      <c r="AG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9" t="n"/>
      <c r="AD554" s="9" t="n"/>
      <c r="AE554" s="9" t="n"/>
      <c r="AF554" s="9" t="n"/>
      <c r="AG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9" t="n"/>
      <c r="AD555" s="9" t="n"/>
      <c r="AE555" s="9" t="n"/>
      <c r="AF555" s="9" t="n"/>
      <c r="AG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9" t="n"/>
      <c r="AD557" s="9" t="n"/>
      <c r="AE557" s="9" t="n"/>
      <c r="AF557" s="9" t="n"/>
      <c r="AG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9" t="n"/>
      <c r="AD559" s="9" t="n"/>
      <c r="AE559" s="9" t="n"/>
      <c r="AF559" s="9" t="n"/>
      <c r="AG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9" t="n"/>
      <c r="AD560" s="9" t="n"/>
      <c r="AE560" s="9" t="n"/>
      <c r="AF560" s="9" t="n"/>
      <c r="AG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9" t="n"/>
      <c r="AD561" s="9" t="n"/>
      <c r="AE561" s="9" t="n"/>
      <c r="AF561" s="9" t="n"/>
      <c r="AG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9" t="n"/>
      <c r="AD562" s="9" t="n"/>
      <c r="AE562" s="9" t="n"/>
      <c r="AF562" s="9" t="n"/>
      <c r="AG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9" t="n"/>
      <c r="AD563" s="9" t="n"/>
      <c r="AE563" s="9" t="n"/>
      <c r="AF563" s="9" t="n"/>
      <c r="AG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9" t="n"/>
      <c r="AD564" s="9" t="n"/>
      <c r="AE564" s="9" t="n"/>
      <c r="AF564" s="9" t="n"/>
      <c r="AG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9" t="n"/>
      <c r="AD565" s="9" t="n"/>
      <c r="AE565" s="9" t="n"/>
      <c r="AF565" s="9" t="n"/>
      <c r="AG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9" t="n"/>
      <c r="AD566" s="9" t="n"/>
      <c r="AE566" s="9" t="n"/>
      <c r="AF566" s="9" t="n"/>
      <c r="AG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9" t="n"/>
      <c r="AD567" s="9" t="n"/>
      <c r="AE567" s="9" t="n"/>
      <c r="AF567" s="9" t="n"/>
      <c r="AG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9" t="n"/>
      <c r="AD568" s="9" t="n"/>
      <c r="AE568" s="9" t="n"/>
      <c r="AF568" s="9" t="n"/>
      <c r="AG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9" t="n"/>
      <c r="AD570" s="9" t="n"/>
      <c r="AE570" s="9" t="n"/>
      <c r="AF570" s="9" t="n"/>
      <c r="AG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9" t="n"/>
      <c r="AD572" s="9" t="n"/>
      <c r="AE572" s="9" t="n"/>
      <c r="AF572" s="9" t="n"/>
      <c r="AG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9" t="n"/>
      <c r="AD573" s="9" t="n"/>
      <c r="AE573" s="9" t="n"/>
      <c r="AF573" s="9" t="n"/>
      <c r="AG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9" t="n"/>
      <c r="AD574" s="9" t="n"/>
      <c r="AE574" s="9" t="n"/>
      <c r="AF574" s="9" t="n"/>
      <c r="AG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9" t="n"/>
      <c r="AD575" s="9" t="n"/>
      <c r="AE575" s="9" t="n"/>
      <c r="AF575" s="9" t="n"/>
      <c r="AG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9" t="n"/>
      <c r="AD576" s="9" t="n"/>
      <c r="AE576" s="9" t="n"/>
      <c r="AF576" s="9" t="n"/>
      <c r="AG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9" t="n"/>
      <c r="AD577" s="9" t="n"/>
      <c r="AE577" s="9" t="n"/>
      <c r="AF577" s="9" t="n"/>
      <c r="AG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9" t="n"/>
      <c r="AD578" s="9" t="n"/>
      <c r="AE578" s="9" t="n"/>
      <c r="AF578" s="9" t="n"/>
      <c r="AG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9" t="n"/>
      <c r="AD579" s="9" t="n"/>
      <c r="AE579" s="9" t="n"/>
      <c r="AF579" s="9" t="n"/>
      <c r="AG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9" t="n"/>
      <c r="AD580" s="9" t="n"/>
      <c r="AE580" s="9" t="n"/>
      <c r="AF580" s="9" t="n"/>
      <c r="AG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9" t="n"/>
      <c r="AD581" s="9" t="n"/>
      <c r="AE581" s="9" t="n"/>
      <c r="AF581" s="9" t="n"/>
      <c r="AG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9" t="n"/>
      <c r="AD583" s="9" t="n"/>
      <c r="AE583" s="9" t="n"/>
      <c r="AF583" s="9" t="n"/>
      <c r="AG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9" t="n"/>
      <c r="AD585" s="9" t="n"/>
      <c r="AE585" s="9" t="n"/>
      <c r="AF585" s="9" t="n"/>
      <c r="AG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9" t="n"/>
      <c r="AD586" s="9" t="n"/>
      <c r="AE586" s="9" t="n"/>
      <c r="AF586" s="9" t="n"/>
      <c r="AG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9" t="n"/>
      <c r="AD587" s="9" t="n"/>
      <c r="AE587" s="9" t="n"/>
      <c r="AF587" s="9" t="n"/>
      <c r="AG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9" t="n"/>
      <c r="AD588" s="9" t="n"/>
      <c r="AE588" s="9" t="n"/>
      <c r="AF588" s="9" t="n"/>
      <c r="AG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9" t="n"/>
      <c r="AD589" s="9" t="n"/>
      <c r="AE589" s="9" t="n"/>
      <c r="AF589" s="9" t="n"/>
      <c r="AG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9" t="n"/>
      <c r="AD590" s="9" t="n"/>
      <c r="AE590" s="9" t="n"/>
      <c r="AF590" s="9" t="n"/>
      <c r="AG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9" t="n"/>
      <c r="AD591" s="9" t="n"/>
      <c r="AE591" s="9" t="n"/>
      <c r="AF591" s="9" t="n"/>
      <c r="AG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9" t="n"/>
      <c r="AD592" s="9" t="n"/>
      <c r="AE592" s="9" t="n"/>
      <c r="AF592" s="9" t="n"/>
      <c r="AG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9" t="n"/>
      <c r="AD593" s="9" t="n"/>
      <c r="AE593" s="9" t="n"/>
      <c r="AF593" s="9" t="n"/>
      <c r="AG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9" t="n"/>
      <c r="AD594" s="9" t="n"/>
      <c r="AE594" s="9" t="n"/>
      <c r="AF594" s="9" t="n"/>
      <c r="AG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9" t="n"/>
      <c r="AD595" s="9" t="n"/>
      <c r="AE595" s="9" t="n"/>
      <c r="AF595" s="9" t="n"/>
      <c r="AG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9" t="n"/>
      <c r="AD596" s="9" t="n"/>
      <c r="AE596" s="9" t="n"/>
      <c r="AF596" s="9" t="n"/>
      <c r="AG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9" t="n"/>
      <c r="AD597" s="9" t="n"/>
      <c r="AE597" s="9" t="n"/>
      <c r="AF597" s="9" t="n"/>
      <c r="AG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9" t="n"/>
      <c r="AD598" s="9" t="n"/>
      <c r="AE598" s="9" t="n"/>
      <c r="AF598" s="9" t="n"/>
      <c r="AG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9" t="n"/>
      <c r="AD599" s="9" t="n"/>
      <c r="AE599" s="9" t="n"/>
      <c r="AF599" s="9" t="n"/>
      <c r="AG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9" t="n"/>
      <c r="AD600" s="9" t="n"/>
      <c r="AE600" s="9" t="n"/>
      <c r="AF600" s="9" t="n"/>
      <c r="AG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9" t="n"/>
      <c r="AD601" s="9" t="n"/>
      <c r="AE601" s="9" t="n"/>
      <c r="AF601" s="9" t="n"/>
      <c r="AG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9" t="n"/>
      <c r="AD602" s="9" t="n"/>
      <c r="AE602" s="9" t="n"/>
      <c r="AF602" s="9" t="n"/>
      <c r="AG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9" t="n"/>
      <c r="AD603" s="9" t="n"/>
      <c r="AE603" s="9" t="n"/>
      <c r="AF603" s="9" t="n"/>
      <c r="AG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9" t="n"/>
      <c r="AD604" s="9" t="n"/>
      <c r="AE604" s="9" t="n"/>
      <c r="AF604" s="9" t="n"/>
      <c r="AG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9" t="n"/>
      <c r="AD605" s="9" t="n"/>
      <c r="AE605" s="9" t="n"/>
      <c r="AF605" s="9" t="n"/>
      <c r="AG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9" t="n"/>
      <c r="AD606" s="9" t="n"/>
      <c r="AE606" s="9" t="n"/>
      <c r="AF606" s="9" t="n"/>
      <c r="AG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9" t="n"/>
      <c r="AD607" s="9" t="n"/>
      <c r="AE607" s="9" t="n"/>
      <c r="AF607" s="9" t="n"/>
      <c r="AG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9" t="n"/>
      <c r="AD608" s="9" t="n"/>
      <c r="AE608" s="9" t="n"/>
      <c r="AF608" s="9" t="n"/>
      <c r="AG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9" t="n"/>
      <c r="AD609" s="9" t="n"/>
      <c r="AE609" s="9" t="n"/>
      <c r="AF609" s="9" t="n"/>
      <c r="AG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9" t="n"/>
      <c r="AD610" s="9" t="n"/>
      <c r="AE610" s="9" t="n"/>
      <c r="AF610" s="9" t="n"/>
      <c r="AG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9" t="n"/>
      <c r="AD611" s="9" t="n"/>
      <c r="AE611" s="9" t="n"/>
      <c r="AF611" s="9" t="n"/>
      <c r="AG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9" t="n"/>
      <c r="AD612" s="9" t="n"/>
      <c r="AE612" s="9" t="n"/>
      <c r="AF612" s="9" t="n"/>
      <c r="AG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9" t="n"/>
      <c r="AD613" s="9" t="n"/>
      <c r="AE613" s="9" t="n"/>
      <c r="AF613" s="9" t="n"/>
      <c r="AG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9" t="n"/>
      <c r="AD614" s="9" t="n"/>
      <c r="AE614" s="9" t="n"/>
      <c r="AF614" s="9" t="n"/>
      <c r="AG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9" t="n"/>
      <c r="AD615" s="9" t="n"/>
      <c r="AE615" s="9" t="n"/>
      <c r="AF615" s="9" t="n"/>
      <c r="AG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9" t="n"/>
      <c r="AD616" s="9" t="n"/>
      <c r="AE616" s="9" t="n"/>
      <c r="AF616" s="9" t="n"/>
      <c r="AG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9" t="n"/>
      <c r="AD617" s="9" t="n"/>
      <c r="AE617" s="9" t="n"/>
      <c r="AF617" s="9" t="n"/>
      <c r="AG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9" t="n"/>
      <c r="AD618" s="9" t="n"/>
      <c r="AE618" s="9" t="n"/>
      <c r="AF618" s="9" t="n"/>
      <c r="AG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9" t="n"/>
      <c r="AD619" s="9" t="n"/>
      <c r="AE619" s="9" t="n"/>
      <c r="AF619" s="9" t="n"/>
      <c r="AG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9" t="n"/>
      <c r="AD620" s="9" t="n"/>
      <c r="AE620" s="9" t="n"/>
      <c r="AF620" s="9" t="n"/>
      <c r="AG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9" t="n"/>
      <c r="AD621" s="9" t="n"/>
      <c r="AE621" s="9" t="n"/>
      <c r="AF621" s="9" t="n"/>
      <c r="AG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9" t="n"/>
      <c r="AD622" s="9" t="n"/>
      <c r="AE622" s="9" t="n"/>
      <c r="AF622" s="9" t="n"/>
      <c r="AG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9" t="n"/>
      <c r="AD623" s="9" t="n"/>
      <c r="AE623" s="9" t="n"/>
      <c r="AF623" s="9" t="n"/>
      <c r="AG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9" t="n"/>
      <c r="AD624" s="9" t="n"/>
      <c r="AE624" s="9" t="n"/>
      <c r="AF624" s="9" t="n"/>
      <c r="AG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9" t="n"/>
      <c r="AD625" s="9" t="n"/>
      <c r="AE625" s="9" t="n"/>
      <c r="AF625" s="9" t="n"/>
      <c r="AG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9" t="n"/>
      <c r="AD626" s="9" t="n"/>
      <c r="AE626" s="9" t="n"/>
      <c r="AF626" s="9" t="n"/>
      <c r="AG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9" t="n"/>
      <c r="AD627" s="9" t="n"/>
      <c r="AE627" s="9" t="n"/>
      <c r="AF627" s="9" t="n"/>
      <c r="AG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9" t="n"/>
      <c r="AD628" s="9" t="n"/>
      <c r="AE628" s="9" t="n"/>
      <c r="AF628" s="9" t="n"/>
      <c r="AG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9" t="n"/>
      <c r="AD629" s="9" t="n"/>
      <c r="AE629" s="9" t="n"/>
      <c r="AF629" s="9" t="n"/>
      <c r="AG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9" t="n"/>
      <c r="AD630" s="9" t="n"/>
      <c r="AE630" s="9" t="n"/>
      <c r="AF630" s="9" t="n"/>
      <c r="AG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9" t="n"/>
      <c r="AD631" s="9" t="n"/>
      <c r="AE631" s="9" t="n"/>
      <c r="AF631" s="9" t="n"/>
      <c r="AG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9" t="n"/>
      <c r="AD632" s="9" t="n"/>
      <c r="AE632" s="9" t="n"/>
      <c r="AF632" s="9" t="n"/>
      <c r="AG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9" t="n"/>
      <c r="AD633" s="9" t="n"/>
      <c r="AE633" s="9" t="n"/>
      <c r="AF633" s="9" t="n"/>
      <c r="AG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9" t="n"/>
      <c r="AD634" s="9" t="n"/>
      <c r="AE634" s="9" t="n"/>
      <c r="AF634" s="9" t="n"/>
      <c r="AG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9" t="n"/>
      <c r="AD635" s="9" t="n"/>
      <c r="AE635" s="9" t="n"/>
      <c r="AF635" s="9" t="n"/>
      <c r="AG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9" t="n"/>
      <c r="AD636" s="9" t="n"/>
      <c r="AE636" s="9" t="n"/>
      <c r="AF636" s="9" t="n"/>
      <c r="AG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9" t="n"/>
      <c r="AD637" s="9" t="n"/>
      <c r="AE637" s="9" t="n"/>
      <c r="AF637" s="9" t="n"/>
      <c r="AG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9" t="n"/>
      <c r="AD638" s="9" t="n"/>
      <c r="AE638" s="9" t="n"/>
      <c r="AF638" s="9" t="n"/>
      <c r="AG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9" t="n"/>
      <c r="AD639" s="9" t="n"/>
      <c r="AE639" s="9" t="n"/>
      <c r="AF639" s="9" t="n"/>
      <c r="AG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9" t="n"/>
      <c r="AD640" s="9" t="n"/>
      <c r="AE640" s="9" t="n"/>
      <c r="AF640" s="9" t="n"/>
      <c r="AG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9" t="n"/>
      <c r="AD641" s="9" t="n"/>
      <c r="AE641" s="9" t="n"/>
      <c r="AF641" s="9" t="n"/>
      <c r="AG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9" t="n"/>
      <c r="AD642" s="9" t="n"/>
      <c r="AE642" s="9" t="n"/>
      <c r="AF642" s="9" t="n"/>
      <c r="AG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9" t="n"/>
      <c r="AD643" s="9" t="n"/>
      <c r="AE643" s="9" t="n"/>
      <c r="AF643" s="9" t="n"/>
      <c r="AG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9" t="n"/>
      <c r="AD644" s="9" t="n"/>
      <c r="AE644" s="9" t="n"/>
      <c r="AF644" s="9" t="n"/>
      <c r="AG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9" t="n"/>
      <c r="AD645" s="9" t="n"/>
      <c r="AE645" s="9" t="n"/>
      <c r="AF645" s="9" t="n"/>
      <c r="AG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9" t="n"/>
      <c r="AD646" s="9" t="n"/>
      <c r="AE646" s="9" t="n"/>
      <c r="AF646" s="9" t="n"/>
      <c r="AG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9" t="n"/>
      <c r="AD647" s="9" t="n"/>
      <c r="AE647" s="9" t="n"/>
      <c r="AF647" s="9" t="n"/>
      <c r="AG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9" t="n"/>
      <c r="AD648" s="9" t="n"/>
      <c r="AE648" s="9" t="n"/>
      <c r="AF648" s="9" t="n"/>
      <c r="AG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9" t="n"/>
      <c r="AD649" s="9" t="n"/>
      <c r="AE649" s="9" t="n"/>
      <c r="AF649" s="9" t="n"/>
      <c r="AG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9" t="n"/>
      <c r="AD650" s="9" t="n"/>
      <c r="AE650" s="9" t="n"/>
      <c r="AF650" s="9" t="n"/>
      <c r="AG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9" t="n"/>
      <c r="AD651" s="9" t="n"/>
      <c r="AE651" s="9" t="n"/>
      <c r="AF651" s="9" t="n"/>
      <c r="AG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9" t="n"/>
      <c r="AD652" s="9" t="n"/>
      <c r="AE652" s="9" t="n"/>
      <c r="AF652" s="9" t="n"/>
      <c r="AG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9" t="n"/>
      <c r="AD653" s="9" t="n"/>
      <c r="AE653" s="9" t="n"/>
      <c r="AF653" s="9" t="n"/>
      <c r="AG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9" t="n"/>
      <c r="AD654" s="9" t="n"/>
      <c r="AE654" s="9" t="n"/>
      <c r="AF654" s="9" t="n"/>
      <c r="AG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9" t="n"/>
      <c r="AD655" s="9" t="n"/>
      <c r="AE655" s="9" t="n"/>
      <c r="AF655" s="9" t="n"/>
      <c r="AG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9" t="n"/>
      <c r="AD656" s="9" t="n"/>
      <c r="AE656" s="9" t="n"/>
      <c r="AF656" s="9" t="n"/>
      <c r="AG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9" t="n"/>
      <c r="AD657" s="9" t="n"/>
      <c r="AE657" s="9" t="n"/>
      <c r="AF657" s="9" t="n"/>
      <c r="AG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9" t="n"/>
      <c r="AD658" s="9" t="n"/>
      <c r="AE658" s="9" t="n"/>
      <c r="AF658" s="9" t="n"/>
      <c r="AG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9" t="n"/>
      <c r="AD659" s="9" t="n"/>
      <c r="AE659" s="9" t="n"/>
      <c r="AF659" s="9" t="n"/>
      <c r="AG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9" t="n"/>
      <c r="AD660" s="9" t="n"/>
      <c r="AE660" s="9" t="n"/>
      <c r="AF660" s="9" t="n"/>
      <c r="AG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9" t="n"/>
      <c r="AD661" s="9" t="n"/>
      <c r="AE661" s="9" t="n"/>
      <c r="AF661" s="9" t="n"/>
      <c r="AG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9" t="n"/>
      <c r="AD662" s="9" t="n"/>
      <c r="AE662" s="9" t="n"/>
      <c r="AF662" s="9" t="n"/>
      <c r="AG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9" t="n"/>
      <c r="AD663" s="9" t="n"/>
      <c r="AE663" s="9" t="n"/>
      <c r="AF663" s="9" t="n"/>
      <c r="AG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9" t="n"/>
      <c r="AD664" s="9" t="n"/>
      <c r="AE664" s="9" t="n"/>
      <c r="AF664" s="9" t="n"/>
      <c r="AG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9" t="n"/>
      <c r="AD665" s="9" t="n"/>
      <c r="AE665" s="9" t="n"/>
      <c r="AF665" s="9" t="n"/>
      <c r="AG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9" t="n"/>
      <c r="AD666" s="9" t="n"/>
      <c r="AE666" s="9" t="n"/>
      <c r="AF666" s="9" t="n"/>
      <c r="AG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9" t="n"/>
      <c r="AD667" s="9" t="n"/>
      <c r="AE667" s="9" t="n"/>
      <c r="AF667" s="9" t="n"/>
      <c r="AG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9" t="n"/>
      <c r="AD668" s="9" t="n"/>
      <c r="AE668" s="9" t="n"/>
      <c r="AF668" s="9" t="n"/>
      <c r="AG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9" t="n"/>
      <c r="AD669" s="9" t="n"/>
      <c r="AE669" s="9" t="n"/>
      <c r="AF669" s="9" t="n"/>
      <c r="AG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9" t="n"/>
      <c r="AD670" s="9" t="n"/>
      <c r="AE670" s="9" t="n"/>
      <c r="AF670" s="9" t="n"/>
      <c r="AG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9" t="n"/>
      <c r="AD671" s="9" t="n"/>
      <c r="AE671" s="9" t="n"/>
      <c r="AF671" s="9" t="n"/>
      <c r="AG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9" t="n"/>
      <c r="AD672" s="9" t="n"/>
      <c r="AE672" s="9" t="n"/>
      <c r="AF672" s="9" t="n"/>
      <c r="AG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9" t="n"/>
      <c r="AD673" s="9" t="n"/>
      <c r="AE673" s="9" t="n"/>
      <c r="AF673" s="9" t="n"/>
      <c r="AG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9" t="n"/>
      <c r="AD674" s="9" t="n"/>
      <c r="AE674" s="9" t="n"/>
      <c r="AF674" s="9" t="n"/>
      <c r="AG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9" t="n"/>
      <c r="AD675" s="9" t="n"/>
      <c r="AE675" s="9" t="n"/>
      <c r="AF675" s="9" t="n"/>
      <c r="AG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9" t="n"/>
      <c r="AD676" s="9" t="n"/>
      <c r="AE676" s="9" t="n"/>
      <c r="AF676" s="9" t="n"/>
      <c r="AG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9" t="n"/>
      <c r="AD677" s="9" t="n"/>
      <c r="AE677" s="9" t="n"/>
      <c r="AF677" s="9" t="n"/>
      <c r="AG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9" t="n"/>
      <c r="AD678" s="9" t="n"/>
      <c r="AE678" s="9" t="n"/>
      <c r="AF678" s="9" t="n"/>
      <c r="AG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9" t="n"/>
      <c r="AD679" s="9" t="n"/>
      <c r="AE679" s="9" t="n"/>
      <c r="AF679" s="9" t="n"/>
      <c r="AG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9" t="n"/>
      <c r="AD680" s="9" t="n"/>
      <c r="AE680" s="9" t="n"/>
      <c r="AF680" s="9" t="n"/>
      <c r="AG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9" t="n"/>
      <c r="AD681" s="9" t="n"/>
      <c r="AE681" s="9" t="n"/>
      <c r="AF681" s="9" t="n"/>
      <c r="AG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9" t="n"/>
      <c r="AD682" s="9" t="n"/>
      <c r="AE682" s="9" t="n"/>
      <c r="AF682" s="9" t="n"/>
      <c r="AG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9" t="n"/>
      <c r="AD683" s="9" t="n"/>
      <c r="AE683" s="9" t="n"/>
      <c r="AF683" s="9" t="n"/>
      <c r="AG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9" t="n"/>
      <c r="AD684" s="9" t="n"/>
      <c r="AE684" s="9" t="n"/>
      <c r="AF684" s="9" t="n"/>
      <c r="AG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9" t="n"/>
      <c r="AD685" s="9" t="n"/>
      <c r="AE685" s="9" t="n"/>
      <c r="AF685" s="9" t="n"/>
      <c r="AG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9" t="n"/>
      <c r="AD686" s="9" t="n"/>
      <c r="AE686" s="9" t="n"/>
      <c r="AF686" s="9" t="n"/>
      <c r="AG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9" t="n"/>
      <c r="AD687" s="9" t="n"/>
      <c r="AE687" s="9" t="n"/>
      <c r="AF687" s="9" t="n"/>
      <c r="AG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9" t="n"/>
      <c r="AD688" s="9" t="n"/>
      <c r="AE688" s="9" t="n"/>
      <c r="AF688" s="9" t="n"/>
      <c r="AG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9" t="n"/>
      <c r="AD689" s="9" t="n"/>
      <c r="AE689" s="9" t="n"/>
      <c r="AF689" s="9" t="n"/>
      <c r="AG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9" t="n"/>
      <c r="AD690" s="9" t="n"/>
      <c r="AE690" s="9" t="n"/>
      <c r="AF690" s="9" t="n"/>
      <c r="AG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9" t="n"/>
      <c r="AD691" s="9" t="n"/>
      <c r="AE691" s="9" t="n"/>
      <c r="AF691" s="9" t="n"/>
      <c r="AG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9" t="n"/>
      <c r="AD692" s="9" t="n"/>
      <c r="AE692" s="9" t="n"/>
      <c r="AF692" s="9" t="n"/>
      <c r="AG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9" t="n"/>
      <c r="AD693" s="9" t="n"/>
      <c r="AE693" s="9" t="n"/>
      <c r="AF693" s="9" t="n"/>
      <c r="AG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9" t="n"/>
      <c r="AD694" s="9" t="n"/>
      <c r="AE694" s="9" t="n"/>
      <c r="AF694" s="9" t="n"/>
      <c r="AG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9" t="n"/>
      <c r="AD695" s="9" t="n"/>
      <c r="AE695" s="9" t="n"/>
      <c r="AF695" s="9" t="n"/>
      <c r="AG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9" t="n"/>
      <c r="AD696" s="9" t="n"/>
      <c r="AE696" s="9" t="n"/>
      <c r="AF696" s="9" t="n"/>
      <c r="AG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9" t="n"/>
      <c r="AD697" s="9" t="n"/>
      <c r="AE697" s="9" t="n"/>
      <c r="AF697" s="9" t="n"/>
      <c r="AG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9" t="n"/>
      <c r="AD698" s="9" t="n"/>
      <c r="AE698" s="9" t="n"/>
      <c r="AF698" s="9" t="n"/>
      <c r="AG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9" t="n"/>
      <c r="AD699" s="9" t="n"/>
      <c r="AE699" s="9" t="n"/>
      <c r="AF699" s="9" t="n"/>
      <c r="AG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9" t="n"/>
      <c r="AD700" s="9" t="n"/>
      <c r="AE700" s="9" t="n"/>
      <c r="AF700" s="9" t="n"/>
      <c r="AG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9" t="n"/>
      <c r="AD701" s="9" t="n"/>
      <c r="AE701" s="9" t="n"/>
      <c r="AF701" s="9" t="n"/>
      <c r="AG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9" t="n"/>
      <c r="AD702" s="9" t="n"/>
      <c r="AE702" s="9" t="n"/>
      <c r="AF702" s="9" t="n"/>
      <c r="AG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9" t="n"/>
      <c r="AD703" s="9" t="n"/>
      <c r="AE703" s="9" t="n"/>
      <c r="AF703" s="9" t="n"/>
      <c r="AG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9" t="n"/>
      <c r="AD704" s="9" t="n"/>
      <c r="AE704" s="9" t="n"/>
      <c r="AF704" s="9" t="n"/>
      <c r="AG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9" t="n"/>
      <c r="AD705" s="9" t="n"/>
      <c r="AE705" s="9" t="n"/>
      <c r="AF705" s="9" t="n"/>
      <c r="AG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9" t="n"/>
      <c r="AD706" s="9" t="n"/>
      <c r="AE706" s="9" t="n"/>
      <c r="AF706" s="9" t="n"/>
      <c r="AG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9" t="n"/>
      <c r="AD707" s="9" t="n"/>
      <c r="AE707" s="9" t="n"/>
      <c r="AF707" s="9" t="n"/>
      <c r="AG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9" t="n"/>
      <c r="AD708" s="9" t="n"/>
      <c r="AE708" s="9" t="n"/>
      <c r="AF708" s="9" t="n"/>
      <c r="AG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9" t="n"/>
      <c r="AD709" s="9" t="n"/>
      <c r="AE709" s="9" t="n"/>
      <c r="AF709" s="9" t="n"/>
      <c r="AG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9" t="n"/>
      <c r="AD710" s="9" t="n"/>
      <c r="AE710" s="9" t="n"/>
      <c r="AF710" s="9" t="n"/>
      <c r="AG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9" t="n"/>
      <c r="AD711" s="9" t="n"/>
      <c r="AE711" s="9" t="n"/>
      <c r="AF711" s="9" t="n"/>
      <c r="AG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9" t="n"/>
      <c r="AD712" s="9" t="n"/>
      <c r="AE712" s="9" t="n"/>
      <c r="AF712" s="9" t="n"/>
      <c r="AG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9" t="n"/>
      <c r="AD713" s="9" t="n"/>
      <c r="AE713" s="9" t="n"/>
      <c r="AF713" s="9" t="n"/>
      <c r="AG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9" t="n"/>
      <c r="AD714" s="9" t="n"/>
      <c r="AE714" s="9" t="n"/>
      <c r="AF714" s="9" t="n"/>
      <c r="AG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9" t="n"/>
      <c r="AD715" s="9" t="n"/>
      <c r="AE715" s="9" t="n"/>
      <c r="AF715" s="9" t="n"/>
      <c r="AG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9" t="n"/>
      <c r="AD716" s="9" t="n"/>
      <c r="AE716" s="9" t="n"/>
      <c r="AF716" s="9" t="n"/>
      <c r="AG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9" t="n"/>
      <c r="AD717" s="9" t="n"/>
      <c r="AE717" s="9" t="n"/>
      <c r="AF717" s="9" t="n"/>
      <c r="AG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9" t="n"/>
      <c r="AD718" s="9" t="n"/>
      <c r="AE718" s="9" t="n"/>
      <c r="AF718" s="9" t="n"/>
      <c r="AG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9" t="n"/>
      <c r="AD719" s="9" t="n"/>
      <c r="AE719" s="9" t="n"/>
      <c r="AF719" s="9" t="n"/>
      <c r="AG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9" t="n"/>
      <c r="AD720" s="9" t="n"/>
      <c r="AE720" s="9" t="n"/>
      <c r="AF720" s="9" t="n"/>
      <c r="AG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9" t="n"/>
      <c r="AD721" s="9" t="n"/>
      <c r="AE721" s="9" t="n"/>
      <c r="AF721" s="9" t="n"/>
      <c r="AG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9" t="n"/>
      <c r="AD722" s="9" t="n"/>
      <c r="AE722" s="9" t="n"/>
      <c r="AF722" s="9" t="n"/>
      <c r="AG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9" t="n"/>
      <c r="AD723" s="9" t="n"/>
      <c r="AE723" s="9" t="n"/>
      <c r="AF723" s="9" t="n"/>
      <c r="AG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9" t="n"/>
      <c r="AD724" s="9" t="n"/>
      <c r="AE724" s="9" t="n"/>
      <c r="AF724" s="9" t="n"/>
      <c r="AG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9" t="n"/>
      <c r="AD725" s="9" t="n"/>
      <c r="AE725" s="9" t="n"/>
      <c r="AF725" s="9" t="n"/>
      <c r="AG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9" t="n"/>
      <c r="AD726" s="9" t="n"/>
      <c r="AE726" s="9" t="n"/>
      <c r="AF726" s="9" t="n"/>
      <c r="AG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9" t="n"/>
      <c r="AD727" s="9" t="n"/>
      <c r="AE727" s="9" t="n"/>
      <c r="AF727" s="9" t="n"/>
      <c r="AG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9" t="n"/>
      <c r="AD728" s="9" t="n"/>
      <c r="AE728" s="9" t="n"/>
      <c r="AF728" s="9" t="n"/>
      <c r="AG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9" t="n"/>
      <c r="AD729" s="9" t="n"/>
      <c r="AE729" s="9" t="n"/>
      <c r="AF729" s="9" t="n"/>
      <c r="AG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9" t="n"/>
      <c r="AD730" s="9" t="n"/>
      <c r="AE730" s="9" t="n"/>
      <c r="AF730" s="9" t="n"/>
      <c r="AG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9" t="n"/>
      <c r="AD731" s="9" t="n"/>
      <c r="AE731" s="9" t="n"/>
      <c r="AF731" s="9" t="n"/>
      <c r="AG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9" t="n"/>
      <c r="AD732" s="9" t="n"/>
      <c r="AE732" s="9" t="n"/>
      <c r="AF732" s="9" t="n"/>
      <c r="AG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9" t="n"/>
      <c r="AD733" s="9" t="n"/>
      <c r="AE733" s="9" t="n"/>
      <c r="AF733" s="9" t="n"/>
      <c r="AG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9" t="n"/>
      <c r="AD734" s="9" t="n"/>
      <c r="AE734" s="9" t="n"/>
      <c r="AF734" s="9" t="n"/>
      <c r="AG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9" t="n"/>
      <c r="AD735" s="9" t="n"/>
      <c r="AE735" s="9" t="n"/>
      <c r="AF735" s="9" t="n"/>
      <c r="AG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9" t="n"/>
      <c r="AD736" s="9" t="n"/>
      <c r="AE736" s="9" t="n"/>
      <c r="AF736" s="9" t="n"/>
      <c r="AG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9" t="n"/>
      <c r="AD737" s="9" t="n"/>
      <c r="AE737" s="9" t="n"/>
      <c r="AF737" s="9" t="n"/>
      <c r="AG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9" t="n"/>
      <c r="AD738" s="9" t="n"/>
      <c r="AE738" s="9" t="n"/>
      <c r="AF738" s="9" t="n"/>
      <c r="AG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9" t="n"/>
      <c r="AD739" s="9" t="n"/>
      <c r="AE739" s="9" t="n"/>
      <c r="AF739" s="9" t="n"/>
      <c r="AG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9" t="n"/>
      <c r="AD740" s="9" t="n"/>
      <c r="AE740" s="9" t="n"/>
      <c r="AF740" s="9" t="n"/>
      <c r="AG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9" t="n"/>
      <c r="AD741" s="9" t="n"/>
      <c r="AE741" s="9" t="n"/>
      <c r="AF741" s="9" t="n"/>
      <c r="AG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9" t="n"/>
      <c r="AD742" s="9" t="n"/>
      <c r="AE742" s="9" t="n"/>
      <c r="AF742" s="9" t="n"/>
      <c r="AG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9" t="n"/>
      <c r="AD743" s="9" t="n"/>
      <c r="AE743" s="9" t="n"/>
      <c r="AF743" s="9" t="n"/>
      <c r="AG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9" t="n"/>
      <c r="AD744" s="9" t="n"/>
      <c r="AE744" s="9" t="n"/>
      <c r="AF744" s="9" t="n"/>
      <c r="AG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9" t="n"/>
      <c r="AD745" s="9" t="n"/>
      <c r="AE745" s="9" t="n"/>
      <c r="AF745" s="9" t="n"/>
      <c r="AG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9" t="n"/>
      <c r="AD746" s="9" t="n"/>
      <c r="AE746" s="9" t="n"/>
      <c r="AF746" s="9" t="n"/>
      <c r="AG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9" t="n"/>
      <c r="AD747" s="9" t="n"/>
      <c r="AE747" s="9" t="n"/>
      <c r="AF747" s="9" t="n"/>
      <c r="AG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9" t="n"/>
      <c r="AD748" s="9" t="n"/>
      <c r="AE748" s="9" t="n"/>
      <c r="AF748" s="9" t="n"/>
      <c r="AG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9" t="n"/>
      <c r="AD749" s="9" t="n"/>
      <c r="AE749" s="9" t="n"/>
      <c r="AF749" s="9" t="n"/>
      <c r="AG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9" t="n"/>
      <c r="AD750" s="9" t="n"/>
      <c r="AE750" s="9" t="n"/>
      <c r="AF750" s="9" t="n"/>
      <c r="AG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9" t="n"/>
      <c r="AD751" s="9" t="n"/>
      <c r="AE751" s="9" t="n"/>
      <c r="AF751" s="9" t="n"/>
      <c r="AG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9" t="n"/>
      <c r="AD752" s="9" t="n"/>
      <c r="AE752" s="9" t="n"/>
      <c r="AF752" s="9" t="n"/>
      <c r="AG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9" t="n"/>
      <c r="AD753" s="9" t="n"/>
      <c r="AE753" s="9" t="n"/>
      <c r="AF753" s="9" t="n"/>
      <c r="AG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9" t="n"/>
      <c r="AD754" s="9" t="n"/>
      <c r="AE754" s="9" t="n"/>
      <c r="AF754" s="9" t="n"/>
      <c r="AG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9" t="n"/>
      <c r="AD755" s="9" t="n"/>
      <c r="AE755" s="9" t="n"/>
      <c r="AF755" s="9" t="n"/>
      <c r="AG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9" t="n"/>
      <c r="AD756" s="9" t="n"/>
      <c r="AE756" s="9" t="n"/>
      <c r="AF756" s="9" t="n"/>
      <c r="AG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9" t="n"/>
      <c r="AD757" s="9" t="n"/>
      <c r="AE757" s="9" t="n"/>
      <c r="AF757" s="9" t="n"/>
      <c r="AG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9" t="n"/>
      <c r="AD758" s="9" t="n"/>
      <c r="AE758" s="9" t="n"/>
      <c r="AF758" s="9" t="n"/>
      <c r="AG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9" t="n"/>
      <c r="AD759" s="9" t="n"/>
      <c r="AE759" s="9" t="n"/>
      <c r="AF759" s="9" t="n"/>
      <c r="AG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9" t="n"/>
      <c r="AD760" s="9" t="n"/>
      <c r="AE760" s="9" t="n"/>
      <c r="AF760" s="9" t="n"/>
      <c r="AG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9" t="n"/>
      <c r="AD761" s="9" t="n"/>
      <c r="AE761" s="9" t="n"/>
      <c r="AF761" s="9" t="n"/>
      <c r="AG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9" t="n"/>
      <c r="AD762" s="9" t="n"/>
      <c r="AE762" s="9" t="n"/>
      <c r="AF762" s="9" t="n"/>
      <c r="AG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9" t="n"/>
      <c r="AD763" s="9" t="n"/>
      <c r="AE763" s="9" t="n"/>
      <c r="AF763" s="9" t="n"/>
      <c r="AG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9" t="n"/>
      <c r="AD764" s="9" t="n"/>
      <c r="AE764" s="9" t="n"/>
      <c r="AF764" s="9" t="n"/>
      <c r="AG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9" t="n"/>
      <c r="AD765" s="9" t="n"/>
      <c r="AE765" s="9" t="n"/>
      <c r="AF765" s="9" t="n"/>
      <c r="AG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9" t="n"/>
      <c r="AD766" s="9" t="n"/>
      <c r="AE766" s="9" t="n"/>
      <c r="AF766" s="9" t="n"/>
      <c r="AG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9" t="n"/>
      <c r="AD767" s="9" t="n"/>
      <c r="AE767" s="9" t="n"/>
      <c r="AF767" s="9" t="n"/>
      <c r="AG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9" t="n"/>
      <c r="AD768" s="9" t="n"/>
      <c r="AE768" s="9" t="n"/>
      <c r="AF768" s="9" t="n"/>
      <c r="AG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9" t="n"/>
      <c r="AD769" s="9" t="n"/>
      <c r="AE769" s="9" t="n"/>
      <c r="AF769" s="9" t="n"/>
      <c r="AG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9" t="n"/>
      <c r="AD770" s="9" t="n"/>
      <c r="AE770" s="9" t="n"/>
      <c r="AF770" s="9" t="n"/>
      <c r="AG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9" t="n"/>
      <c r="AD771" s="9" t="n"/>
      <c r="AE771" s="9" t="n"/>
      <c r="AF771" s="9" t="n"/>
      <c r="AG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9" t="n"/>
      <c r="AD772" s="9" t="n"/>
      <c r="AE772" s="9" t="n"/>
      <c r="AF772" s="9" t="n"/>
      <c r="AG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9" t="n"/>
      <c r="AD773" s="9" t="n"/>
      <c r="AE773" s="9" t="n"/>
      <c r="AF773" s="9" t="n"/>
      <c r="AG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9" t="n"/>
      <c r="AD774" s="9" t="n"/>
      <c r="AE774" s="9" t="n"/>
      <c r="AF774" s="9" t="n"/>
      <c r="AG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9" t="n"/>
      <c r="AD775" s="9" t="n"/>
      <c r="AE775" s="9" t="n"/>
      <c r="AF775" s="9" t="n"/>
      <c r="AG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9" t="n"/>
      <c r="AD776" s="9" t="n"/>
      <c r="AE776" s="9" t="n"/>
      <c r="AF776" s="9" t="n"/>
      <c r="AG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9" t="n"/>
      <c r="AD777" s="9" t="n"/>
      <c r="AE777" s="9" t="n"/>
      <c r="AF777" s="9" t="n"/>
      <c r="AG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9" t="n"/>
      <c r="AD778" s="9" t="n"/>
      <c r="AE778" s="9" t="n"/>
      <c r="AF778" s="9" t="n"/>
      <c r="AG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9" t="n"/>
      <c r="AD779" s="9" t="n"/>
      <c r="AE779" s="9" t="n"/>
      <c r="AF779" s="9" t="n"/>
      <c r="AG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9" t="n"/>
      <c r="AD780" s="9" t="n"/>
      <c r="AE780" s="9" t="n"/>
      <c r="AF780" s="9" t="n"/>
      <c r="AG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9" t="n"/>
      <c r="AD781" s="9" t="n"/>
      <c r="AE781" s="9" t="n"/>
      <c r="AF781" s="9" t="n"/>
      <c r="AG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9" t="n"/>
      <c r="AD782" s="9" t="n"/>
      <c r="AE782" s="9" t="n"/>
      <c r="AF782" s="9" t="n"/>
      <c r="AG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9" t="n"/>
      <c r="AD783" s="9" t="n"/>
      <c r="AE783" s="9" t="n"/>
      <c r="AF783" s="9" t="n"/>
      <c r="AG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9" t="n"/>
      <c r="AD784" s="9" t="n"/>
      <c r="AE784" s="9" t="n"/>
      <c r="AF784" s="9" t="n"/>
      <c r="AG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9" t="n"/>
      <c r="AD785" s="9" t="n"/>
      <c r="AE785" s="9" t="n"/>
      <c r="AF785" s="9" t="n"/>
      <c r="AG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9" t="n"/>
      <c r="AD786" s="9" t="n"/>
      <c r="AE786" s="9" t="n"/>
      <c r="AF786" s="9" t="n"/>
      <c r="AG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9" t="n"/>
      <c r="AD787" s="9" t="n"/>
      <c r="AE787" s="9" t="n"/>
      <c r="AF787" s="9" t="n"/>
      <c r="AG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9" t="n"/>
      <c r="AD788" s="9" t="n"/>
      <c r="AE788" s="9" t="n"/>
      <c r="AF788" s="9" t="n"/>
      <c r="AG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9" t="n"/>
      <c r="AD789" s="9" t="n"/>
      <c r="AE789" s="9" t="n"/>
      <c r="AF789" s="9" t="n"/>
      <c r="AG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9" t="n"/>
      <c r="AD790" s="9" t="n"/>
      <c r="AE790" s="9" t="n"/>
      <c r="AF790" s="9" t="n"/>
      <c r="AG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9" t="n"/>
      <c r="AD791" s="9" t="n"/>
      <c r="AE791" s="9" t="n"/>
      <c r="AF791" s="9" t="n"/>
      <c r="AG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9" t="n"/>
      <c r="AD792" s="9" t="n"/>
      <c r="AE792" s="9" t="n"/>
      <c r="AF792" s="9" t="n"/>
      <c r="AG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9" t="n"/>
      <c r="AD793" s="9" t="n"/>
      <c r="AE793" s="9" t="n"/>
      <c r="AF793" s="9" t="n"/>
      <c r="AG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9" t="n"/>
      <c r="AD794" s="9" t="n"/>
      <c r="AE794" s="9" t="n"/>
      <c r="AF794" s="9" t="n"/>
      <c r="AG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9" t="n"/>
      <c r="AD795" s="9" t="n"/>
      <c r="AE795" s="9" t="n"/>
      <c r="AF795" s="9" t="n"/>
      <c r="AG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9" t="n"/>
      <c r="AD796" s="9" t="n"/>
      <c r="AE796" s="9" t="n"/>
      <c r="AF796" s="9" t="n"/>
      <c r="AG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9" t="n"/>
      <c r="AD797" s="9" t="n"/>
      <c r="AE797" s="9" t="n"/>
      <c r="AF797" s="9" t="n"/>
      <c r="AG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9" t="n"/>
      <c r="AD798" s="9" t="n"/>
      <c r="AE798" s="9" t="n"/>
      <c r="AF798" s="9" t="n"/>
      <c r="AG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9" t="n"/>
      <c r="AD799" s="9" t="n"/>
      <c r="AE799" s="9" t="n"/>
      <c r="AF799" s="9" t="n"/>
      <c r="AG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9" t="n"/>
      <c r="AD800" s="9" t="n"/>
      <c r="AE800" s="9" t="n"/>
      <c r="AF800" s="9" t="n"/>
      <c r="AG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9" t="n"/>
      <c r="AD801" s="9" t="n"/>
      <c r="AE801" s="9" t="n"/>
      <c r="AF801" s="9" t="n"/>
      <c r="AG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9" t="n"/>
      <c r="AD802" s="9" t="n"/>
      <c r="AE802" s="9" t="n"/>
      <c r="AF802" s="9" t="n"/>
      <c r="AG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9" t="n"/>
      <c r="AD803" s="9" t="n"/>
      <c r="AE803" s="9" t="n"/>
      <c r="AF803" s="9" t="n"/>
      <c r="AG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9" t="n"/>
      <c r="AD804" s="9" t="n"/>
      <c r="AE804" s="9" t="n"/>
      <c r="AF804" s="9" t="n"/>
      <c r="AG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9" t="n"/>
      <c r="AD805" s="9" t="n"/>
      <c r="AE805" s="9" t="n"/>
      <c r="AF805" s="9" t="n"/>
      <c r="AG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9" t="n"/>
      <c r="AD806" s="9" t="n"/>
      <c r="AE806" s="9" t="n"/>
      <c r="AF806" s="9" t="n"/>
      <c r="AG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9" t="n"/>
      <c r="AD807" s="9" t="n"/>
      <c r="AE807" s="9" t="n"/>
      <c r="AF807" s="9" t="n"/>
      <c r="AG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9" t="n"/>
      <c r="AD808" s="9" t="n"/>
      <c r="AE808" s="9" t="n"/>
      <c r="AF808" s="9" t="n"/>
      <c r="AG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9" t="n"/>
      <c r="AD809" s="9" t="n"/>
      <c r="AE809" s="9" t="n"/>
      <c r="AF809" s="9" t="n"/>
      <c r="AG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9" t="n"/>
      <c r="AD810" s="9" t="n"/>
      <c r="AE810" s="9" t="n"/>
      <c r="AF810" s="9" t="n"/>
      <c r="AG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9" t="n"/>
      <c r="AD811" s="9" t="n"/>
      <c r="AE811" s="9" t="n"/>
      <c r="AF811" s="9" t="n"/>
      <c r="AG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9" t="n"/>
      <c r="AD812" s="9" t="n"/>
      <c r="AE812" s="9" t="n"/>
      <c r="AF812" s="9" t="n"/>
      <c r="AG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9" t="n"/>
      <c r="AD813" s="9" t="n"/>
      <c r="AE813" s="9" t="n"/>
      <c r="AF813" s="9" t="n"/>
      <c r="AG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9" t="n"/>
      <c r="AD814" s="9" t="n"/>
      <c r="AE814" s="9" t="n"/>
      <c r="AF814" s="9" t="n"/>
      <c r="AG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9" t="n"/>
      <c r="AD815" s="9" t="n"/>
      <c r="AE815" s="9" t="n"/>
      <c r="AF815" s="9" t="n"/>
      <c r="AG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9" t="n"/>
      <c r="AD816" s="9" t="n"/>
      <c r="AE816" s="9" t="n"/>
      <c r="AF816" s="9" t="n"/>
      <c r="AG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9" t="n"/>
      <c r="AD817" s="9" t="n"/>
      <c r="AE817" s="9" t="n"/>
      <c r="AF817" s="9" t="n"/>
      <c r="AG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9" t="n"/>
      <c r="AD818" s="9" t="n"/>
      <c r="AE818" s="9" t="n"/>
      <c r="AF818" s="9" t="n"/>
      <c r="AG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9" t="n"/>
      <c r="AD819" s="9" t="n"/>
      <c r="AE819" s="9" t="n"/>
      <c r="AF819" s="9" t="n"/>
      <c r="AG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9" t="n"/>
      <c r="AD820" s="9" t="n"/>
      <c r="AE820" s="9" t="n"/>
      <c r="AF820" s="9" t="n"/>
      <c r="AG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9" t="n"/>
      <c r="AD821" s="9" t="n"/>
      <c r="AE821" s="9" t="n"/>
      <c r="AF821" s="9" t="n"/>
      <c r="AG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9" t="n"/>
      <c r="AD822" s="9" t="n"/>
      <c r="AE822" s="9" t="n"/>
      <c r="AF822" s="9" t="n"/>
      <c r="AG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9" t="n"/>
      <c r="AD823" s="9" t="n"/>
      <c r="AE823" s="9" t="n"/>
      <c r="AF823" s="9" t="n"/>
      <c r="AG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9" t="n"/>
      <c r="AD824" s="9" t="n"/>
      <c r="AE824" s="9" t="n"/>
      <c r="AF824" s="9" t="n"/>
      <c r="AG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9" t="n"/>
      <c r="AD825" s="9" t="n"/>
      <c r="AE825" s="9" t="n"/>
      <c r="AF825" s="9" t="n"/>
      <c r="AG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9" t="n"/>
      <c r="AD826" s="9" t="n"/>
      <c r="AE826" s="9" t="n"/>
      <c r="AF826" s="9" t="n"/>
      <c r="AG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9" t="n"/>
      <c r="AD827" s="9" t="n"/>
      <c r="AE827" s="9" t="n"/>
      <c r="AF827" s="9" t="n"/>
      <c r="AG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9" t="n"/>
      <c r="AD828" s="9" t="n"/>
      <c r="AE828" s="9" t="n"/>
      <c r="AF828" s="9" t="n"/>
      <c r="AG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9" t="n"/>
      <c r="AD829" s="9" t="n"/>
      <c r="AE829" s="9" t="n"/>
      <c r="AF829" s="9" t="n"/>
      <c r="AG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9" t="n"/>
      <c r="AD830" s="9" t="n"/>
      <c r="AE830" s="9" t="n"/>
      <c r="AF830" s="9" t="n"/>
      <c r="AG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9" t="n"/>
      <c r="AD831" s="9" t="n"/>
      <c r="AE831" s="9" t="n"/>
      <c r="AF831" s="9" t="n"/>
      <c r="AG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9" t="n"/>
      <c r="AD832" s="9" t="n"/>
      <c r="AE832" s="9" t="n"/>
      <c r="AF832" s="9" t="n"/>
      <c r="AG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9" t="n"/>
      <c r="AD833" s="9" t="n"/>
      <c r="AE833" s="9" t="n"/>
      <c r="AF833" s="9" t="n"/>
      <c r="AG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9" t="n"/>
      <c r="AD834" s="9" t="n"/>
      <c r="AE834" s="9" t="n"/>
      <c r="AF834" s="9" t="n"/>
      <c r="AG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9" t="n"/>
      <c r="AD835" s="9" t="n"/>
      <c r="AE835" s="9" t="n"/>
      <c r="AF835" s="9" t="n"/>
      <c r="AG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9" t="n"/>
      <c r="AD836" s="9" t="n"/>
      <c r="AE836" s="9" t="n"/>
      <c r="AF836" s="9" t="n"/>
      <c r="AG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9" t="n"/>
      <c r="AD837" s="9" t="n"/>
      <c r="AE837" s="9" t="n"/>
      <c r="AF837" s="9" t="n"/>
      <c r="AG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9" t="n"/>
      <c r="AD838" s="9" t="n"/>
      <c r="AE838" s="9" t="n"/>
      <c r="AF838" s="9" t="n"/>
      <c r="AG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9" t="n"/>
      <c r="AD839" s="9" t="n"/>
      <c r="AE839" s="9" t="n"/>
      <c r="AF839" s="9" t="n"/>
      <c r="AG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9" t="n"/>
      <c r="AD840" s="9" t="n"/>
      <c r="AE840" s="9" t="n"/>
      <c r="AF840" s="9" t="n"/>
      <c r="AG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9" t="n"/>
      <c r="AD841" s="9" t="n"/>
      <c r="AE841" s="9" t="n"/>
      <c r="AF841" s="9" t="n"/>
      <c r="AG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9" t="n"/>
      <c r="AD842" s="9" t="n"/>
      <c r="AE842" s="9" t="n"/>
      <c r="AF842" s="9" t="n"/>
      <c r="AG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9" t="n"/>
      <c r="AD843" s="9" t="n"/>
      <c r="AE843" s="9" t="n"/>
      <c r="AF843" s="9" t="n"/>
      <c r="AG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9" t="n"/>
      <c r="AD844" s="9" t="n"/>
      <c r="AE844" s="9" t="n"/>
      <c r="AF844" s="9" t="n"/>
      <c r="AG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9" t="n"/>
      <c r="AD845" s="9" t="n"/>
      <c r="AE845" s="9" t="n"/>
      <c r="AF845" s="9" t="n"/>
      <c r="AG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9" t="n"/>
      <c r="AD846" s="9" t="n"/>
      <c r="AE846" s="9" t="n"/>
      <c r="AF846" s="9" t="n"/>
      <c r="AG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9" t="n"/>
      <c r="AD847" s="9" t="n"/>
      <c r="AE847" s="9" t="n"/>
      <c r="AF847" s="9" t="n"/>
      <c r="AG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9" t="n"/>
      <c r="AD848" s="9" t="n"/>
      <c r="AE848" s="9" t="n"/>
      <c r="AF848" s="9" t="n"/>
      <c r="AG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9" t="n"/>
      <c r="AD849" s="9" t="n"/>
      <c r="AE849" s="9" t="n"/>
      <c r="AF849" s="9" t="n"/>
      <c r="AG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9" t="n"/>
      <c r="AD850" s="9" t="n"/>
      <c r="AE850" s="9" t="n"/>
      <c r="AF850" s="9" t="n"/>
      <c r="AG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9" t="n"/>
      <c r="AD851" s="9" t="n"/>
      <c r="AE851" s="9" t="n"/>
      <c r="AF851" s="9" t="n"/>
      <c r="AG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9" t="n"/>
      <c r="AD852" s="9" t="n"/>
      <c r="AE852" s="9" t="n"/>
      <c r="AF852" s="9" t="n"/>
      <c r="AG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9" t="n"/>
      <c r="AD853" s="9" t="n"/>
      <c r="AE853" s="9" t="n"/>
      <c r="AF853" s="9" t="n"/>
      <c r="AG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9" t="n"/>
      <c r="AD854" s="9" t="n"/>
      <c r="AE854" s="9" t="n"/>
      <c r="AF854" s="9" t="n"/>
      <c r="AG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9" t="n"/>
      <c r="AD855" s="9" t="n"/>
      <c r="AE855" s="9" t="n"/>
      <c r="AF855" s="9" t="n"/>
      <c r="AG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9" t="n"/>
      <c r="AD856" s="9" t="n"/>
      <c r="AE856" s="9" t="n"/>
      <c r="AF856" s="9" t="n"/>
      <c r="AG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9" t="n"/>
      <c r="AD857" s="9" t="n"/>
      <c r="AE857" s="9" t="n"/>
      <c r="AF857" s="9" t="n"/>
      <c r="AG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9" t="n"/>
      <c r="AD858" s="9" t="n"/>
      <c r="AE858" s="9" t="n"/>
      <c r="AF858" s="9" t="n"/>
      <c r="AG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9" t="n"/>
      <c r="AD859" s="9" t="n"/>
      <c r="AE859" s="9" t="n"/>
      <c r="AF859" s="9" t="n"/>
      <c r="AG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9" t="n"/>
      <c r="AD860" s="9" t="n"/>
      <c r="AE860" s="9" t="n"/>
      <c r="AF860" s="9" t="n"/>
      <c r="AG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9" t="n"/>
      <c r="AD861" s="9" t="n"/>
      <c r="AE861" s="9" t="n"/>
      <c r="AF861" s="9" t="n"/>
      <c r="AG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9" t="n"/>
      <c r="AD862" s="9" t="n"/>
      <c r="AE862" s="9" t="n"/>
      <c r="AF862" s="9" t="n"/>
      <c r="AG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9" t="n"/>
      <c r="AD863" s="9" t="n"/>
      <c r="AE863" s="9" t="n"/>
      <c r="AF863" s="9" t="n"/>
      <c r="AG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9" t="n"/>
      <c r="AD864" s="9" t="n"/>
      <c r="AE864" s="9" t="n"/>
      <c r="AF864" s="9" t="n"/>
      <c r="AG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9" t="n"/>
      <c r="AD865" s="9" t="n"/>
      <c r="AE865" s="9" t="n"/>
      <c r="AF865" s="9" t="n"/>
      <c r="AG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9" t="n"/>
      <c r="AD866" s="9" t="n"/>
      <c r="AE866" s="9" t="n"/>
      <c r="AF866" s="9" t="n"/>
      <c r="AG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9" t="n"/>
      <c r="AD867" s="9" t="n"/>
      <c r="AE867" s="9" t="n"/>
      <c r="AF867" s="9" t="n"/>
      <c r="AG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9" t="n"/>
      <c r="AD868" s="9" t="n"/>
      <c r="AE868" s="9" t="n"/>
      <c r="AF868" s="9" t="n"/>
      <c r="AG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9" t="n"/>
      <c r="AD869" s="9" t="n"/>
      <c r="AE869" s="9" t="n"/>
      <c r="AF869" s="9" t="n"/>
      <c r="AG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9" t="n"/>
      <c r="AD870" s="9" t="n"/>
      <c r="AE870" s="9" t="n"/>
      <c r="AF870" s="9" t="n"/>
      <c r="AG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9" t="n"/>
      <c r="AD871" s="9" t="n"/>
      <c r="AE871" s="9" t="n"/>
      <c r="AF871" s="9" t="n"/>
      <c r="AG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9" t="n"/>
      <c r="AD872" s="9" t="n"/>
      <c r="AE872" s="9" t="n"/>
      <c r="AF872" s="9" t="n"/>
      <c r="AG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9" t="n"/>
      <c r="AD873" s="9" t="n"/>
      <c r="AE873" s="9" t="n"/>
      <c r="AF873" s="9" t="n"/>
      <c r="AG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9" t="n"/>
      <c r="AD874" s="9" t="n"/>
      <c r="AE874" s="9" t="n"/>
      <c r="AF874" s="9" t="n"/>
      <c r="AG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9" t="n"/>
      <c r="AD875" s="9" t="n"/>
      <c r="AE875" s="9" t="n"/>
      <c r="AF875" s="9" t="n"/>
      <c r="AG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9" t="n"/>
      <c r="AD876" s="9" t="n"/>
      <c r="AE876" s="9" t="n"/>
      <c r="AF876" s="9" t="n"/>
      <c r="AG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9" t="n"/>
      <c r="AD877" s="9" t="n"/>
      <c r="AE877" s="9" t="n"/>
      <c r="AF877" s="9" t="n"/>
      <c r="AG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9" t="n"/>
      <c r="AD878" s="9" t="n"/>
      <c r="AE878" s="9" t="n"/>
      <c r="AF878" s="9" t="n"/>
      <c r="AG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9" t="n"/>
      <c r="AD879" s="9" t="n"/>
      <c r="AE879" s="9" t="n"/>
      <c r="AF879" s="9" t="n"/>
      <c r="AG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9" t="n"/>
      <c r="AD880" s="9" t="n"/>
      <c r="AE880" s="9" t="n"/>
      <c r="AF880" s="9" t="n"/>
      <c r="AG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9" t="n"/>
      <c r="AD881" s="9" t="n"/>
      <c r="AE881" s="9" t="n"/>
      <c r="AF881" s="9" t="n"/>
      <c r="AG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9" t="n"/>
      <c r="AD882" s="9" t="n"/>
      <c r="AE882" s="9" t="n"/>
      <c r="AF882" s="9" t="n"/>
      <c r="AG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9" t="n"/>
      <c r="AD883" s="9" t="n"/>
      <c r="AE883" s="9" t="n"/>
      <c r="AF883" s="9" t="n"/>
      <c r="AG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9" t="n"/>
      <c r="AD884" s="9" t="n"/>
      <c r="AE884" s="9" t="n"/>
      <c r="AF884" s="9" t="n"/>
      <c r="AG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9" t="n"/>
      <c r="AD885" s="9" t="n"/>
      <c r="AE885" s="9" t="n"/>
      <c r="AF885" s="9" t="n"/>
      <c r="AG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9" t="n"/>
      <c r="AD886" s="9" t="n"/>
      <c r="AE886" s="9" t="n"/>
      <c r="AF886" s="9" t="n"/>
      <c r="AG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9" t="n"/>
      <c r="AD887" s="9" t="n"/>
      <c r="AE887" s="9" t="n"/>
      <c r="AF887" s="9" t="n"/>
      <c r="AG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9" t="n"/>
      <c r="AD888" s="9" t="n"/>
      <c r="AE888" s="9" t="n"/>
      <c r="AF888" s="9" t="n"/>
      <c r="AG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9" t="n"/>
      <c r="AD889" s="9" t="n"/>
      <c r="AE889" s="9" t="n"/>
      <c r="AF889" s="9" t="n"/>
      <c r="AG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9" t="n"/>
      <c r="AD890" s="9" t="n"/>
      <c r="AE890" s="9" t="n"/>
      <c r="AF890" s="9" t="n"/>
      <c r="AG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9" t="n"/>
      <c r="AD891" s="9" t="n"/>
      <c r="AE891" s="9" t="n"/>
      <c r="AF891" s="9" t="n"/>
      <c r="AG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9" t="n"/>
      <c r="AD892" s="9" t="n"/>
      <c r="AE892" s="9" t="n"/>
      <c r="AF892" s="9" t="n"/>
      <c r="AG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9" t="n"/>
      <c r="AD893" s="9" t="n"/>
      <c r="AE893" s="9" t="n"/>
      <c r="AF893" s="9" t="n"/>
      <c r="AG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9" t="n"/>
      <c r="AD894" s="9" t="n"/>
      <c r="AE894" s="9" t="n"/>
      <c r="AF894" s="9" t="n"/>
      <c r="AG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9" t="n"/>
      <c r="AD895" s="9" t="n"/>
      <c r="AE895" s="9" t="n"/>
      <c r="AF895" s="9" t="n"/>
      <c r="AG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9" t="n"/>
      <c r="AD896" s="9" t="n"/>
      <c r="AE896" s="9" t="n"/>
      <c r="AF896" s="9" t="n"/>
      <c r="AG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9" t="n"/>
      <c r="AD897" s="9" t="n"/>
      <c r="AE897" s="9" t="n"/>
      <c r="AF897" s="9" t="n"/>
      <c r="AG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9" t="n"/>
      <c r="AD898" s="9" t="n"/>
      <c r="AE898" s="9" t="n"/>
      <c r="AF898" s="9" t="n"/>
      <c r="AG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9" t="n"/>
      <c r="AD899" s="9" t="n"/>
      <c r="AE899" s="9" t="n"/>
      <c r="AF899" s="9" t="n"/>
      <c r="AG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9" t="n"/>
      <c r="AD900" s="9" t="n"/>
      <c r="AE900" s="9" t="n"/>
      <c r="AF900" s="9" t="n"/>
      <c r="AG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9" t="n"/>
      <c r="AD901" s="9" t="n"/>
      <c r="AE901" s="9" t="n"/>
      <c r="AF901" s="9" t="n"/>
      <c r="AG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9" t="n"/>
      <c r="AD902" s="9" t="n"/>
      <c r="AE902" s="9" t="n"/>
      <c r="AF902" s="9" t="n"/>
      <c r="AG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9" t="n"/>
      <c r="AD903" s="9" t="n"/>
      <c r="AE903" s="9" t="n"/>
      <c r="AF903" s="9" t="n"/>
      <c r="AG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9" t="n"/>
      <c r="AD904" s="9" t="n"/>
      <c r="AE904" s="9" t="n"/>
      <c r="AF904" s="9" t="n"/>
      <c r="AG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9" t="n"/>
      <c r="AD905" s="9" t="n"/>
      <c r="AE905" s="9" t="n"/>
      <c r="AF905" s="9" t="n"/>
      <c r="AG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9" t="n"/>
      <c r="AD906" s="9" t="n"/>
      <c r="AE906" s="9" t="n"/>
      <c r="AF906" s="9" t="n"/>
      <c r="AG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9" t="n"/>
      <c r="AD907" s="9" t="n"/>
      <c r="AE907" s="9" t="n"/>
      <c r="AF907" s="9" t="n"/>
      <c r="AG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9" t="n"/>
      <c r="AD908" s="9" t="n"/>
      <c r="AE908" s="9" t="n"/>
      <c r="AF908" s="9" t="n"/>
      <c r="AG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9" t="n"/>
      <c r="AD909" s="9" t="n"/>
      <c r="AE909" s="9" t="n"/>
      <c r="AF909" s="9" t="n"/>
      <c r="AG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9" t="n"/>
      <c r="AD910" s="9" t="n"/>
      <c r="AE910" s="9" t="n"/>
      <c r="AF910" s="9" t="n"/>
      <c r="AG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9" t="n"/>
      <c r="AD911" s="9" t="n"/>
      <c r="AE911" s="9" t="n"/>
      <c r="AF911" s="9" t="n"/>
      <c r="AG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9" t="n"/>
      <c r="AD912" s="9" t="n"/>
      <c r="AE912" s="9" t="n"/>
      <c r="AF912" s="9" t="n"/>
      <c r="AG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9" t="n"/>
      <c r="AD913" s="9" t="n"/>
      <c r="AE913" s="9" t="n"/>
      <c r="AF913" s="9" t="n"/>
      <c r="AG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9" t="n"/>
      <c r="AD914" s="9" t="n"/>
      <c r="AE914" s="9" t="n"/>
      <c r="AF914" s="9" t="n"/>
      <c r="AG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9" t="n"/>
      <c r="AD915" s="9" t="n"/>
      <c r="AE915" s="9" t="n"/>
      <c r="AF915" s="9" t="n"/>
      <c r="AG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9" t="n"/>
      <c r="AD916" s="9" t="n"/>
      <c r="AE916" s="9" t="n"/>
      <c r="AF916" s="9" t="n"/>
      <c r="AG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9" t="n"/>
      <c r="AD917" s="9" t="n"/>
      <c r="AE917" s="9" t="n"/>
      <c r="AF917" s="9" t="n"/>
      <c r="AG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9" t="n"/>
      <c r="AD918" s="9" t="n"/>
      <c r="AE918" s="9" t="n"/>
      <c r="AF918" s="9" t="n"/>
      <c r="AG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9" t="n"/>
      <c r="AD919" s="9" t="n"/>
      <c r="AE919" s="9" t="n"/>
      <c r="AF919" s="9" t="n"/>
      <c r="AG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9" t="n"/>
      <c r="AD920" s="9" t="n"/>
      <c r="AE920" s="9" t="n"/>
      <c r="AF920" s="9" t="n"/>
      <c r="AG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9" t="n"/>
      <c r="AD921" s="9" t="n"/>
      <c r="AE921" s="9" t="n"/>
      <c r="AF921" s="9" t="n"/>
      <c r="AG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9" t="n"/>
      <c r="AD922" s="9" t="n"/>
      <c r="AE922" s="9" t="n"/>
      <c r="AF922" s="9" t="n"/>
      <c r="AG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9" t="n"/>
      <c r="AD923" s="9" t="n"/>
      <c r="AE923" s="9" t="n"/>
      <c r="AF923" s="9" t="n"/>
      <c r="AG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9" t="n"/>
      <c r="AD924" s="9" t="n"/>
      <c r="AE924" s="9" t="n"/>
      <c r="AF924" s="9" t="n"/>
      <c r="AG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9" t="n"/>
      <c r="AD925" s="9" t="n"/>
      <c r="AE925" s="9" t="n"/>
      <c r="AF925" s="9" t="n"/>
      <c r="AG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9" t="n"/>
      <c r="AD926" s="9" t="n"/>
      <c r="AE926" s="9" t="n"/>
      <c r="AF926" s="9" t="n"/>
      <c r="AG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9" t="n"/>
      <c r="AD927" s="9" t="n"/>
      <c r="AE927" s="9" t="n"/>
      <c r="AF927" s="9" t="n"/>
      <c r="AG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9" t="n"/>
      <c r="AD928" s="9" t="n"/>
      <c r="AE928" s="9" t="n"/>
      <c r="AF928" s="9" t="n"/>
      <c r="AG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9" t="n"/>
      <c r="AD929" s="9" t="n"/>
      <c r="AE929" s="9" t="n"/>
      <c r="AF929" s="9" t="n"/>
      <c r="AG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9" t="n"/>
      <c r="AD930" s="9" t="n"/>
      <c r="AE930" s="9" t="n"/>
      <c r="AF930" s="9" t="n"/>
      <c r="AG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9" t="n"/>
      <c r="AD931" s="9" t="n"/>
      <c r="AE931" s="9" t="n"/>
      <c r="AF931" s="9" t="n"/>
      <c r="AG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9" t="n"/>
      <c r="AD932" s="9" t="n"/>
      <c r="AE932" s="9" t="n"/>
      <c r="AF932" s="9" t="n"/>
      <c r="AG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9" t="n"/>
      <c r="AD933" s="9" t="n"/>
      <c r="AE933" s="9" t="n"/>
      <c r="AF933" s="9" t="n"/>
      <c r="AG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9" t="n"/>
      <c r="AD934" s="9" t="n"/>
      <c r="AE934" s="9" t="n"/>
      <c r="AF934" s="9" t="n"/>
      <c r="AG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9" t="n"/>
      <c r="AD935" s="9" t="n"/>
      <c r="AE935" s="9" t="n"/>
      <c r="AF935" s="9" t="n"/>
      <c r="AG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9" t="n"/>
      <c r="AD936" s="9" t="n"/>
      <c r="AE936" s="9" t="n"/>
      <c r="AF936" s="9" t="n"/>
      <c r="AG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9" t="n"/>
      <c r="AD937" s="9" t="n"/>
      <c r="AE937" s="9" t="n"/>
      <c r="AF937" s="9" t="n"/>
      <c r="AG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9" t="n"/>
      <c r="AD938" s="9" t="n"/>
      <c r="AE938" s="9" t="n"/>
      <c r="AF938" s="9" t="n"/>
      <c r="AG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9" t="n"/>
      <c r="AD939" s="9" t="n"/>
      <c r="AE939" s="9" t="n"/>
      <c r="AF939" s="9" t="n"/>
      <c r="AG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9" t="n"/>
      <c r="AD940" s="9" t="n"/>
      <c r="AE940" s="9" t="n"/>
      <c r="AF940" s="9" t="n"/>
      <c r="AG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9" t="n"/>
      <c r="AD941" s="9" t="n"/>
      <c r="AE941" s="9" t="n"/>
      <c r="AF941" s="9" t="n"/>
      <c r="AG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9" t="n"/>
      <c r="AD942" s="9" t="n"/>
      <c r="AE942" s="9" t="n"/>
      <c r="AF942" s="9" t="n"/>
      <c r="AG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9" t="n"/>
      <c r="AD943" s="9" t="n"/>
      <c r="AE943" s="9" t="n"/>
      <c r="AF943" s="9" t="n"/>
      <c r="AG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9" t="n"/>
      <c r="AD944" s="9" t="n"/>
      <c r="AE944" s="9" t="n"/>
      <c r="AF944" s="9" t="n"/>
      <c r="AG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9" t="n"/>
      <c r="AD945" s="9" t="n"/>
      <c r="AE945" s="9" t="n"/>
      <c r="AF945" s="9" t="n"/>
      <c r="AG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9" t="n"/>
      <c r="AD946" s="9" t="n"/>
      <c r="AE946" s="9" t="n"/>
      <c r="AF946" s="9" t="n"/>
      <c r="AG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9" t="n"/>
      <c r="AD947" s="9" t="n"/>
      <c r="AE947" s="9" t="n"/>
      <c r="AF947" s="9" t="n"/>
      <c r="AG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9" t="n"/>
      <c r="AD948" s="9" t="n"/>
      <c r="AE948" s="9" t="n"/>
      <c r="AF948" s="9" t="n"/>
      <c r="AG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9" t="n"/>
      <c r="AD949" s="9" t="n"/>
      <c r="AE949" s="9" t="n"/>
      <c r="AF949" s="9" t="n"/>
      <c r="AG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9" t="n"/>
      <c r="AD950" s="9" t="n"/>
      <c r="AE950" s="9" t="n"/>
      <c r="AF950" s="9" t="n"/>
      <c r="AG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9" t="n"/>
      <c r="AD951" s="9" t="n"/>
      <c r="AE951" s="9" t="n"/>
      <c r="AF951" s="9" t="n"/>
      <c r="AG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9" t="n"/>
      <c r="AD952" s="9" t="n"/>
      <c r="AE952" s="9" t="n"/>
      <c r="AF952" s="9" t="n"/>
      <c r="AG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9" t="n"/>
      <c r="AD953" s="9" t="n"/>
      <c r="AE953" s="9" t="n"/>
      <c r="AF953" s="9" t="n"/>
      <c r="AG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9" t="n"/>
      <c r="AD954" s="9" t="n"/>
      <c r="AE954" s="9" t="n"/>
      <c r="AF954" s="9" t="n"/>
      <c r="AG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9" t="n"/>
      <c r="AD955" s="9" t="n"/>
      <c r="AE955" s="9" t="n"/>
      <c r="AF955" s="9" t="n"/>
      <c r="AG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9" t="n"/>
      <c r="AD956" s="9" t="n"/>
      <c r="AE956" s="9" t="n"/>
      <c r="AF956" s="9" t="n"/>
      <c r="AG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9" t="n"/>
      <c r="AD957" s="9" t="n"/>
      <c r="AE957" s="9" t="n"/>
      <c r="AF957" s="9" t="n"/>
      <c r="AG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9" t="n"/>
      <c r="AD958" s="9" t="n"/>
      <c r="AE958" s="9" t="n"/>
      <c r="AF958" s="9" t="n"/>
      <c r="AG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9" t="n"/>
      <c r="AD959" s="9" t="n"/>
      <c r="AE959" s="9" t="n"/>
      <c r="AF959" s="9" t="n"/>
      <c r="AG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9" t="n"/>
      <c r="AD960" s="9" t="n"/>
      <c r="AE960" s="9" t="n"/>
      <c r="AF960" s="9" t="n"/>
      <c r="AG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9" t="n"/>
      <c r="AD961" s="9" t="n"/>
      <c r="AE961" s="9" t="n"/>
      <c r="AF961" s="9" t="n"/>
      <c r="AG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9" t="n"/>
      <c r="AD962" s="9" t="n"/>
      <c r="AE962" s="9" t="n"/>
      <c r="AF962" s="9" t="n"/>
      <c r="AG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9" t="n"/>
      <c r="AD963" s="9" t="n"/>
      <c r="AE963" s="9" t="n"/>
      <c r="AF963" s="9" t="n"/>
      <c r="AG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9" t="n"/>
      <c r="AD964" s="9" t="n"/>
      <c r="AE964" s="9" t="n"/>
      <c r="AF964" s="9" t="n"/>
      <c r="AG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9" t="n"/>
      <c r="AD965" s="9" t="n"/>
      <c r="AE965" s="9" t="n"/>
      <c r="AF965" s="9" t="n"/>
      <c r="AG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9" t="n"/>
      <c r="AD966" s="9" t="n"/>
      <c r="AE966" s="9" t="n"/>
      <c r="AF966" s="9" t="n"/>
      <c r="AG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9" t="n"/>
      <c r="AD967" s="9" t="n"/>
      <c r="AE967" s="9" t="n"/>
      <c r="AF967" s="9" t="n"/>
      <c r="AG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9" t="n"/>
      <c r="AD968" s="9" t="n"/>
      <c r="AE968" s="9" t="n"/>
      <c r="AF968" s="9" t="n"/>
      <c r="AG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9" t="n"/>
      <c r="AD969" s="9" t="n"/>
      <c r="AE969" s="9" t="n"/>
      <c r="AF969" s="9" t="n"/>
      <c r="AG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9" t="n"/>
      <c r="AD970" s="9" t="n"/>
      <c r="AE970" s="9" t="n"/>
      <c r="AF970" s="9" t="n"/>
      <c r="AG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9" t="n"/>
      <c r="AD971" s="9" t="n"/>
      <c r="AE971" s="9" t="n"/>
      <c r="AF971" s="9" t="n"/>
      <c r="AG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9" t="n"/>
      <c r="AD972" s="9" t="n"/>
      <c r="AE972" s="9" t="n"/>
      <c r="AF972" s="9" t="n"/>
      <c r="AG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9" t="n"/>
      <c r="AD973" s="9" t="n"/>
      <c r="AE973" s="9" t="n"/>
      <c r="AF973" s="9" t="n"/>
      <c r="AG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9" t="n"/>
      <c r="AD974" s="9" t="n"/>
      <c r="AE974" s="9" t="n"/>
      <c r="AF974" s="9" t="n"/>
      <c r="AG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9" t="n"/>
      <c r="AD975" s="9" t="n"/>
      <c r="AE975" s="9" t="n"/>
      <c r="AF975" s="9" t="n"/>
      <c r="AG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9" t="n"/>
      <c r="AD976" s="9" t="n"/>
      <c r="AE976" s="9" t="n"/>
      <c r="AF976" s="9" t="n"/>
      <c r="AG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9" t="n"/>
      <c r="AD977" s="9" t="n"/>
      <c r="AE977" s="9" t="n"/>
      <c r="AF977" s="9" t="n"/>
      <c r="AG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9" t="n"/>
      <c r="AD978" s="9" t="n"/>
      <c r="AE978" s="9" t="n"/>
      <c r="AF978" s="9" t="n"/>
      <c r="AG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9" t="n"/>
      <c r="AD979" s="9" t="n"/>
      <c r="AE979" s="9" t="n"/>
      <c r="AF979" s="9" t="n"/>
      <c r="AG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9" t="n"/>
      <c r="AD980" s="9" t="n"/>
      <c r="AE980" s="9" t="n"/>
      <c r="AF980" s="9" t="n"/>
      <c r="AG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9" t="n"/>
      <c r="AD981" s="9" t="n"/>
      <c r="AE981" s="9" t="n"/>
      <c r="AF981" s="9" t="n"/>
      <c r="AG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9" t="n"/>
      <c r="AD982" s="9" t="n"/>
      <c r="AE982" s="9" t="n"/>
      <c r="AF982" s="9" t="n"/>
      <c r="AG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9" t="n"/>
      <c r="AD983" s="9" t="n"/>
      <c r="AE983" s="9" t="n"/>
      <c r="AF983" s="9" t="n"/>
      <c r="AG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9" t="n"/>
      <c r="AD984" s="9" t="n"/>
      <c r="AE984" s="9" t="n"/>
      <c r="AF984" s="9" t="n"/>
      <c r="AG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9" t="n"/>
      <c r="AD985" s="9" t="n"/>
      <c r="AE985" s="9" t="n"/>
      <c r="AF985" s="9" t="n"/>
      <c r="AG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9" t="n"/>
      <c r="AD986" s="9" t="n"/>
      <c r="AE986" s="9" t="n"/>
      <c r="AF986" s="9" t="n"/>
      <c r="AG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9" t="n"/>
      <c r="AD987" s="9" t="n"/>
      <c r="AE987" s="9" t="n"/>
      <c r="AF987" s="9" t="n"/>
      <c r="AG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9" t="n"/>
      <c r="AD988" s="9" t="n"/>
      <c r="AE988" s="9" t="n"/>
      <c r="AF988" s="9" t="n"/>
      <c r="AG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9" t="n"/>
      <c r="AD989" s="9" t="n"/>
      <c r="AE989" s="9" t="n"/>
      <c r="AF989" s="9" t="n"/>
      <c r="AG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9" t="n"/>
      <c r="AD990" s="9" t="n"/>
      <c r="AE990" s="9" t="n"/>
      <c r="AF990" s="9" t="n"/>
      <c r="AG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9" t="n"/>
      <c r="AD991" s="9" t="n"/>
      <c r="AE991" s="9" t="n"/>
      <c r="AF991" s="9" t="n"/>
      <c r="AG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9" t="n"/>
      <c r="AD992" s="9" t="n"/>
      <c r="AE992" s="9" t="n"/>
      <c r="AF992" s="9" t="n"/>
      <c r="AG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9" t="n"/>
      <c r="AD993" s="9" t="n"/>
      <c r="AE993" s="9" t="n"/>
      <c r="AF993" s="9" t="n"/>
      <c r="AG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9" t="n"/>
      <c r="AD994" s="9" t="n"/>
      <c r="AE994" s="9" t="n"/>
      <c r="AF994" s="9" t="n"/>
      <c r="AG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9" t="n"/>
      <c r="AD995" s="9" t="n"/>
      <c r="AE995" s="9" t="n"/>
      <c r="AF995" s="9" t="n"/>
      <c r="AG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9" t="n"/>
      <c r="AD996" s="9" t="n"/>
      <c r="AE996" s="9" t="n"/>
      <c r="AF996" s="9" t="n"/>
      <c r="AG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9" t="n"/>
      <c r="AD997" s="9" t="n"/>
      <c r="AE997" s="9" t="n"/>
      <c r="AF997" s="9" t="n"/>
      <c r="AG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9" t="n"/>
      <c r="AD998" s="9" t="n"/>
      <c r="AE998" s="9" t="n"/>
      <c r="AF998" s="9" t="n"/>
      <c r="AG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9" t="n"/>
      <c r="AD999" s="9" t="n"/>
      <c r="AE999" s="9" t="n"/>
      <c r="AF999" s="9" t="n"/>
      <c r="AG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9" t="n"/>
      <c r="AD1000" s="9" t="n"/>
      <c r="AE1000" s="9" t="n"/>
      <c r="AF1000" s="9" t="n"/>
      <c r="AG1000" s="9" t="n"/>
    </row>
  </sheetData>
  <autoFilter ref="$A$1:$A$1000"/>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J9"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D14" r:id="rId14"/>
    <hyperlink xmlns:r="http://schemas.openxmlformats.org/officeDocument/2006/relationships" ref="AE14" r:id="rId15"/>
    <hyperlink xmlns:r="http://schemas.openxmlformats.org/officeDocument/2006/relationships" ref="N15" r:id="rId16"/>
    <hyperlink xmlns:r="http://schemas.openxmlformats.org/officeDocument/2006/relationships" ref="N16" r:id="rId17"/>
    <hyperlink xmlns:r="http://schemas.openxmlformats.org/officeDocument/2006/relationships" ref="D17" r:id="rId18"/>
    <hyperlink xmlns:r="http://schemas.openxmlformats.org/officeDocument/2006/relationships" ref="AE17" r:id="rId19"/>
    <hyperlink xmlns:r="http://schemas.openxmlformats.org/officeDocument/2006/relationships" ref="D18" r:id="rId20"/>
    <hyperlink xmlns:r="http://schemas.openxmlformats.org/officeDocument/2006/relationships" ref="AE18" r:id="rId21"/>
    <hyperlink xmlns:r="http://schemas.openxmlformats.org/officeDocument/2006/relationships" ref="N19" r:id="rId22"/>
    <hyperlink xmlns:r="http://schemas.openxmlformats.org/officeDocument/2006/relationships" ref="N20" r:id="rId23"/>
    <hyperlink xmlns:r="http://schemas.openxmlformats.org/officeDocument/2006/relationships" ref="N21" r:id="rId24"/>
    <hyperlink xmlns:r="http://schemas.openxmlformats.org/officeDocument/2006/relationships" ref="D22" r:id="rId25"/>
    <hyperlink xmlns:r="http://schemas.openxmlformats.org/officeDocument/2006/relationships" ref="AE22" r:id="rId26"/>
    <hyperlink xmlns:r="http://schemas.openxmlformats.org/officeDocument/2006/relationships" ref="D23" r:id="rId27"/>
    <hyperlink xmlns:r="http://schemas.openxmlformats.org/officeDocument/2006/relationships" ref="AE23" r:id="rId28"/>
    <hyperlink xmlns:r="http://schemas.openxmlformats.org/officeDocument/2006/relationships" ref="D24" r:id="rId29"/>
    <hyperlink xmlns:r="http://schemas.openxmlformats.org/officeDocument/2006/relationships" ref="AE24" r:id="rId30"/>
    <hyperlink xmlns:r="http://schemas.openxmlformats.org/officeDocument/2006/relationships" ref="D25" r:id="rId31"/>
    <hyperlink xmlns:r="http://schemas.openxmlformats.org/officeDocument/2006/relationships" ref="AE25" r:id="rId32"/>
    <hyperlink xmlns:r="http://schemas.openxmlformats.org/officeDocument/2006/relationships" ref="N26" r:id="rId33"/>
    <hyperlink xmlns:r="http://schemas.openxmlformats.org/officeDocument/2006/relationships" ref="N27" r:id="rId34"/>
    <hyperlink xmlns:r="http://schemas.openxmlformats.org/officeDocument/2006/relationships" ref="O27" r:id="rId35"/>
    <hyperlink xmlns:r="http://schemas.openxmlformats.org/officeDocument/2006/relationships" ref="N28" r:id="rId36"/>
    <hyperlink xmlns:r="http://schemas.openxmlformats.org/officeDocument/2006/relationships" ref="N29" r:id="rId37"/>
    <hyperlink xmlns:r="http://schemas.openxmlformats.org/officeDocument/2006/relationships" ref="N30" r:id="rId38"/>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3"/>
  <sheetViews>
    <sheetView workbookViewId="0">
      <pane ySplit="1" topLeftCell="A2" activePane="bottomLeft" state="frozen"/>
      <selection pane="bottomLeft" activeCell="B3" sqref="B3"/>
    </sheetView>
  </sheetViews>
  <sheetFormatPr baseColWidth="8" defaultColWidth="12.63" defaultRowHeight="15.75" customHeight="1"/>
  <cols>
    <col width="33" customWidth="1" style="20" min="1" max="1"/>
    <col width="55.38" customWidth="1" style="20" min="2" max="2"/>
    <col width="32.75" customWidth="1" style="20" min="4" max="4"/>
    <col width="40.75" customWidth="1" style="20" min="5" max="5"/>
  </cols>
  <sheetData>
    <row r="1">
      <c r="A1" s="12" t="inlineStr">
        <is>
          <t>software-tool discovery list</t>
        </is>
      </c>
      <c r="B1" s="12" t="inlineStr">
        <is>
          <t>Open-Archaeo (item_name)</t>
        </is>
      </c>
      <c r="C1" s="12" t="inlineStr">
        <is>
          <t>match_type</t>
        </is>
      </c>
      <c r="D1" s="12" t="inlineStr">
        <is>
          <t>explanation</t>
        </is>
      </c>
      <c r="E1" s="12" t="inlineStr">
        <is>
          <t>Human call</t>
        </is>
      </c>
      <c r="F1" s="9" t="n"/>
      <c r="G1" s="9" t="n"/>
      <c r="H1" s="9" t="n"/>
      <c r="I1" s="9" t="n"/>
      <c r="J1" s="9" t="n"/>
      <c r="K1" s="9" t="n"/>
      <c r="L1" s="9" t="n"/>
      <c r="M1" s="9" t="n"/>
      <c r="N1" s="9" t="n"/>
      <c r="O1" s="9" t="n"/>
      <c r="P1" s="9" t="n"/>
      <c r="Q1" s="9" t="n"/>
      <c r="R1" s="9" t="n"/>
      <c r="S1" s="9" t="n"/>
      <c r="T1" s="9" t="n"/>
      <c r="U1" s="9" t="n"/>
      <c r="V1" s="9" t="n"/>
      <c r="W1" s="9" t="n"/>
      <c r="X1" s="9" t="n"/>
      <c r="Y1" s="9" t="n"/>
      <c r="Z1" s="9" t="n"/>
    </row>
    <row r="2">
      <c r="A2" s="9" t="inlineStr"/>
      <c r="B2" s="9" t="inlineStr">
        <is>
          <t>14C-power-sensitivity</t>
        </is>
      </c>
      <c r="C2" s="9" t="inlineStr"/>
      <c r="D2" s="9" t="n"/>
      <c r="E2" s="9" t="n"/>
      <c r="F2" s="9" t="n"/>
      <c r="G2" s="9" t="n"/>
      <c r="H2" s="9" t="n"/>
      <c r="I2" s="9" t="n"/>
      <c r="J2" s="9" t="n"/>
      <c r="K2" s="9" t="n"/>
      <c r="L2" s="9" t="n"/>
      <c r="M2" s="9" t="n"/>
      <c r="N2" s="9" t="n"/>
      <c r="O2" s="9" t="n"/>
      <c r="P2" s="9" t="n"/>
      <c r="Q2" s="9" t="n"/>
      <c r="R2" s="9" t="n"/>
      <c r="S2" s="9" t="n"/>
      <c r="T2" s="9" t="n"/>
      <c r="U2" s="9" t="n"/>
      <c r="V2" s="9" t="n"/>
      <c r="W2" s="9" t="n"/>
      <c r="X2" s="9" t="n"/>
      <c r="Y2" s="9" t="n"/>
      <c r="Z2" s="9" t="n"/>
    </row>
    <row r="3">
      <c r="A3" s="9" t="inlineStr"/>
      <c r="B3" s="9" t="inlineStr">
        <is>
          <t>3D_EdgeAngle</t>
        </is>
      </c>
      <c r="C3" s="9" t="inlineStr"/>
      <c r="D3" s="9" t="n"/>
      <c r="E3" s="9" t="n"/>
      <c r="F3" s="9" t="n"/>
      <c r="G3" s="9" t="n"/>
      <c r="H3" s="9" t="n"/>
      <c r="I3" s="9" t="n"/>
      <c r="J3" s="9" t="n"/>
      <c r="K3" s="9" t="n"/>
      <c r="L3" s="9" t="n"/>
      <c r="M3" s="9" t="n"/>
      <c r="N3" s="9" t="n"/>
      <c r="O3" s="9" t="n"/>
      <c r="P3" s="9" t="n"/>
      <c r="Q3" s="9" t="n"/>
      <c r="R3" s="9" t="n"/>
      <c r="S3" s="9" t="n"/>
      <c r="T3" s="9" t="n"/>
      <c r="U3" s="9" t="n"/>
      <c r="V3" s="9" t="n"/>
      <c r="W3" s="9" t="n"/>
      <c r="X3" s="9" t="n"/>
      <c r="Y3" s="9" t="n"/>
      <c r="Z3" s="9" t="n"/>
    </row>
    <row r="4">
      <c r="A4" s="9" t="inlineStr"/>
      <c r="B4" s="9" t="inlineStr">
        <is>
          <t>3d_spatial_ripley_analyses</t>
        </is>
      </c>
      <c r="C4" s="9" t="inlineStr"/>
      <c r="D4" s="9" t="n"/>
      <c r="E4" s="9" t="n"/>
      <c r="F4" s="9" t="n"/>
      <c r="G4" s="9" t="n"/>
      <c r="H4" s="9" t="n"/>
      <c r="I4" s="9" t="n"/>
      <c r="J4" s="9" t="n"/>
      <c r="K4" s="9" t="n"/>
      <c r="L4" s="9" t="n"/>
      <c r="M4" s="9" t="n"/>
      <c r="N4" s="9" t="n"/>
      <c r="O4" s="9" t="n"/>
      <c r="P4" s="9" t="n"/>
      <c r="Q4" s="9" t="n"/>
      <c r="R4" s="9" t="n"/>
      <c r="S4" s="9" t="n"/>
      <c r="T4" s="9" t="n"/>
      <c r="U4" s="9" t="n"/>
      <c r="V4" s="9" t="n"/>
      <c r="W4" s="9" t="n"/>
      <c r="X4" s="9" t="n"/>
      <c r="Y4" s="9" t="n"/>
      <c r="Z4" s="9" t="n"/>
    </row>
    <row r="5">
      <c r="A5" s="9" t="inlineStr"/>
      <c r="B5" s="9" t="inlineStr">
        <is>
          <t>3D-ORGAN</t>
        </is>
      </c>
      <c r="C5" s="9" t="inlineStr"/>
      <c r="D5" s="9" t="n"/>
      <c r="E5" s="9" t="n"/>
      <c r="F5" s="9" t="n"/>
      <c r="G5" s="9" t="n"/>
      <c r="H5" s="9" t="n"/>
      <c r="I5" s="9" t="n"/>
      <c r="J5" s="9" t="n"/>
      <c r="K5" s="9" t="n"/>
      <c r="L5" s="9" t="n"/>
      <c r="M5" s="9" t="n"/>
      <c r="N5" s="9" t="n"/>
      <c r="O5" s="9" t="n"/>
      <c r="P5" s="9" t="n"/>
      <c r="Q5" s="9" t="n"/>
      <c r="R5" s="9" t="n"/>
      <c r="S5" s="9" t="n"/>
      <c r="T5" s="9" t="n"/>
      <c r="U5" s="9" t="n"/>
      <c r="V5" s="9" t="n"/>
      <c r="W5" s="9" t="n"/>
      <c r="X5" s="9" t="n"/>
      <c r="Y5" s="9" t="n"/>
      <c r="Z5" s="9" t="n"/>
    </row>
    <row r="6">
      <c r="A6" s="9" t="inlineStr"/>
      <c r="B6" s="9" t="inlineStr">
        <is>
          <t>3D-survey-collection</t>
        </is>
      </c>
      <c r="C6" s="9" t="inlineStr"/>
      <c r="D6" s="9" t="n"/>
      <c r="E6" s="9" t="n"/>
      <c r="F6" s="9" t="n"/>
      <c r="G6" s="9" t="n"/>
      <c r="H6" s="9" t="n"/>
      <c r="I6" s="9" t="n"/>
      <c r="J6" s="9" t="n"/>
      <c r="K6" s="9" t="n"/>
      <c r="L6" s="9" t="n"/>
      <c r="M6" s="9" t="n"/>
      <c r="N6" s="9" t="n"/>
      <c r="O6" s="9" t="n"/>
      <c r="P6" s="9" t="n"/>
      <c r="Q6" s="9" t="n"/>
      <c r="R6" s="9" t="n"/>
      <c r="S6" s="9" t="n"/>
      <c r="T6" s="9" t="n"/>
      <c r="U6" s="9" t="n"/>
      <c r="V6" s="9" t="n"/>
      <c r="W6" s="9" t="n"/>
      <c r="X6" s="9" t="n"/>
      <c r="Y6" s="9" t="n"/>
      <c r="Z6" s="9" t="n"/>
    </row>
    <row r="7">
      <c r="A7" s="9" t="inlineStr">
        <is>
          <t>ade4</t>
        </is>
      </c>
      <c r="B7" s="9" t="inlineStr"/>
      <c r="C7" s="9" t="inlineStr"/>
      <c r="D7" s="9" t="n"/>
      <c r="E7" s="9" t="n"/>
      <c r="F7" s="9" t="n"/>
      <c r="G7" s="9" t="n"/>
      <c r="H7" s="9" t="n"/>
      <c r="I7" s="9" t="n"/>
      <c r="J7" s="9" t="n"/>
      <c r="K7" s="9" t="n"/>
      <c r="L7" s="9" t="n"/>
      <c r="M7" s="9" t="n"/>
      <c r="N7" s="9" t="n"/>
      <c r="O7" s="9" t="n"/>
      <c r="P7" s="9" t="n"/>
      <c r="Q7" s="9" t="n"/>
      <c r="R7" s="9" t="n"/>
      <c r="S7" s="9" t="n"/>
      <c r="T7" s="9" t="n"/>
      <c r="U7" s="9" t="n"/>
      <c r="V7" s="9" t="n"/>
      <c r="W7" s="9" t="n"/>
      <c r="X7" s="9" t="n"/>
      <c r="Y7" s="9" t="n"/>
      <c r="Z7" s="9" t="n"/>
    </row>
    <row r="8">
      <c r="A8" s="9" t="inlineStr"/>
      <c r="B8" s="9" t="inlineStr">
        <is>
          <t>ADMUR</t>
        </is>
      </c>
      <c r="C8" s="9" t="inlineStr"/>
      <c r="D8" s="9" t="n"/>
      <c r="E8" s="9" t="n"/>
      <c r="F8" s="9" t="n"/>
      <c r="G8" s="9" t="n"/>
      <c r="H8" s="9" t="n"/>
      <c r="I8" s="9" t="n"/>
      <c r="J8" s="9" t="n"/>
      <c r="K8" s="9" t="n"/>
      <c r="L8" s="9" t="n"/>
      <c r="M8" s="9" t="n"/>
      <c r="N8" s="9" t="n"/>
      <c r="O8" s="9" t="n"/>
      <c r="P8" s="9" t="n"/>
      <c r="Q8" s="9" t="n"/>
      <c r="R8" s="9" t="n"/>
      <c r="S8" s="9" t="n"/>
      <c r="T8" s="9" t="n"/>
      <c r="U8" s="9" t="n"/>
      <c r="V8" s="9" t="n"/>
      <c r="W8" s="9" t="n"/>
      <c r="X8" s="9" t="n"/>
      <c r="Y8" s="9" t="n"/>
      <c r="Z8" s="9" t="n"/>
    </row>
    <row r="9">
      <c r="A9" s="9" t="inlineStr">
        <is>
          <t>Agisoft PhotoScan</t>
        </is>
      </c>
      <c r="B9" s="9" t="n"/>
      <c r="C9" s="9" t="inlineStr">
        <is>
          <t>medium</t>
        </is>
      </c>
      <c r="D9" s="9" t="n"/>
      <c r="E9" s="9" t="inlineStr">
        <is>
          <t>rejected</t>
        </is>
      </c>
      <c r="F9" s="9" t="n"/>
      <c r="G9" s="9" t="n"/>
      <c r="H9" s="9" t="n"/>
      <c r="I9" s="9" t="n"/>
      <c r="J9" s="9" t="n"/>
      <c r="K9" s="9" t="n"/>
      <c r="L9" s="9" t="n"/>
      <c r="M9" s="9" t="n"/>
      <c r="N9" s="9" t="n"/>
      <c r="O9" s="9" t="n"/>
      <c r="P9" s="9" t="n"/>
      <c r="Q9" s="9" t="n"/>
      <c r="R9" s="9" t="n"/>
      <c r="S9" s="9" t="n"/>
      <c r="T9" s="9" t="n"/>
      <c r="U9" s="9" t="n"/>
      <c r="V9" s="9" t="n"/>
      <c r="W9" s="9" t="n"/>
      <c r="X9" s="9" t="n"/>
      <c r="Y9" s="9" t="n"/>
      <c r="Z9" s="9" t="n"/>
    </row>
    <row r="10">
      <c r="A10" s="9" t="n"/>
      <c r="B10" s="9" t="inlineStr">
        <is>
          <t>tosca</t>
        </is>
      </c>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row>
    <row r="11">
      <c r="A11" s="9" t="inlineStr">
        <is>
          <t>aion</t>
        </is>
      </c>
      <c r="B11" s="9" t="inlineStr">
        <is>
          <t>aion</t>
        </is>
      </c>
      <c r="C11" s="9" t="inlineStr">
        <is>
          <t>exact</t>
        </is>
      </c>
      <c r="D11" s="9" t="inlineStr"/>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c r="A12" s="9" t="inlineStr"/>
      <c r="B12" s="9" t="inlineStr">
        <is>
          <t>AIS</t>
        </is>
      </c>
      <c r="C12" s="9" t="inlineStr"/>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c r="A13" s="9" t="inlineStr"/>
      <c r="B13" s="9" t="inlineStr">
        <is>
          <t>Akkademia</t>
        </is>
      </c>
      <c r="C13" s="9" t="inlineStr"/>
      <c r="D13" s="9" t="n"/>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row>
    <row r="14">
      <c r="A14" s="9" t="inlineStr"/>
      <c r="B14" s="9" t="inlineStr">
        <is>
          <t>Al2O3_AnalysisApp</t>
        </is>
      </c>
      <c r="C14" s="9" t="inlineStr"/>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c r="A15" s="9" t="inlineStr"/>
      <c r="B15" s="9" t="inlineStr">
        <is>
          <t>alkahest</t>
        </is>
      </c>
      <c r="C15" s="9" t="inlineStr"/>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c r="A16" s="9" t="inlineStr"/>
      <c r="B16" s="9" t="inlineStr">
        <is>
          <t>allen-relations</t>
        </is>
      </c>
      <c r="C16" s="9" t="inlineStr"/>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inlineStr"/>
      <c r="B17" s="9" t="inlineStr">
        <is>
          <t>allen.archaeology</t>
        </is>
      </c>
      <c r="C17" s="9" t="inlineStr"/>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inlineStr"/>
      <c r="B18" s="9" t="inlineStr">
        <is>
          <t>Alligator</t>
        </is>
      </c>
      <c r="C18" s="9" t="inlineStr"/>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inlineStr"/>
      <c r="B19" s="9" t="inlineStr">
        <is>
          <t>anatolia-bibliography-map</t>
        </is>
      </c>
      <c r="C19" s="9" t="inlineStr"/>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inlineStr"/>
      <c r="B20" s="9" t="inlineStr">
        <is>
          <t>ancient-artifacts</t>
        </is>
      </c>
      <c r="C20" s="9" t="inlineStr"/>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c r="A21" s="9" t="inlineStr">
        <is>
          <t>Annotorious</t>
        </is>
      </c>
      <c r="B21" s="9" t="inlineStr"/>
      <c r="C21" s="9" t="inlineStr"/>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c r="A22" s="9" t="inlineStr"/>
      <c r="B22" s="9" t="inlineStr">
        <is>
          <t>anthroFun</t>
        </is>
      </c>
      <c r="C22" s="9" t="inlineStr"/>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c r="A23" s="9" t="inlineStr"/>
      <c r="B23" s="9" t="inlineStr">
        <is>
          <t>anthropmmd</t>
        </is>
      </c>
      <c r="C23" s="9" t="inlineStr"/>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c r="A24" s="9" t="inlineStr"/>
      <c r="B24" s="9" t="inlineStr">
        <is>
          <t>aoristAAR</t>
        </is>
      </c>
      <c r="C24" s="9" t="inlineStr"/>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c r="A25" s="9" t="inlineStr"/>
      <c r="B25" s="9" t="inlineStr">
        <is>
          <t>aoristic</t>
        </is>
      </c>
      <c r="C25" s="9" t="inlineStr"/>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c r="A26" s="9" t="inlineStr"/>
      <c r="B26" s="9" t="inlineStr">
        <is>
          <t>aoristic-analysis</t>
        </is>
      </c>
      <c r="C26" s="9" t="inlineStr"/>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c r="A27" s="9" t="inlineStr"/>
      <c r="B27" s="9" t="inlineStr">
        <is>
          <t>ArboDat</t>
        </is>
      </c>
      <c r="C27" s="9" t="inlineStr"/>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c r="A28" s="9" t="inlineStr">
        <is>
          <t>ArcGIS skeletal templates</t>
        </is>
      </c>
      <c r="B28" s="9" t="inlineStr"/>
      <c r="C28" s="9" t="inlineStr"/>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c r="A29" s="9" t="inlineStr">
        <is>
          <t>Arch-I-Scan</t>
        </is>
      </c>
      <c r="B29" s="9" t="n"/>
      <c r="C29" s="9" t="inlineStr">
        <is>
          <t>low</t>
        </is>
      </c>
      <c r="D29" s="9" t="inlineStr">
        <is>
          <t>Names differ significantly - kept separate</t>
        </is>
      </c>
      <c r="E29" s="9" t="inlineStr">
        <is>
          <t>No, not the same as 'ca', entry deleted since 'ca' appears below, also broke the 'no duplicates' rule</t>
        </is>
      </c>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c r="A30" s="9" t="inlineStr"/>
      <c r="B30" s="9" t="inlineStr">
        <is>
          <t>archaeo-CRF</t>
        </is>
      </c>
      <c r="C30" s="9" t="inlineStr"/>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c r="A31" s="9" t="inlineStr"/>
      <c r="B31" s="9" t="inlineStr">
        <is>
          <t>ArchaeoAstroInsight</t>
        </is>
      </c>
      <c r="C31" s="9" t="inlineStr"/>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c r="A32" s="9" t="inlineStr"/>
      <c r="B32" s="9" t="inlineStr">
        <is>
          <t>ArchaeoCal</t>
        </is>
      </c>
      <c r="C32" s="9" t="inlineStr"/>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c r="A33" s="9" t="inlineStr"/>
      <c r="B33" s="9" t="inlineStr">
        <is>
          <t>ArchaeoChron</t>
        </is>
      </c>
      <c r="C33" s="9" t="inlineStr"/>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c r="A34" s="9" t="inlineStr"/>
      <c r="B34" s="9" t="inlineStr">
        <is>
          <t>ArchaeoData</t>
        </is>
      </c>
      <c r="C34" s="9" t="inlineStr"/>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c r="A35" s="9" t="inlineStr"/>
      <c r="B35" s="9" t="inlineStr">
        <is>
          <t>ArchaeoLines</t>
        </is>
      </c>
      <c r="C35" s="9" t="inlineStr"/>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c r="A36" s="9" t="inlineStr"/>
      <c r="B36" s="9" t="inlineStr">
        <is>
          <t>archaeological-object-sharing</t>
        </is>
      </c>
      <c r="C36" s="9" t="inlineStr"/>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c r="A37" s="9" t="inlineStr"/>
      <c r="B37" s="9" t="inlineStr">
        <is>
          <t>archaeological-survey-location-collector</t>
        </is>
      </c>
      <c r="C37" s="9" t="inlineStr"/>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c r="A38" s="9" t="inlineStr"/>
      <c r="B38" s="9" t="inlineStr">
        <is>
          <t>archaeology_on_wikipedia.R</t>
        </is>
      </c>
      <c r="C38" s="9" t="inlineStr"/>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c r="A39" s="9" t="inlineStr"/>
      <c r="B39" s="9" t="inlineStr">
        <is>
          <t>archaeology-data-service</t>
        </is>
      </c>
      <c r="C39" s="9" t="inlineStr"/>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c r="A40" s="9" t="inlineStr"/>
      <c r="B40" s="9" t="inlineStr">
        <is>
          <t>archaeology-object-data-collector-app</t>
        </is>
      </c>
      <c r="C40" s="9" t="inlineStr"/>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c r="A41" s="9" t="inlineStr"/>
      <c r="B41" s="9" t="inlineStr">
        <is>
          <t>ArchaeolPhytoliths</t>
        </is>
      </c>
      <c r="C41" s="9" t="inlineStr"/>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c r="A42" s="9" t="inlineStr"/>
      <c r="B42" s="9" t="inlineStr">
        <is>
          <t>ArchaeoMag</t>
        </is>
      </c>
      <c r="C42" s="9" t="inlineStr"/>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c r="A43" s="9" t="inlineStr">
        <is>
          <t>ArchaeoPhases</t>
        </is>
      </c>
      <c r="B43" s="9" t="inlineStr">
        <is>
          <t>ArchaeoPhases</t>
        </is>
      </c>
      <c r="C43" s="9" t="inlineStr">
        <is>
          <t>exact</t>
        </is>
      </c>
      <c r="D43" s="9" t="inlineStr"/>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c r="A44" s="9" t="inlineStr"/>
      <c r="B44" s="9" t="inlineStr">
        <is>
          <t>archaeosrp</t>
        </is>
      </c>
      <c r="C44" s="9" t="inlineStr"/>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c r="A45" s="9" t="inlineStr">
        <is>
          <t>ArchAIDE</t>
        </is>
      </c>
      <c r="B45" s="9" t="inlineStr">
        <is>
          <t>ArchAIDE</t>
        </is>
      </c>
      <c r="C45" s="9" t="inlineStr">
        <is>
          <t>exact</t>
        </is>
      </c>
      <c r="D45" s="9" t="inlineStr"/>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c r="A46" s="9" t="inlineStr"/>
      <c r="B46" s="9" t="inlineStr">
        <is>
          <t>archchron</t>
        </is>
      </c>
      <c r="C46" s="9" t="inlineStr"/>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c r="A47" s="9" t="inlineStr"/>
      <c r="B47" s="9" t="inlineStr">
        <is>
          <t>archdata</t>
        </is>
      </c>
      <c r="C47" s="9" t="inlineStr"/>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c r="A48" s="9" t="inlineStr">
        <is>
          <t>ArchEd</t>
        </is>
      </c>
      <c r="B48" s="9" t="inlineStr"/>
      <c r="C48" s="9" t="inlineStr"/>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c r="A49" s="9" t="inlineStr">
        <is>
          <t>Archeofrag</t>
        </is>
      </c>
      <c r="B49" s="9" t="inlineStr">
        <is>
          <t>archeofrag</t>
        </is>
      </c>
      <c r="C49" s="9" t="inlineStr">
        <is>
          <t>exact</t>
        </is>
      </c>
      <c r="D49" s="9" t="inlineStr"/>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c r="A50" s="9" t="inlineStr"/>
      <c r="B50" s="9" t="inlineStr">
        <is>
          <t>ArcheOS</t>
        </is>
      </c>
      <c r="C50" s="9" t="inlineStr"/>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c r="A51" s="9" t="inlineStr"/>
      <c r="B51" s="9" t="inlineStr">
        <is>
          <t>ArcheoShape</t>
        </is>
      </c>
      <c r="C51" s="9" t="inlineStr"/>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c r="A52" s="9" t="inlineStr">
        <is>
          <t>archeoViz</t>
        </is>
      </c>
      <c r="B52" s="9" t="inlineStr">
        <is>
          <t>archeoViz</t>
        </is>
      </c>
      <c r="C52" s="9" t="inlineStr">
        <is>
          <t>exact</t>
        </is>
      </c>
      <c r="D52" s="9" t="inlineStr"/>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c r="A53" s="9" t="inlineStr"/>
      <c r="B53" s="9" t="inlineStr">
        <is>
          <t>arches</t>
        </is>
      </c>
      <c r="C53" s="9" t="inlineStr"/>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c r="A54" s="9" t="inlineStr"/>
      <c r="B54" s="9" t="inlineStr">
        <is>
          <t>arches-via-docker</t>
        </is>
      </c>
      <c r="C54" s="9" t="inlineStr"/>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c r="A55" s="9" t="inlineStr"/>
      <c r="B55" s="9" t="inlineStr">
        <is>
          <t>archiedb</t>
        </is>
      </c>
      <c r="C55" s="9" t="inlineStr"/>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c r="A56" s="9" t="inlineStr"/>
      <c r="B56" s="9" t="inlineStr">
        <is>
          <t>ArchJobCAD</t>
        </is>
      </c>
      <c r="C56" s="9" t="inlineStr"/>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c r="A57" s="9" t="inlineStr"/>
      <c r="B57" s="9" t="inlineStr">
        <is>
          <t>archSeries</t>
        </is>
      </c>
      <c r="C57" s="9" t="inlineStr"/>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c r="A58" s="9" t="inlineStr"/>
      <c r="B58" s="9" t="inlineStr">
        <is>
          <t>ARFloorPlanApp</t>
        </is>
      </c>
      <c r="C58" s="9" t="inlineStr"/>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c r="A59" s="9" t="inlineStr">
        <is>
          <t>ARIADNE</t>
        </is>
      </c>
      <c r="B59" s="9" t="inlineStr"/>
      <c r="C59" s="9" t="inlineStr"/>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c r="A60" s="9" t="inlineStr"/>
      <c r="B60" s="9" t="inlineStr">
        <is>
          <t>ark-addons</t>
        </is>
      </c>
      <c r="C60" s="9" t="inlineStr"/>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c r="A61" s="9" t="inlineStr"/>
      <c r="B61" s="9" t="inlineStr">
        <is>
          <t>ARK1</t>
        </is>
      </c>
      <c r="C61" s="9" t="inlineStr"/>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c r="A62" s="9" t="inlineStr"/>
      <c r="B62" s="9" t="inlineStr">
        <is>
          <t>Ark2</t>
        </is>
      </c>
      <c r="C62" s="9" t="inlineStr"/>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c r="A63" s="9" t="inlineStr"/>
      <c r="B63" s="9" t="inlineStr">
        <is>
          <t>ArkGrid</t>
        </is>
      </c>
      <c r="C63" s="9" t="inlineStr"/>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c r="A64" s="9" t="inlineStr"/>
      <c r="B64" s="9" t="inlineStr">
        <is>
          <t>arkhe</t>
        </is>
      </c>
      <c r="C64" s="9" t="inlineStr"/>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c r="A65" s="9" t="inlineStr"/>
      <c r="B65" s="9" t="inlineStr">
        <is>
          <t>ArkMatrix</t>
        </is>
      </c>
      <c r="C65" s="9" t="inlineStr"/>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c r="A66" s="9" t="inlineStr"/>
      <c r="B66" s="9" t="inlineStr">
        <is>
          <t>ArkScan</t>
        </is>
      </c>
      <c r="C66" s="9" t="inlineStr"/>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c r="A67" s="9" t="inlineStr"/>
      <c r="B67" s="9" t="inlineStr">
        <is>
          <t>ArkSpatial</t>
        </is>
      </c>
      <c r="C67" s="9" t="inlineStr"/>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c r="A68" s="9" t="inlineStr"/>
      <c r="B68" s="9" t="inlineStr">
        <is>
          <t>Arothron</t>
        </is>
      </c>
      <c r="C68" s="9" t="inlineStr"/>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c r="A69" s="9" t="inlineStr"/>
      <c r="B69" s="9" t="inlineStr">
        <is>
          <t>ARQUB</t>
        </is>
      </c>
      <c r="C69" s="9" t="inlineStr"/>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c r="A70" s="9" t="inlineStr"/>
      <c r="B70" s="9" t="inlineStr">
        <is>
          <t>arshm-release</t>
        </is>
      </c>
      <c r="C70" s="9" t="inlineStr"/>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c r="A71" s="9" t="inlineStr"/>
      <c r="B71" s="9" t="inlineStr">
        <is>
          <t>artefact-morpho.R</t>
        </is>
      </c>
      <c r="C71" s="9" t="inlineStr"/>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c r="A72" s="9" t="inlineStr"/>
      <c r="B72" s="9" t="inlineStr">
        <is>
          <t>Artifact_Class_Diversity</t>
        </is>
      </c>
      <c r="C72" s="9" t="inlineStr"/>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c r="A73" s="9" t="inlineStr"/>
      <c r="B73" s="9" t="inlineStr">
        <is>
          <t>Artifacts-Analyzer</t>
        </is>
      </c>
      <c r="C73" s="9" t="inlineStr"/>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c r="A74" s="9" t="inlineStr"/>
      <c r="B74" s="9" t="inlineStr">
        <is>
          <t>BAM</t>
        </is>
      </c>
      <c r="C74" s="9" t="inlineStr"/>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c r="A75" s="9" t="inlineStr"/>
      <c r="B75" s="9" t="inlineStr">
        <is>
          <t>baorista</t>
        </is>
      </c>
      <c r="C75" s="9" t="inlineStr"/>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c r="A76" s="9" t="inlineStr"/>
      <c r="B76" s="9" t="inlineStr">
        <is>
          <t>BasicMapping</t>
        </is>
      </c>
      <c r="C76" s="9" t="inlineStr"/>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c r="A77" s="9" t="inlineStr"/>
      <c r="B77" s="9" t="inlineStr">
        <is>
          <t>baydem</t>
        </is>
      </c>
      <c r="C77" s="9" t="inlineStr"/>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c r="A78" s="9" t="inlineStr"/>
      <c r="B78" s="9" t="inlineStr">
        <is>
          <t>BayLum</t>
        </is>
      </c>
      <c r="C78" s="9" t="inlineStr"/>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c r="A79" s="9" t="inlineStr">
        <is>
          <t>BCal</t>
        </is>
      </c>
      <c r="B79" s="9" t="n"/>
      <c r="C79" s="9" t="inlineStr">
        <is>
          <t>low</t>
        </is>
      </c>
      <c r="D79" s="9" t="inlineStr">
        <is>
          <t>Names differ significantly - kept separate</t>
        </is>
      </c>
      <c r="E79" s="9" t="inlineStr">
        <is>
          <t>No, not the same, seprated</t>
        </is>
      </c>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c r="A80" s="9" t="n"/>
      <c r="B80" s="9" t="inlineStr">
        <is>
          <t>ca</t>
        </is>
      </c>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c r="A81" s="9" t="inlineStr">
        <is>
          <t>Bchron</t>
        </is>
      </c>
      <c r="B81" s="9" t="inlineStr">
        <is>
          <t>Bchron</t>
        </is>
      </c>
      <c r="C81" s="9" t="inlineStr">
        <is>
          <t>exact</t>
        </is>
      </c>
      <c r="D81" s="9" t="inlineStr"/>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c r="A82" s="9" t="inlineStr"/>
      <c r="B82" s="9" t="inlineStr">
        <is>
          <t>benmarwickDY-XYZ-data-on-an-irregular-grid-to-an-interpolated-raster.r</t>
        </is>
      </c>
      <c r="C82" s="9" t="inlineStr"/>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c r="A83" s="9" t="inlineStr"/>
      <c r="B83" s="9" t="inlineStr">
        <is>
          <t>benmarwickopencontext.r</t>
        </is>
      </c>
      <c r="C83" s="9" t="inlineStr"/>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c r="A84" s="9" t="inlineStr"/>
      <c r="B84" s="9" t="inlineStr">
        <is>
          <t>Binomial-Co-occurrence-Assessment</t>
        </is>
      </c>
      <c r="C84" s="9" t="inlineStr"/>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c r="A85" s="9" t="inlineStr"/>
      <c r="B85" s="9" t="inlineStr">
        <is>
          <t>bioanth</t>
        </is>
      </c>
      <c r="C85" s="9" t="inlineStr"/>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c r="A86" s="9" t="inlineStr"/>
      <c r="B86" s="9" t="inlineStr">
        <is>
          <t>BioArch_R</t>
        </is>
      </c>
      <c r="C86" s="9" t="inlineStr"/>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c r="A87" s="9" t="inlineStr"/>
      <c r="B87" s="9" t="inlineStr">
        <is>
          <t>BioProfile</t>
        </is>
      </c>
      <c r="C87" s="9" t="inlineStr"/>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c r="A88" s="9" t="inlineStr">
        <is>
          <t>bleiglas</t>
        </is>
      </c>
      <c r="B88" s="9" t="inlineStr">
        <is>
          <t>bleiglas</t>
        </is>
      </c>
      <c r="C88" s="9" t="inlineStr">
        <is>
          <t>exact</t>
        </is>
      </c>
      <c r="D88" s="9" t="inlineStr"/>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c r="A89" s="9" t="inlineStr"/>
      <c r="B89" s="9" t="inlineStr">
        <is>
          <t>Bonify</t>
        </is>
      </c>
      <c r="C89" s="9" t="inlineStr"/>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c r="A90" s="9" t="inlineStr"/>
      <c r="B90" s="9" t="inlineStr">
        <is>
          <t>Bootstrap-Correspondence-Analysis</t>
        </is>
      </c>
      <c r="C90" s="9" t="inlineStr"/>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c r="A91" s="9" t="inlineStr"/>
      <c r="B91" s="9" t="inlineStr">
        <is>
          <t>BraDypUS</t>
        </is>
      </c>
      <c r="C91" s="9" t="inlineStr"/>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c r="A92" s="9" t="inlineStr"/>
      <c r="B92" s="9" t="inlineStr">
        <is>
          <t>Brainerd-Robinson-Similarity-Coefficient-and-Sampling-Error-Assessment</t>
        </is>
      </c>
      <c r="C92" s="9" t="inlineStr"/>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c r="A93" s="9" t="inlineStr">
        <is>
          <t>Bwigg fail</t>
        </is>
      </c>
      <c r="B93" s="9" t="inlineStr"/>
      <c r="C93" s="9" t="inlineStr"/>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c r="A94" s="9" t="inlineStr"/>
      <c r="B94" s="9" t="inlineStr">
        <is>
          <t>c14</t>
        </is>
      </c>
      <c r="C94" s="9" t="inlineStr"/>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c r="A95" s="9" t="inlineStr"/>
      <c r="B95" s="9" t="inlineStr">
        <is>
          <t>c14-date-extractor</t>
        </is>
      </c>
      <c r="C95" s="9" t="inlineStr"/>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c r="A96" s="9" t="inlineStr">
        <is>
          <t>c14bazAAR</t>
        </is>
      </c>
      <c r="B96" s="9" t="inlineStr">
        <is>
          <t>c14bazAAR</t>
        </is>
      </c>
      <c r="C96" s="9" t="inlineStr">
        <is>
          <t>exact</t>
        </is>
      </c>
      <c r="D96" s="9" t="inlineStr"/>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c r="A97" s="9" t="inlineStr"/>
      <c r="B97" s="9" t="inlineStr">
        <is>
          <t>c14Intervals</t>
        </is>
      </c>
      <c r="C97" s="9" t="inlineStr"/>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c r="A98" s="9" t="inlineStr"/>
      <c r="B98" s="9" t="inlineStr">
        <is>
          <t>CAinterprTools</t>
        </is>
      </c>
      <c r="C98" s="9" t="inlineStr"/>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c r="A99" s="9" t="inlineStr"/>
      <c r="B99" s="9" t="inlineStr">
        <is>
          <t>calibrator</t>
        </is>
      </c>
      <c r="C99" s="9" t="inlineStr"/>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c r="A100" s="9" t="inlineStr"/>
      <c r="B100" s="9" t="inlineStr">
        <is>
          <t>carbon14</t>
        </is>
      </c>
      <c r="C100" s="9" t="inlineStr"/>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c r="A101" s="9" t="inlineStr"/>
      <c r="B101" s="9" t="inlineStr">
        <is>
          <t>carbondate</t>
        </is>
      </c>
      <c r="C101" s="9" t="inlineStr"/>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c r="A102" s="9" t="inlineStr"/>
      <c r="B102" s="9" t="inlineStr">
        <is>
          <t>CAseriation</t>
        </is>
      </c>
      <c r="C102" s="9" t="inlineStr"/>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c r="A103" s="9" t="inlineStr"/>
      <c r="B103" s="9" t="inlineStr">
        <is>
          <t>cawd</t>
        </is>
      </c>
      <c r="C103" s="9" t="inlineStr"/>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c r="A104" s="9" t="inlineStr"/>
      <c r="B104" s="9" t="inlineStr">
        <is>
          <t>CeraMatch</t>
        </is>
      </c>
      <c r="C104" s="9" t="inlineStr"/>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c r="A105" s="9" t="inlineStr"/>
      <c r="B105" s="9" t="inlineStr">
        <is>
          <t>Ceramic_Dashboard</t>
        </is>
      </c>
      <c r="C105" s="9" t="inlineStr"/>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c r="A106" s="9" t="inlineStr"/>
      <c r="B106" s="9" t="inlineStr">
        <is>
          <t>ceramic-computation</t>
        </is>
      </c>
      <c r="C106" s="9" t="inlineStr"/>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c r="A107" s="9" t="inlineStr"/>
      <c r="B107" s="9" t="inlineStr">
        <is>
          <t>Ceramic-Frequency-Date-Plot</t>
        </is>
      </c>
      <c r="C107" s="9" t="inlineStr"/>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c r="A108" s="9" t="inlineStr"/>
      <c r="B108" s="9" t="inlineStr">
        <is>
          <t>CeramicApportioning</t>
        </is>
      </c>
      <c r="C108" s="9" t="inlineStr"/>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c r="A109" s="9" t="inlineStr"/>
      <c r="B109" s="9" t="inlineStr">
        <is>
          <t>charcoalhearths</t>
        </is>
      </c>
      <c r="C109" s="9" t="inlineStr"/>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c r="A110" s="9" t="inlineStr"/>
      <c r="B110" s="9" t="inlineStr">
        <is>
          <t>CharTool</t>
        </is>
      </c>
      <c r="C110" s="9" t="inlineStr"/>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c r="A111" s="9" t="inlineStr"/>
      <c r="B111" s="9" t="inlineStr">
        <is>
          <t>cherish</t>
        </is>
      </c>
      <c r="C111" s="9" t="inlineStr"/>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c r="A112" s="9" t="inlineStr"/>
      <c r="B112" s="9" t="inlineStr">
        <is>
          <t>chrongler</t>
        </is>
      </c>
      <c r="C112" s="9" t="inlineStr"/>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c r="A113" s="9" t="inlineStr"/>
      <c r="B113" s="9" t="inlineStr">
        <is>
          <t>chronochrt</t>
        </is>
      </c>
      <c r="C113" s="9" t="inlineStr"/>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c r="A114" s="9" t="inlineStr"/>
      <c r="B114" s="9" t="inlineStr">
        <is>
          <t>ChronoLog</t>
        </is>
      </c>
      <c r="C114" s="9" t="inlineStr"/>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c r="A115" s="9" t="inlineStr"/>
      <c r="B115" s="9" t="inlineStr">
        <is>
          <t>chronomodel</t>
        </is>
      </c>
      <c r="C115" s="9" t="inlineStr"/>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c r="A116" s="9" t="inlineStr"/>
      <c r="B116" s="9" t="inlineStr">
        <is>
          <t>Chronophage</t>
        </is>
      </c>
      <c r="C116" s="9" t="inlineStr"/>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c r="A117" s="9" t="inlineStr"/>
      <c r="B117" s="9" t="inlineStr">
        <is>
          <t>chronup</t>
        </is>
      </c>
      <c r="C117" s="9" t="inlineStr"/>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c r="A118" s="9" t="inlineStr"/>
      <c r="B118" s="9" t="inlineStr">
        <is>
          <t>clam</t>
        </is>
      </c>
      <c r="C118" s="9" t="inlineStr"/>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c r="A119" s="9" t="inlineStr"/>
      <c r="B119" s="9" t="inlineStr">
        <is>
          <t>cleanc14</t>
        </is>
      </c>
      <c r="C119" s="9" t="inlineStr"/>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c r="A120" s="9" t="inlineStr"/>
      <c r="B120" s="9" t="inlineStr">
        <is>
          <t>CloudCal</t>
        </is>
      </c>
      <c r="C120" s="9" t="inlineStr"/>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c r="A121" s="9" t="inlineStr"/>
      <c r="B121" s="9" t="inlineStr">
        <is>
          <t>clustering_14C</t>
        </is>
      </c>
      <c r="C121" s="9" t="inlineStr"/>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c r="A122" s="9" t="inlineStr"/>
      <c r="B122" s="9" t="inlineStr">
        <is>
          <t>CoccionCeramica</t>
        </is>
      </c>
      <c r="C122" s="9" t="inlineStr"/>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c r="A123" s="9" t="inlineStr"/>
      <c r="B123" s="9" t="inlineStr">
        <is>
          <t>coffee</t>
        </is>
      </c>
      <c r="C123" s="9" t="inlineStr"/>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c r="A124" s="9" t="inlineStr"/>
      <c r="B124" s="9" t="inlineStr">
        <is>
          <t>cran-JSDNE</t>
        </is>
      </c>
      <c r="C124" s="9" t="inlineStr"/>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c r="A125" s="9" t="inlineStr"/>
      <c r="B125" s="9" t="inlineStr">
        <is>
          <t>cranial-sex-estimation-code</t>
        </is>
      </c>
      <c r="C125" s="9" t="inlineStr"/>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c r="A126" s="9" t="inlineStr"/>
      <c r="B126" s="9" t="inlineStr">
        <is>
          <t>crom</t>
        </is>
      </c>
      <c r="C126" s="9" t="inlineStr"/>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c r="A127" s="9" t="inlineStr"/>
      <c r="B127" s="9" t="inlineStr">
        <is>
          <t>CropPro</t>
        </is>
      </c>
      <c r="C127" s="9" t="inlineStr"/>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c r="A128" s="9" t="inlineStr"/>
      <c r="B128" s="9" t="inlineStr">
        <is>
          <t>Crossbones</t>
        </is>
      </c>
      <c r="C128" s="9" t="inlineStr"/>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c r="A129" s="9" t="inlineStr"/>
      <c r="B129" s="9" t="inlineStr">
        <is>
          <t>CSGR</t>
        </is>
      </c>
      <c r="C129" s="9" t="inlineStr"/>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c r="A130" s="9" t="inlineStr"/>
      <c r="B130" s="9" t="inlineStr">
        <is>
          <t>cTransmission</t>
        </is>
      </c>
      <c r="C130" s="9" t="inlineStr"/>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c r="A131" s="9" t="inlineStr"/>
      <c r="B131" s="9" t="inlineStr">
        <is>
          <t>CuneiPainter</t>
        </is>
      </c>
      <c r="C131" s="9" t="inlineStr"/>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c r="A132" s="9" t="inlineStr"/>
      <c r="B132" s="9" t="inlineStr">
        <is>
          <t>currycarbon</t>
        </is>
      </c>
      <c r="C132" s="9" t="inlineStr"/>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c r="A133" s="9" t="inlineStr"/>
      <c r="B133" s="9" t="inlineStr">
        <is>
          <t>DACORD</t>
        </is>
      </c>
      <c r="C133" s="9" t="inlineStr"/>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c r="A134" s="9" t="inlineStr">
        <is>
          <t>DataScribe</t>
        </is>
      </c>
      <c r="B134" s="9" t="inlineStr"/>
      <c r="C134" s="9" t="inlineStr"/>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c r="A135" s="9" t="inlineStr"/>
      <c r="B135" s="9" t="inlineStr">
        <is>
          <t>datplot</t>
        </is>
      </c>
      <c r="C135" s="9" t="inlineStr"/>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c r="A136" s="9" t="inlineStr"/>
      <c r="B136" s="9" t="inlineStr">
        <is>
          <t>dayofarchaeology</t>
        </is>
      </c>
      <c r="C136" s="9" t="inlineStr"/>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c r="A137" s="9" t="inlineStr"/>
      <c r="B137" s="9" t="inlineStr">
        <is>
          <t>dedalo</t>
        </is>
      </c>
      <c r="C137" s="9" t="inlineStr"/>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c r="A138" s="9" t="inlineStr"/>
      <c r="B138" s="9" t="inlineStr">
        <is>
          <t>demjanp</t>
        </is>
      </c>
      <c r="C138" s="9" t="inlineStr"/>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c r="A139" s="9" t="inlineStr"/>
      <c r="B139" s="9" t="inlineStr">
        <is>
          <t>dendroNetwork</t>
        </is>
      </c>
      <c r="C139" s="9" t="inlineStr"/>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c r="A140" s="9" t="inlineStr">
        <is>
          <t>Depthmap</t>
        </is>
      </c>
      <c r="B140" s="9" t="inlineStr"/>
      <c r="C140" s="9" t="inlineStr"/>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c r="A141" s="9" t="inlineStr"/>
      <c r="B141" s="9" t="inlineStr">
        <is>
          <t>DIGSS</t>
        </is>
      </c>
      <c r="C141" s="9" t="inlineStr"/>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c r="A142" s="9" t="inlineStr"/>
      <c r="B142" s="9" t="inlineStr">
        <is>
          <t>dimensio</t>
        </is>
      </c>
      <c r="C142" s="9" t="inlineStr"/>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c r="A143" s="9" t="inlineStr"/>
      <c r="B143" s="9" t="inlineStr">
        <is>
          <t>disastermap</t>
        </is>
      </c>
      <c r="C143" s="9" t="inlineStr"/>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c r="A144" s="9" t="inlineStr">
        <is>
          <t>Distant Viewing Toolkit</t>
        </is>
      </c>
      <c r="B144" s="9" t="inlineStr"/>
      <c r="C144" s="9" t="inlineStr"/>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c r="A145" s="9" t="inlineStr">
        <is>
          <t>dplR</t>
        </is>
      </c>
      <c r="B145" s="9" t="inlineStr">
        <is>
          <t>dplR</t>
        </is>
      </c>
      <c r="C145" s="9" t="inlineStr">
        <is>
          <t>exact</t>
        </is>
      </c>
      <c r="D145" s="9" t="inlineStr"/>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c r="A146" s="9" t="inlineStr"/>
      <c r="B146" s="9" t="inlineStr">
        <is>
          <t>DRAC-calculator</t>
        </is>
      </c>
      <c r="C146" s="9" t="inlineStr"/>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c r="A147" s="9" t="inlineStr"/>
      <c r="B147" s="9" t="inlineStr">
        <is>
          <t>DroneSurveyPlanner</t>
        </is>
      </c>
      <c r="C147" s="9" t="inlineStr"/>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c r="A148" s="9" t="inlineStr"/>
      <c r="B148" s="9" t="inlineStr">
        <is>
          <t>E5</t>
        </is>
      </c>
      <c r="C148" s="9" t="inlineStr"/>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c r="A149" s="9" t="inlineStr"/>
      <c r="B149" s="9" t="inlineStr">
        <is>
          <t>ede_interpolation</t>
        </is>
      </c>
      <c r="C149" s="9" t="inlineStr"/>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c r="A150" s="9" t="inlineStr"/>
      <c r="B150" s="9" t="inlineStr">
        <is>
          <t>EDM</t>
        </is>
      </c>
      <c r="C150" s="9" t="inlineStr"/>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c r="A151" s="9" t="inlineStr"/>
      <c r="B151" s="9" t="inlineStr">
        <is>
          <t>EDMWIN</t>
        </is>
      </c>
      <c r="C151" s="9" t="inlineStr"/>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c r="A152" s="9" t="inlineStr"/>
      <c r="B152" s="9" t="inlineStr">
        <is>
          <t>ElementSourcing</t>
        </is>
      </c>
      <c r="C152" s="9" t="inlineStr"/>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c r="A153" s="9" t="inlineStr"/>
      <c r="B153" s="9" t="inlineStr">
        <is>
          <t>elemSource</t>
        </is>
      </c>
      <c r="C153" s="9" t="inlineStr"/>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c r="A154" s="9" t="inlineStr"/>
      <c r="B154" s="9" t="inlineStr">
        <is>
          <t>EM-blender-tools</t>
        </is>
      </c>
      <c r="C154" s="9" t="inlineStr"/>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c r="A155" s="9" t="inlineStr">
        <is>
          <t>Endovélico information system</t>
        </is>
      </c>
      <c r="B155" s="9" t="inlineStr"/>
      <c r="C155" s="9" t="inlineStr"/>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c r="A156" s="9" t="inlineStr"/>
      <c r="B156" s="9" t="inlineStr">
        <is>
          <t>eratosthenes</t>
        </is>
      </c>
      <c r="C156" s="9" t="inlineStr"/>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c r="A157" s="9" t="inlineStr"/>
      <c r="B157" s="9" t="inlineStr">
        <is>
          <t>ethnobotanyR</t>
        </is>
      </c>
      <c r="C157" s="9" t="inlineStr"/>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c r="A158" s="9" t="inlineStr"/>
      <c r="B158" s="9" t="inlineStr">
        <is>
          <t>Excavation_data_viewer</t>
        </is>
      </c>
      <c r="C158" s="9" t="inlineStr"/>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c r="A159" s="9" t="inlineStr"/>
      <c r="B159" s="9" t="inlineStr">
        <is>
          <t>Explographe</t>
        </is>
      </c>
      <c r="C159" s="9" t="inlineStr"/>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c r="A160" s="9" t="inlineStr"/>
      <c r="B160" s="9" t="inlineStr">
        <is>
          <t>expotime</t>
        </is>
      </c>
      <c r="C160" s="9" t="inlineStr"/>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c r="A161" s="9" t="inlineStr"/>
      <c r="B161" s="9" t="inlineStr">
        <is>
          <t>ExtendedMatrix</t>
        </is>
      </c>
      <c r="C161" s="9" t="inlineStr"/>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c r="A162" s="9" t="inlineStr"/>
      <c r="B162" s="9" t="inlineStr">
        <is>
          <t>fabryka</t>
        </is>
      </c>
      <c r="C162" s="9" t="inlineStr"/>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c r="A163" s="9" t="inlineStr">
        <is>
          <t>FaceNet</t>
        </is>
      </c>
      <c r="B163" s="9" t="inlineStr"/>
      <c r="C163" s="9" t="inlineStr"/>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c r="A164" s="9" t="inlineStr"/>
      <c r="B164" s="9" t="inlineStr">
        <is>
          <t>fastmaRching</t>
        </is>
      </c>
      <c r="C164" s="9" t="inlineStr"/>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c r="A165" s="9" t="inlineStr">
        <is>
          <t>fellingdater</t>
        </is>
      </c>
      <c r="B165" s="9" t="inlineStr">
        <is>
          <t>fellingDateR</t>
        </is>
      </c>
      <c r="C165" s="9" t="inlineStr">
        <is>
          <t>high</t>
        </is>
      </c>
      <c r="D165" s="9" t="inlineStr">
        <is>
          <t>Similar names (0.85 similarity) - likely same tool</t>
        </is>
      </c>
      <c r="E165" s="9" t="inlineStr">
        <is>
          <t>Yes, the same</t>
        </is>
      </c>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c r="A166" s="9" t="inlineStr"/>
      <c r="B166" s="9" t="inlineStr">
        <is>
          <t>Fiche Stratigraphique Numérique (FSN)</t>
        </is>
      </c>
      <c r="C166" s="9" t="inlineStr"/>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c r="A167" s="9" t="inlineStr"/>
      <c r="B167" s="9" t="inlineStr">
        <is>
          <t>field-photographs</t>
        </is>
      </c>
      <c r="C167" s="9" t="inlineStr"/>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c r="A168" s="9" t="inlineStr"/>
      <c r="B168" s="9" t="inlineStr">
        <is>
          <t>fieldwalkr</t>
        </is>
      </c>
      <c r="C168" s="9" t="inlineStr"/>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c r="A169" s="9" t="inlineStr">
        <is>
          <t>FieldWorker Advanced 2.3.5</t>
        </is>
      </c>
      <c r="B169" s="9" t="n"/>
      <c r="C169" s="9" t="inlineStr">
        <is>
          <t>low</t>
        </is>
      </c>
      <c r="D169" s="9" t="inlineStr">
        <is>
          <t>Names differ significantly - kept separate</t>
        </is>
      </c>
      <c r="E169" s="9" t="inlineStr">
        <is>
          <t>No, not the same</t>
        </is>
      </c>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c r="A170" s="9" t="n"/>
      <c r="B170" s="9" t="inlineStr">
        <is>
          <t>era</t>
        </is>
      </c>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c r="A171" s="9" t="inlineStr">
        <is>
          <t>FieldWorker Pro 0.91</t>
        </is>
      </c>
      <c r="B171" s="9" t="inlineStr"/>
      <c r="C171" s="9" t="inlineStr"/>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c r="A172" s="9" t="inlineStr">
        <is>
          <t>FilmColors</t>
        </is>
      </c>
      <c r="B172" s="9" t="inlineStr"/>
      <c r="C172" s="9" t="inlineStr"/>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c r="A173" s="9" t="inlineStr"/>
      <c r="B173" s="9" t="inlineStr">
        <is>
          <t>Fix-exif-artist</t>
        </is>
      </c>
      <c r="C173" s="9" t="inlineStr"/>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c r="A174" s="9" t="inlineStr"/>
      <c r="B174" s="9" t="inlineStr">
        <is>
          <t>Ford-Diagram</t>
        </is>
      </c>
      <c r="C174" s="9" t="inlineStr"/>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c r="A175" s="9" t="inlineStr">
        <is>
          <t>Fountain</t>
        </is>
      </c>
      <c r="B175" s="9" t="inlineStr"/>
      <c r="C175" s="9" t="inlineStr"/>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c r="A176" s="9" t="inlineStr"/>
      <c r="B176" s="9" t="inlineStr">
        <is>
          <t>FuzzyViewshed</t>
        </is>
      </c>
      <c r="C176" s="9" t="inlineStr"/>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c r="A177" s="9" t="inlineStr"/>
      <c r="B177" s="9" t="inlineStr">
        <is>
          <t>gamma</t>
        </is>
      </c>
      <c r="C177" s="9" t="inlineStr"/>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c r="A178" s="9" t="inlineStr"/>
      <c r="B178" s="9" t="inlineStr">
        <is>
          <t>geoCore</t>
        </is>
      </c>
      <c r="C178" s="9" t="inlineStr"/>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c r="A179" s="9" t="inlineStr"/>
      <c r="B179" s="9" t="inlineStr">
        <is>
          <t>Geostat</t>
        </is>
      </c>
      <c r="C179" s="9" t="inlineStr"/>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c r="A180" s="9" t="inlineStr">
        <is>
          <t>Gephi</t>
        </is>
      </c>
      <c r="B180" s="9" t="inlineStr"/>
      <c r="C180" s="9" t="inlineStr"/>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c r="A181" s="9" t="inlineStr"/>
      <c r="B181" s="9" t="inlineStr">
        <is>
          <t>GlobaLID-App</t>
        </is>
      </c>
      <c r="C181" s="9" t="inlineStr"/>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c r="A182" s="9" t="inlineStr">
        <is>
          <t>glottospace</t>
        </is>
      </c>
      <c r="B182" s="9" t="inlineStr"/>
      <c r="C182" s="9" t="inlineStr"/>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c r="A183" s="9" t="inlineStr">
        <is>
          <t>glottoTrees</t>
        </is>
      </c>
      <c r="B183" s="9" t="inlineStr"/>
      <c r="C183" s="9" t="inlineStr"/>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c r="A184" s="9" t="inlineStr"/>
      <c r="B184" s="9" t="inlineStr">
        <is>
          <t>GmAMisc</t>
        </is>
      </c>
      <c r="C184" s="9" t="inlineStr"/>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c r="A185" s="9" t="inlineStr">
        <is>
          <t>Grid Machine</t>
        </is>
      </c>
      <c r="B185" s="9" t="inlineStr"/>
      <c r="C185" s="9" t="inlineStr"/>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c r="A186" s="9" t="inlineStr">
        <is>
          <t>gvSIG CE</t>
        </is>
      </c>
      <c r="B186" s="9" t="inlineStr"/>
      <c r="C186" s="9" t="inlineStr"/>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c r="A187" s="9" t="inlineStr"/>
      <c r="B187" s="9" t="inlineStr">
        <is>
          <t>harris-matrix</t>
        </is>
      </c>
      <c r="C187" s="9" t="inlineStr"/>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c r="A188" s="9" t="inlineStr"/>
      <c r="B188" s="9" t="inlineStr">
        <is>
          <t>Harris-matrix-legacy</t>
        </is>
      </c>
      <c r="C188" s="9" t="inlineStr"/>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c r="A189" s="9" t="inlineStr"/>
      <c r="B189" s="9" t="inlineStr">
        <is>
          <t>harris2graph</t>
        </is>
      </c>
      <c r="C189" s="9" t="inlineStr"/>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c r="A190" s="9" t="inlineStr"/>
      <c r="B190" s="9" t="inlineStr">
        <is>
          <t>heurist</t>
        </is>
      </c>
      <c r="C190" s="9" t="inlineStr"/>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c r="A191" s="9" t="inlineStr"/>
      <c r="B191" s="9" t="inlineStr">
        <is>
          <t>historical-geocoding-assistant</t>
        </is>
      </c>
      <c r="C191" s="9" t="inlineStr"/>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c r="A192" s="9" t="inlineStr"/>
      <c r="B192" s="9" t="inlineStr">
        <is>
          <t>hsv-api</t>
        </is>
      </c>
      <c r="C192" s="9" t="inlineStr"/>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c r="A193" s="9" t="inlineStr">
        <is>
          <t>htmlfig</t>
        </is>
      </c>
      <c r="B193" s="9" t="inlineStr"/>
      <c r="C193" s="9" t="inlineStr"/>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c r="A194" s="9" t="inlineStr"/>
      <c r="B194" s="9" t="inlineStr">
        <is>
          <t>HumanOS</t>
        </is>
      </c>
      <c r="C194" s="9" t="inlineStr"/>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c r="A195" s="9" t="inlineStr">
        <is>
          <t>iconr</t>
        </is>
      </c>
      <c r="B195" s="9" t="inlineStr">
        <is>
          <t>iconr</t>
        </is>
      </c>
      <c r="C195" s="9" t="inlineStr">
        <is>
          <t>exact</t>
        </is>
      </c>
      <c r="D195" s="9" t="inlineStr"/>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c r="A196" s="9" t="inlineStr"/>
      <c r="B196" s="9" t="inlineStr">
        <is>
          <t>iDAI.field</t>
        </is>
      </c>
      <c r="C196" s="9" t="inlineStr"/>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c r="A197" s="9" t="inlineStr"/>
      <c r="B197" s="9" t="inlineStr">
        <is>
          <t>idaifieldR</t>
        </is>
      </c>
      <c r="C197" s="9" t="inlineStr"/>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c r="A198" s="9" t="inlineStr">
        <is>
          <t>iDig</t>
        </is>
      </c>
      <c r="B198" s="9" t="inlineStr"/>
      <c r="C198" s="9" t="inlineStr"/>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c r="A199" s="9" t="inlineStr"/>
      <c r="B199" s="9" t="inlineStr">
        <is>
          <t>IntCal</t>
        </is>
      </c>
      <c r="C199" s="9" t="inlineStr"/>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c r="A200" s="9" t="inlineStr">
        <is>
          <t>Intrasis</t>
        </is>
      </c>
      <c r="B200" s="9" t="inlineStr"/>
      <c r="C200" s="9" t="inlineStr"/>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c r="A201" s="9" t="inlineStr"/>
      <c r="B201" s="9" t="inlineStr">
        <is>
          <t>IOSACal</t>
        </is>
      </c>
      <c r="C201" s="9" t="inlineStr"/>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c r="A202" s="9" t="inlineStr"/>
      <c r="B202" s="9" t="inlineStr">
        <is>
          <t>Iraq_mortar</t>
        </is>
      </c>
      <c r="C202" s="9" t="inlineStr"/>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c r="A203" s="9" t="inlineStr"/>
      <c r="B203" s="9" t="inlineStr">
        <is>
          <t>ishtar</t>
        </is>
      </c>
      <c r="C203" s="9" t="inlineStr"/>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c r="A204" s="9" t="inlineStr"/>
      <c r="B204" s="9" t="inlineStr">
        <is>
          <t>isopleuros</t>
        </is>
      </c>
      <c r="C204" s="9" t="inlineStr"/>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c r="A205" s="9" t="inlineStr"/>
      <c r="B205" s="9" t="inlineStr">
        <is>
          <t>ithaca</t>
        </is>
      </c>
      <c r="C205" s="9" t="inlineStr"/>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c r="A206" s="9" t="inlineStr"/>
      <c r="B206" s="9" t="inlineStr">
        <is>
          <t>joint-disease-tool</t>
        </is>
      </c>
      <c r="C206" s="9" t="inlineStr"/>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c r="A207" s="9" t="inlineStr">
        <is>
          <t>kairos</t>
        </is>
      </c>
      <c r="B207" s="9" t="inlineStr">
        <is>
          <t>kairos</t>
        </is>
      </c>
      <c r="C207" s="9" t="inlineStr">
        <is>
          <t>exact</t>
        </is>
      </c>
      <c r="D207" s="9" t="inlineStr"/>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c r="A208" s="9" t="inlineStr"/>
      <c r="B208" s="9" t="inlineStr">
        <is>
          <t>katun</t>
        </is>
      </c>
      <c r="C208" s="9" t="inlineStr"/>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c r="A209" s="9" t="inlineStr">
        <is>
          <t>kdedemo1</t>
        </is>
      </c>
      <c r="B209" s="9" t="inlineStr"/>
      <c r="C209" s="9" t="inlineStr"/>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c r="A210" s="9" t="inlineStr">
        <is>
          <t>kdedemo2</t>
        </is>
      </c>
      <c r="B210" s="9" t="inlineStr"/>
      <c r="C210" s="9" t="inlineStr"/>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c r="A211" s="9" t="inlineStr"/>
      <c r="B211" s="9" t="inlineStr">
        <is>
          <t>khroma</t>
        </is>
      </c>
      <c r="C211" s="9" t="inlineStr"/>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c r="A212" s="9" t="inlineStr"/>
      <c r="B212" s="9" t="inlineStr">
        <is>
          <t>kidstats</t>
        </is>
      </c>
      <c r="C212" s="9" t="inlineStr"/>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c r="A213" s="9" t="inlineStr">
        <is>
          <t>KLRfome</t>
        </is>
      </c>
      <c r="B213" s="9" t="inlineStr"/>
      <c r="C213" s="9" t="inlineStr"/>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c r="A214" s="9" t="inlineStr"/>
      <c r="B214" s="9" t="inlineStr">
        <is>
          <t>Kmeans</t>
        </is>
      </c>
      <c r="C214" s="9" t="inlineStr"/>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c r="A215" s="9" t="inlineStr"/>
      <c r="B215" s="9" t="inlineStr">
        <is>
          <t>kotyle</t>
        </is>
      </c>
      <c r="C215" s="9" t="inlineStr"/>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c r="A216" s="9" t="inlineStr"/>
      <c r="B216" s="9" t="inlineStr">
        <is>
          <t>kriging</t>
        </is>
      </c>
      <c r="C216" s="9" t="inlineStr"/>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c r="A217" s="9" t="inlineStr"/>
      <c r="B217" s="9" t="inlineStr">
        <is>
          <t>LA_ICP_MS-Routines_FMNH</t>
        </is>
      </c>
      <c r="C217" s="9" t="inlineStr"/>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c r="A218" s="9" t="inlineStr"/>
      <c r="B218" s="9" t="inlineStr">
        <is>
          <t>lakhesis</t>
        </is>
      </c>
      <c r="C218" s="9" t="inlineStr"/>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c r="A219" s="9" t="inlineStr">
        <is>
          <t>Land Survey System</t>
        </is>
      </c>
      <c r="B219" s="9" t="inlineStr"/>
      <c r="C219" s="9" t="inlineStr"/>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c r="A220" s="9" t="inlineStr"/>
      <c r="B220" s="9" t="inlineStr">
        <is>
          <t>Le Stratifiant</t>
        </is>
      </c>
      <c r="C220" s="9" t="inlineStr"/>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c r="A221" s="9" t="inlineStr"/>
      <c r="B221" s="9" t="inlineStr">
        <is>
          <t>leastcostpath</t>
        </is>
      </c>
      <c r="C221" s="9" t="inlineStr"/>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c r="A222" s="9" t="inlineStr"/>
      <c r="B222" s="9" t="inlineStr">
        <is>
          <t>lecAAR</t>
        </is>
      </c>
      <c r="C222" s="9" t="inlineStr"/>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c r="A223" s="9" t="inlineStr">
        <is>
          <t>LifeForms</t>
        </is>
      </c>
      <c r="B223" s="9" t="inlineStr"/>
      <c r="C223" s="9" t="inlineStr"/>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c r="A224" s="9" t="inlineStr">
        <is>
          <t>lingtypology</t>
        </is>
      </c>
      <c r="B224" s="9" t="inlineStr"/>
      <c r="C224" s="9" t="inlineStr"/>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c r="A225" s="9" t="inlineStr">
        <is>
          <t>lingtypR</t>
        </is>
      </c>
      <c r="B225" s="9" t="inlineStr"/>
      <c r="C225" s="9" t="inlineStr"/>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c r="A226" s="9" t="inlineStr"/>
      <c r="B226" s="9" t="inlineStr">
        <is>
          <t>LISA</t>
        </is>
      </c>
      <c r="C226" s="9" t="inlineStr"/>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c r="A227" s="9" t="inlineStr"/>
      <c r="B227" s="9" t="inlineStr">
        <is>
          <t>lithic3dslicer</t>
        </is>
      </c>
      <c r="C227" s="9" t="inlineStr"/>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c r="A228" s="9" t="inlineStr"/>
      <c r="B228" s="9" t="inlineStr">
        <is>
          <t>Lithics3D</t>
        </is>
      </c>
      <c r="C228" s="9" t="inlineStr"/>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c r="A229" s="9" t="inlineStr"/>
      <c r="B229" s="9" t="inlineStr">
        <is>
          <t>long-bone-diaphyseal-CSG-Toolkit</t>
        </is>
      </c>
      <c r="C229" s="9" t="inlineStr"/>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c r="A230" s="9" t="inlineStr">
        <is>
          <t>Luminescence</t>
        </is>
      </c>
      <c r="B230" s="9" t="inlineStr">
        <is>
          <t>Luminescence</t>
        </is>
      </c>
      <c r="C230" s="9" t="inlineStr">
        <is>
          <t>exact</t>
        </is>
      </c>
      <c r="D230" s="9" t="inlineStr"/>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c r="A231" s="9" t="inlineStr"/>
      <c r="B231" s="9" t="inlineStr">
        <is>
          <t>LumReader</t>
        </is>
      </c>
      <c r="C231" s="9" t="inlineStr"/>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c r="A232" s="9" t="inlineStr"/>
      <c r="B232" s="9" t="inlineStr">
        <is>
          <t>maacgis</t>
        </is>
      </c>
      <c r="C232" s="9" t="inlineStr"/>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c r="A233" s="9" t="inlineStr"/>
      <c r="B233" s="9" t="inlineStr">
        <is>
          <t>mafa</t>
        </is>
      </c>
      <c r="C233" s="9" t="inlineStr"/>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c r="A234" s="9" t="inlineStr"/>
      <c r="B234" s="9" t="inlineStr">
        <is>
          <t>magAAR</t>
        </is>
      </c>
      <c r="C234" s="9" t="inlineStr"/>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c r="A235" s="9" t="inlineStr">
        <is>
          <t>MapReader</t>
        </is>
      </c>
      <c r="B235" s="9" t="inlineStr"/>
      <c r="C235" s="9" t="inlineStr"/>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c r="A236" s="9" t="inlineStr"/>
      <c r="B236" s="9" t="inlineStr">
        <is>
          <t>marbleplan</t>
        </is>
      </c>
      <c r="C236" s="9" t="inlineStr"/>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c r="A237" s="9" t="inlineStr">
        <is>
          <t>MASA consortium</t>
        </is>
      </c>
      <c r="B237" s="9" t="n"/>
      <c r="C237" s="9" t="inlineStr">
        <is>
          <t>low</t>
        </is>
      </c>
      <c r="D237" s="9" t="inlineStr">
        <is>
          <t>Names differ significantly - kept separate</t>
        </is>
      </c>
      <c r="E237" s="9" t="inlineStr">
        <is>
          <t>No, not the same</t>
        </is>
      </c>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c r="A238" s="9" t="n"/>
      <c r="B238" s="9" t="inlineStr">
        <is>
          <t>rti</t>
        </is>
      </c>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c r="A239" s="9" t="inlineStr">
        <is>
          <t>Mask R-CNN</t>
        </is>
      </c>
      <c r="B239" s="9" t="inlineStr"/>
      <c r="C239" s="9" t="inlineStr"/>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c r="A240" s="9" t="inlineStr"/>
      <c r="B240" s="9" t="inlineStr">
        <is>
          <t>Mask_UAV</t>
        </is>
      </c>
      <c r="C240" s="9" t="inlineStr"/>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c r="A241" s="9" t="inlineStr">
        <is>
          <t>Matrix Manager</t>
        </is>
      </c>
      <c r="B241" s="9" t="inlineStr"/>
      <c r="C241" s="9" t="inlineStr"/>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c r="A242" s="9" t="inlineStr"/>
      <c r="B242" s="9" t="inlineStr">
        <is>
          <t>MAX</t>
        </is>
      </c>
      <c r="C242" s="9" t="inlineStr"/>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c r="A243" s="9" t="inlineStr"/>
      <c r="B243" s="9" t="inlineStr">
        <is>
          <t>maya-calendar</t>
        </is>
      </c>
      <c r="C243" s="9" t="inlineStr"/>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c r="A244" s="9" t="inlineStr"/>
      <c r="B244" s="9" t="inlineStr">
        <is>
          <t>Mean-Ceramic-Date-and-Error-Estimation</t>
        </is>
      </c>
      <c r="C244" s="9" t="inlineStr"/>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c r="A245" s="9" t="inlineStr"/>
      <c r="B245" s="9" t="inlineStr">
        <is>
          <t>meshlab</t>
        </is>
      </c>
      <c r="C245" s="9" t="inlineStr"/>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c r="A246" s="9" t="inlineStr">
        <is>
          <t>MicroStation</t>
        </is>
      </c>
      <c r="B246" s="9" t="inlineStr"/>
      <c r="C246" s="9" t="inlineStr"/>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c r="A247" s="9" t="inlineStr">
        <is>
          <t>Microware</t>
        </is>
      </c>
      <c r="B247" s="9" t="inlineStr"/>
      <c r="C247" s="9" t="inlineStr"/>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c r="A248" s="9" t="inlineStr"/>
      <c r="B248" s="9" t="inlineStr">
        <is>
          <t>missing</t>
        </is>
      </c>
      <c r="C248" s="9" t="inlineStr"/>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c r="A249" s="9" t="inlineStr"/>
      <c r="B249" s="9" t="inlineStr">
        <is>
          <t>mobest</t>
        </is>
      </c>
      <c r="C249" s="9" t="inlineStr"/>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c r="A250" s="9" t="inlineStr"/>
      <c r="B250" s="9" t="inlineStr">
        <is>
          <t>MoDuLAAR</t>
        </is>
      </c>
      <c r="C250" s="9" t="inlineStr"/>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c r="A251" s="9" t="inlineStr"/>
      <c r="B251" s="9" t="inlineStr">
        <is>
          <t>morphalr</t>
        </is>
      </c>
      <c r="C251" s="9" t="inlineStr"/>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c r="A252" s="9" t="inlineStr"/>
      <c r="B252" s="9" t="inlineStr">
        <is>
          <t>morphotype</t>
        </is>
      </c>
      <c r="C252" s="9" t="inlineStr"/>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c r="A253" s="9" t="inlineStr"/>
      <c r="B253" s="9" t="inlineStr">
        <is>
          <t>morphotypeShiny</t>
        </is>
      </c>
      <c r="C253" s="9" t="inlineStr"/>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c r="A254" s="9" t="inlineStr"/>
      <c r="B254" s="9" t="inlineStr">
        <is>
          <t>mortAAR</t>
        </is>
      </c>
      <c r="C254" s="9" t="inlineStr"/>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c r="A255" s="9" t="inlineStr"/>
      <c r="B255" s="9" t="inlineStr">
        <is>
          <t>MtreeRing</t>
        </is>
      </c>
      <c r="C255" s="9" t="inlineStr"/>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c r="A256" s="9" t="inlineStr"/>
      <c r="B256" s="9" t="inlineStr">
        <is>
          <t>munsell</t>
        </is>
      </c>
      <c r="C256" s="9" t="inlineStr"/>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c r="A257" s="9" t="inlineStr"/>
      <c r="B257" s="9" t="inlineStr">
        <is>
          <t>munsell-plot.R</t>
        </is>
      </c>
      <c r="C257" s="9" t="inlineStr"/>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c r="A258" s="9" t="inlineStr"/>
      <c r="B258" s="9" t="inlineStr">
        <is>
          <t>murature</t>
        </is>
      </c>
      <c r="C258" s="9" t="inlineStr"/>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c r="A259" s="9" t="inlineStr"/>
      <c r="B259" s="9" t="inlineStr">
        <is>
          <t>NAA analytical dashboard</t>
        </is>
      </c>
      <c r="C259" s="9" t="inlineStr"/>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c r="A260" s="9" t="inlineStr"/>
      <c r="B260" s="9" t="inlineStr">
        <is>
          <t>Near-Presence-Analysis</t>
        </is>
      </c>
      <c r="C260" s="9" t="inlineStr"/>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c r="A261" s="9" t="inlineStr"/>
      <c r="B261" s="9" t="inlineStr">
        <is>
          <t>nearpresence</t>
        </is>
      </c>
      <c r="C261" s="9" t="inlineStr"/>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c r="A262" s="9" t="inlineStr"/>
      <c r="B262" s="9" t="inlineStr">
        <is>
          <t>neiman1995</t>
        </is>
      </c>
      <c r="C262" s="9" t="inlineStr"/>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c r="A263" s="9" t="inlineStr"/>
      <c r="B263" s="9" t="inlineStr">
        <is>
          <t>neolithicR</t>
        </is>
      </c>
      <c r="C263" s="9" t="inlineStr"/>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c r="A264" s="9" t="inlineStr"/>
      <c r="B264" s="9" t="inlineStr">
        <is>
          <t>neonet</t>
        </is>
      </c>
      <c r="C264" s="9" t="inlineStr"/>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c r="A265" s="9" t="inlineStr"/>
      <c r="B265" s="9" t="inlineStr">
        <is>
          <t>neotoma</t>
        </is>
      </c>
      <c r="C265" s="9" t="inlineStr"/>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c r="A266" s="9" t="inlineStr"/>
      <c r="B266" s="9" t="inlineStr">
        <is>
          <t>nervia</t>
        </is>
      </c>
      <c r="C266" s="9" t="inlineStr"/>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c r="A267" s="9" t="inlineStr"/>
      <c r="B267" s="9" t="inlineStr">
        <is>
          <t>nexus</t>
        </is>
      </c>
      <c r="C267" s="9" t="inlineStr"/>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c r="A268" s="9" t="inlineStr"/>
      <c r="B268" s="9" t="inlineStr">
        <is>
          <t>nimbleCarbon</t>
        </is>
      </c>
      <c r="C268" s="9" t="inlineStr"/>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c r="A269" s="9" t="inlineStr"/>
      <c r="B269" s="9" t="inlineStr">
        <is>
          <t>non-metric-trait-analysis</t>
        </is>
      </c>
      <c r="C269" s="9" t="inlineStr"/>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c r="A270" s="9" t="inlineStr">
        <is>
          <t>OASIS</t>
        </is>
      </c>
      <c r="B270" s="9" t="inlineStr"/>
      <c r="C270" s="9" t="inlineStr"/>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c r="A271" s="9" t="inlineStr"/>
      <c r="B271" s="9" t="inlineStr">
        <is>
          <t>ODK-forms-archaeology</t>
        </is>
      </c>
      <c r="C271" s="9" t="inlineStr"/>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c r="A272" s="9" t="inlineStr"/>
      <c r="B272" s="9" t="inlineStr">
        <is>
          <t>ODKArchForms</t>
        </is>
      </c>
      <c r="C272" s="9" t="inlineStr"/>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c r="A273" s="9" t="inlineStr"/>
      <c r="B273" s="9" t="inlineStr">
        <is>
          <t>Open History Map</t>
        </is>
      </c>
      <c r="C273" s="9" t="inlineStr"/>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c r="A274" s="9" t="inlineStr"/>
      <c r="B274" s="9" t="inlineStr">
        <is>
          <t>open-context-py</t>
        </is>
      </c>
      <c r="C274" s="9" t="inlineStr"/>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c r="A275" s="9" t="inlineStr"/>
      <c r="B275" s="9" t="inlineStr">
        <is>
          <t>OpenAtlas</t>
        </is>
      </c>
      <c r="C275" s="9" t="inlineStr"/>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c r="A276" s="9" t="inlineStr"/>
      <c r="B276" s="9" t="inlineStr">
        <is>
          <t>opencontext</t>
        </is>
      </c>
      <c r="C276" s="9" t="inlineStr"/>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c r="A277" s="9" t="inlineStr"/>
      <c r="B277" s="9" t="inlineStr">
        <is>
          <t>OpenLidarToolbox</t>
        </is>
      </c>
      <c r="C277" s="9" t="inlineStr"/>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c r="A278" s="9" t="inlineStr"/>
      <c r="B278" s="9" t="inlineStr">
        <is>
          <t>osl_calibration.r</t>
        </is>
      </c>
      <c r="C278" s="9" t="inlineStr"/>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c r="A279" s="9" t="inlineStr"/>
      <c r="B279" s="9" t="inlineStr">
        <is>
          <t>osteoGIS</t>
        </is>
      </c>
      <c r="C279" s="9" t="inlineStr"/>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c r="A280" s="9" t="inlineStr"/>
      <c r="B280" s="9" t="inlineStr">
        <is>
          <t>osteometric-sorting</t>
        </is>
      </c>
      <c r="C280" s="9" t="inlineStr"/>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c r="A281" s="9" t="inlineStr"/>
      <c r="B281" s="9" t="inlineStr">
        <is>
          <t>outliner</t>
        </is>
      </c>
      <c r="C281" s="9" t="inlineStr"/>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c r="A282" s="9" t="inlineStr"/>
      <c r="B282" s="9" t="inlineStr">
        <is>
          <t>outlineR</t>
        </is>
      </c>
      <c r="C282" s="9" t="inlineStr"/>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c r="A283" s="9" t="inlineStr">
        <is>
          <t>oxcAAR</t>
        </is>
      </c>
      <c r="B283" s="9" t="inlineStr">
        <is>
          <t>oxcAAR</t>
        </is>
      </c>
      <c r="C283" s="9" t="inlineStr">
        <is>
          <t>exact</t>
        </is>
      </c>
      <c r="D283" s="9" t="inlineStr"/>
      <c r="E283" s="9" t="inlineStr">
        <is>
          <t>yes</t>
        </is>
      </c>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c r="A284" s="9" t="inlineStr">
        <is>
          <t>OxCal</t>
        </is>
      </c>
      <c r="B284" s="9" t="n"/>
      <c r="C284" s="9" t="inlineStr">
        <is>
          <t>low</t>
        </is>
      </c>
      <c r="D284" s="9" t="inlineStr">
        <is>
          <t>Names differ significantly - kept separate</t>
        </is>
      </c>
      <c r="E284" s="9" t="inlineStr">
        <is>
          <t>No, 'ca' deleted again</t>
        </is>
      </c>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c r="A285" s="9" t="inlineStr"/>
      <c r="B285" s="9" t="inlineStr">
        <is>
          <t>p2pPerm</t>
        </is>
      </c>
      <c r="C285" s="9" t="inlineStr"/>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c r="A286" s="9" t="inlineStr"/>
      <c r="B286" s="9" t="inlineStr">
        <is>
          <t>p3k14c-data-scrubbing</t>
        </is>
      </c>
      <c r="C286" s="9" t="inlineStr"/>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c r="A287" s="9" t="inlineStr"/>
      <c r="B287" s="9" t="inlineStr">
        <is>
          <t>paleocar</t>
        </is>
      </c>
      <c r="C287" s="9" t="inlineStr"/>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c r="A288" s="9" t="inlineStr"/>
      <c r="B288" s="9" t="inlineStr">
        <is>
          <t>paleocore</t>
        </is>
      </c>
      <c r="C288" s="9" t="inlineStr"/>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c r="A289" s="9" t="inlineStr"/>
      <c r="B289" s="9" t="inlineStr">
        <is>
          <t>paleocoreR</t>
        </is>
      </c>
      <c r="C289" s="9" t="inlineStr"/>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c r="A290" s="9" t="inlineStr"/>
      <c r="B290" s="9" t="inlineStr">
        <is>
          <t>paleofire</t>
        </is>
      </c>
      <c r="C290" s="9" t="inlineStr"/>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c r="A291" s="9" t="inlineStr"/>
      <c r="B291" s="9" t="inlineStr">
        <is>
          <t>paleoxrf</t>
        </is>
      </c>
      <c r="C291" s="9" t="inlineStr"/>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c r="A292" s="9" t="inlineStr"/>
      <c r="B292" s="9" t="inlineStr">
        <is>
          <t>pastclim</t>
        </is>
      </c>
      <c r="C292" s="9" t="inlineStr"/>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c r="A293" s="9" t="inlineStr"/>
      <c r="B293" s="9" t="inlineStr">
        <is>
          <t>pathAAR</t>
        </is>
      </c>
      <c r="C293" s="9" t="inlineStr"/>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c r="A294" s="9" t="inlineStr"/>
      <c r="B294" s="9" t="inlineStr">
        <is>
          <t>pdf-to-nested-xml</t>
        </is>
      </c>
      <c r="C294" s="9" t="inlineStr"/>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c r="A295" s="9" t="inlineStr">
        <is>
          <t>Perseus 2.0</t>
        </is>
      </c>
      <c r="B295" s="9" t="inlineStr"/>
      <c r="C295" s="9" t="inlineStr"/>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c r="A296" s="9" t="inlineStr"/>
      <c r="B296" s="9" t="inlineStr">
        <is>
          <t>photogrammetry-object-scannner</t>
        </is>
      </c>
      <c r="C296" s="9" t="inlineStr"/>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c r="A297" s="9" t="inlineStr">
        <is>
          <t>Photomodeller</t>
        </is>
      </c>
      <c r="B297" s="9" t="inlineStr"/>
      <c r="C297" s="9" t="inlineStr"/>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c r="A298" s="9" t="inlineStr"/>
      <c r="B298" s="9" t="inlineStr">
        <is>
          <t>piwigo-3dhop</t>
        </is>
      </c>
      <c r="C298" s="9" t="inlineStr"/>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c r="A299" s="9" t="inlineStr"/>
      <c r="B299" s="9" t="inlineStr">
        <is>
          <t>PLC</t>
        </is>
      </c>
      <c r="C299" s="9" t="inlineStr"/>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c r="A300" s="9" t="inlineStr"/>
      <c r="B300" s="9" t="inlineStr">
        <is>
          <t>PleistoDist</t>
        </is>
      </c>
      <c r="C300" s="9" t="inlineStr"/>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c r="A301" s="9" t="inlineStr"/>
      <c r="B301" s="9" t="inlineStr">
        <is>
          <t>PleistoDistR</t>
        </is>
      </c>
      <c r="C301" s="9" t="inlineStr"/>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c r="A302" s="9" t="inlineStr">
        <is>
          <t>pnuts</t>
        </is>
      </c>
      <c r="B302" s="9" t="inlineStr"/>
      <c r="C302" s="9" t="inlineStr"/>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c r="A303" s="9" t="inlineStr"/>
      <c r="B303" s="9" t="inlineStr">
        <is>
          <t>PointPattern</t>
        </is>
      </c>
      <c r="C303" s="9" t="inlineStr"/>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c r="A304" s="9" t="inlineStr"/>
      <c r="B304" s="9" t="inlineStr">
        <is>
          <t>pollen_data_processing</t>
        </is>
      </c>
      <c r="C304" s="9" t="inlineStr"/>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c r="A305" s="9" t="inlineStr"/>
      <c r="B305" s="9" t="inlineStr">
        <is>
          <t>pollencount</t>
        </is>
      </c>
      <c r="C305" s="9" t="inlineStr"/>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c r="A306" s="9" t="inlineStr">
        <is>
          <t>Polynomial Texture Mapping (PTM)</t>
        </is>
      </c>
      <c r="B306" s="9" t="inlineStr"/>
      <c r="C306" s="9" t="inlineStr"/>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c r="A307" s="9" t="inlineStr"/>
      <c r="B307" s="9" t="inlineStr">
        <is>
          <t>poseidon-framework</t>
        </is>
      </c>
      <c r="C307" s="9" t="inlineStr"/>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c r="A308" s="9" t="inlineStr"/>
      <c r="B308" s="9" t="inlineStr">
        <is>
          <t>postAAR</t>
        </is>
      </c>
      <c r="C308" s="9" t="inlineStr"/>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c r="A309" s="9" t="inlineStr"/>
      <c r="B309" s="9" t="inlineStr">
        <is>
          <t>postAAR-python</t>
        </is>
      </c>
      <c r="C309" s="9" t="inlineStr"/>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c r="A310" s="9" t="inlineStr"/>
      <c r="B310" s="9" t="inlineStr">
        <is>
          <t>predictSource</t>
        </is>
      </c>
      <c r="C310" s="9" t="inlineStr"/>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c r="A311" s="9" t="inlineStr"/>
      <c r="B311" s="9" t="inlineStr">
        <is>
          <t>profileAAR</t>
        </is>
      </c>
      <c r="C311" s="9" t="inlineStr"/>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c r="A312" s="9" t="inlineStr"/>
      <c r="B312" s="9" t="inlineStr">
        <is>
          <t>pXRF</t>
        </is>
      </c>
      <c r="C312" s="9" t="inlineStr"/>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c r="A313" s="9" t="inlineStr"/>
      <c r="B313" s="9" t="inlineStr">
        <is>
          <t>pyArchInit</t>
        </is>
      </c>
      <c r="C313" s="9" t="inlineStr"/>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c r="A314" s="9" t="inlineStr">
        <is>
          <t>PyCoCu</t>
        </is>
      </c>
      <c r="B314" s="9" t="inlineStr"/>
      <c r="C314" s="9" t="inlineStr"/>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c r="A315" s="9" t="inlineStr"/>
      <c r="B315" s="9" t="inlineStr">
        <is>
          <t>pygeoroc</t>
        </is>
      </c>
      <c r="C315" s="9" t="inlineStr"/>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c r="A316" s="9" t="inlineStr">
        <is>
          <t>PyLithics</t>
        </is>
      </c>
      <c r="B316" s="9" t="inlineStr"/>
      <c r="C316" s="9" t="inlineStr"/>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c r="A317" s="9" t="inlineStr"/>
      <c r="B317" s="9" t="inlineStr">
        <is>
          <t>pypofatu</t>
        </is>
      </c>
      <c r="C317" s="9" t="inlineStr"/>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c r="A318" s="9" t="inlineStr"/>
      <c r="B318" s="9" t="inlineStr">
        <is>
          <t>QGIS-scripts</t>
        </is>
      </c>
      <c r="C318" s="9" t="inlineStr"/>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c r="A319" s="9" t="inlineStr"/>
      <c r="B319" s="9" t="inlineStr">
        <is>
          <t>QGIS-topographic-networks</t>
        </is>
      </c>
      <c r="C319" s="9" t="inlineStr"/>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c r="A320" s="9" t="inlineStr"/>
      <c r="B320" s="9" t="inlineStr">
        <is>
          <t>QGIS-visibility-analysis</t>
        </is>
      </c>
      <c r="C320" s="9" t="inlineStr"/>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c r="A321" s="9" t="inlineStr">
        <is>
          <t>qlcData</t>
        </is>
      </c>
      <c r="B321" s="9" t="inlineStr"/>
      <c r="C321" s="9" t="inlineStr"/>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c r="A322" s="9" t="inlineStr"/>
      <c r="B322" s="9" t="inlineStr">
        <is>
          <t>qrcode-storage</t>
        </is>
      </c>
      <c r="C322" s="9" t="inlineStr"/>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c r="A323" s="9" t="inlineStr"/>
      <c r="B323" s="9" t="inlineStr">
        <is>
          <t>quantAAR</t>
        </is>
      </c>
      <c r="C323" s="9" t="inlineStr"/>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c r="A324" s="9" t="inlineStr"/>
      <c r="B324" s="9" t="inlineStr">
        <is>
          <t>quantatools</t>
        </is>
      </c>
      <c r="C324" s="9" t="inlineStr"/>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c r="A325" s="9" t="inlineStr"/>
      <c r="B325" s="9" t="inlineStr">
        <is>
          <t>quantum-archeo</t>
        </is>
      </c>
      <c r="C325" s="9" t="inlineStr"/>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c r="A326" s="9" t="inlineStr"/>
      <c r="B326" s="9" t="inlineStr">
        <is>
          <t>QuARI</t>
        </is>
      </c>
      <c r="C326" s="9" t="inlineStr"/>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c r="A327" s="9" t="inlineStr"/>
      <c r="B327" s="9" t="inlineStr">
        <is>
          <t>racisminarchy</t>
        </is>
      </c>
      <c r="C327" s="9" t="inlineStr"/>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c r="A328" s="9" t="inlineStr"/>
      <c r="B328" s="9" t="inlineStr">
        <is>
          <t>RACORD</t>
        </is>
      </c>
      <c r="C328" s="9" t="inlineStr"/>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c r="A329" s="9" t="inlineStr"/>
      <c r="B329" s="9" t="inlineStr">
        <is>
          <t>radiocarbon-scrapers</t>
        </is>
      </c>
      <c r="C329" s="9" t="inlineStr"/>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c r="A330" s="9" t="inlineStr"/>
      <c r="B330" s="9" t="inlineStr">
        <is>
          <t>radon</t>
        </is>
      </c>
      <c r="C330" s="9" t="inlineStr"/>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c r="A331" s="9" t="inlineStr"/>
      <c r="B331" s="9" t="inlineStr">
        <is>
          <t>rbacon</t>
        </is>
      </c>
      <c r="C331" s="9" t="inlineStr"/>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c r="A332" s="9" t="inlineStr"/>
      <c r="B332" s="9" t="inlineStr">
        <is>
          <t>Rcarb</t>
        </is>
      </c>
      <c r="C332" s="9" t="inlineStr"/>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c r="A333" s="9" t="inlineStr">
        <is>
          <t>rcarbon</t>
        </is>
      </c>
      <c r="B333" s="9" t="inlineStr">
        <is>
          <t>rcarbon</t>
        </is>
      </c>
      <c r="C333" s="9" t="inlineStr">
        <is>
          <t>exact</t>
        </is>
      </c>
      <c r="D333" s="9" t="inlineStr"/>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c r="A334" s="9" t="inlineStr"/>
      <c r="B334" s="9" t="inlineStr">
        <is>
          <t>rdss</t>
        </is>
      </c>
      <c r="C334" s="9" t="inlineStr"/>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c r="A335" s="9" t="inlineStr">
        <is>
          <t>recexcavAAR</t>
        </is>
      </c>
      <c r="B335" s="9" t="inlineStr">
        <is>
          <t>recexcavAAR</t>
        </is>
      </c>
      <c r="C335" s="9" t="inlineStr">
        <is>
          <t>exact</t>
        </is>
      </c>
      <c r="D335" s="9" t="inlineStr"/>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c r="A336" s="9" t="inlineStr"/>
      <c r="B336" s="9" t="inlineStr">
        <is>
          <t>recmod</t>
        </is>
      </c>
      <c r="C336" s="9" t="inlineStr"/>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c r="A337" s="9" t="inlineStr"/>
      <c r="B337" s="9" t="inlineStr">
        <is>
          <t>rekrei</t>
        </is>
      </c>
      <c r="C337" s="9" t="inlineStr"/>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c r="A338" s="9" t="inlineStr"/>
      <c r="B338" s="9" t="inlineStr">
        <is>
          <t>RGPR</t>
        </is>
      </c>
      <c r="C338" s="9" t="inlineStr"/>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c r="A339" s="9" t="inlineStr">
        <is>
          <t>Rhino for AutoCAD</t>
        </is>
      </c>
      <c r="B339" s="9" t="n"/>
      <c r="C339" s="9" t="inlineStr">
        <is>
          <t>low</t>
        </is>
      </c>
      <c r="D339" s="9" t="inlineStr">
        <is>
          <t>Names differ significantly - kept separate</t>
        </is>
      </c>
      <c r="E339" s="9" t="inlineStr">
        <is>
          <t>No, 'ca' deleted again</t>
        </is>
      </c>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c r="A340" s="9" t="inlineStr"/>
      <c r="B340" s="9" t="inlineStr">
        <is>
          <t>rintchron</t>
        </is>
      </c>
      <c r="C340" s="9" t="inlineStr"/>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c r="A341" s="9" t="inlineStr"/>
      <c r="B341" s="9" t="inlineStr">
        <is>
          <t>RJradiocarbon</t>
        </is>
      </c>
      <c r="C341" s="9" t="inlineStr"/>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c r="A342" s="9" t="inlineStr"/>
      <c r="B342" s="9" t="inlineStr">
        <is>
          <t>RLumModel</t>
        </is>
      </c>
      <c r="C342" s="9" t="inlineStr"/>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c r="A343" s="9" t="inlineStr"/>
      <c r="B343" s="9" t="inlineStr">
        <is>
          <t>rock-art-radnet</t>
        </is>
      </c>
      <c r="C343" s="9" t="inlineStr"/>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c r="A344" s="9" t="inlineStr"/>
      <c r="B344" s="9" t="inlineStr">
        <is>
          <t>rock-art-ratopoviz</t>
        </is>
      </c>
      <c r="C344" s="9" t="inlineStr"/>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c r="A345" s="9" t="inlineStr"/>
      <c r="B345" s="9" t="inlineStr">
        <is>
          <t>rock-art-transfer-learning</t>
        </is>
      </c>
      <c r="C345" s="9" t="inlineStr"/>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c r="A346" s="9" t="inlineStr"/>
      <c r="B346" s="9" t="inlineStr">
        <is>
          <t>rockart-textanalysis</t>
        </is>
      </c>
      <c r="C346" s="9" t="inlineStr"/>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c r="A347" s="9" t="inlineStr"/>
      <c r="B347" s="9" t="inlineStr">
        <is>
          <t>roev</t>
        </is>
      </c>
      <c r="C347" s="9" t="inlineStr"/>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c r="A348" s="9" t="inlineStr"/>
      <c r="B348" s="9" t="inlineStr">
        <is>
          <t>RoomAccum</t>
        </is>
      </c>
      <c r="C348" s="9" t="inlineStr"/>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c r="A349" s="9" t="inlineStr"/>
      <c r="B349" s="9" t="inlineStr">
        <is>
          <t>rpaleoclim</t>
        </is>
      </c>
      <c r="C349" s="9" t="inlineStr"/>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c r="A350" s="9" t="inlineStr"/>
      <c r="B350" s="9" t="inlineStr">
        <is>
          <t>rtfact</t>
        </is>
      </c>
      <c r="C350" s="9" t="inlineStr"/>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c r="A351" s="9" t="inlineStr"/>
      <c r="B351" s="9" t="inlineStr">
        <is>
          <t>RTIBuilder</t>
        </is>
      </c>
      <c r="C351" s="9" t="inlineStr"/>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c r="A352" s="9" t="inlineStr"/>
      <c r="B352" s="9" t="inlineStr">
        <is>
          <t>RTIViewer</t>
        </is>
      </c>
      <c r="C352" s="9" t="inlineStr"/>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c r="A353" s="9" t="inlineStr"/>
      <c r="B353" s="9" t="inlineStr">
        <is>
          <t>ruby-radiocarbon</t>
        </is>
      </c>
      <c r="C353" s="9" t="inlineStr"/>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c r="A354" s="9" t="inlineStr"/>
      <c r="B354" s="9" t="inlineStr">
        <is>
          <t>rxylib</t>
        </is>
      </c>
      <c r="C354" s="9" t="inlineStr"/>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c r="A355" s="9" t="inlineStr">
        <is>
          <t>SASSA (web-based system)</t>
        </is>
      </c>
      <c r="B355" s="9" t="inlineStr"/>
      <c r="C355" s="9" t="inlineStr"/>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c r="A356" s="9" t="inlineStr"/>
      <c r="B356" s="9" t="inlineStr">
        <is>
          <t>SCEM</t>
        </is>
      </c>
      <c r="C356" s="9" t="inlineStr"/>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c r="A357" s="9" t="inlineStr">
        <is>
          <t>Scripto</t>
        </is>
      </c>
      <c r="B357" s="9" t="inlineStr"/>
      <c r="C357" s="9" t="inlineStr"/>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c r="A358" s="9" t="inlineStr"/>
      <c r="B358" s="9" t="inlineStr">
        <is>
          <t>sdsanalysis</t>
        </is>
      </c>
      <c r="C358" s="9" t="inlineStr"/>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c r="A359" s="9" t="inlineStr"/>
      <c r="B359" s="9" t="inlineStr">
        <is>
          <t>sdsbrowser</t>
        </is>
      </c>
      <c r="C359" s="9" t="inlineStr"/>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c r="A360" s="9" t="inlineStr">
        <is>
          <t>SEAHORS</t>
        </is>
      </c>
      <c r="B360" s="9" t="inlineStr">
        <is>
          <t>SEAHORS</t>
        </is>
      </c>
      <c r="C360" s="9" t="inlineStr">
        <is>
          <t>exact</t>
        </is>
      </c>
      <c r="D360" s="9" t="inlineStr"/>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c r="A361" s="9" t="inlineStr"/>
      <c r="B361" s="9" t="inlineStr">
        <is>
          <t>senscape</t>
        </is>
      </c>
      <c r="C361" s="9" t="inlineStr"/>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c r="A362" s="9" t="inlineStr"/>
      <c r="B362" s="9" t="inlineStr">
        <is>
          <t>seriation</t>
        </is>
      </c>
      <c r="C362" s="9" t="inlineStr"/>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c r="A363" s="9" t="inlineStr"/>
      <c r="B363" s="9" t="inlineStr">
        <is>
          <t>Seriation</t>
        </is>
      </c>
      <c r="C363" s="9" t="inlineStr"/>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c r="A364" s="9" t="inlineStr"/>
      <c r="B364" s="9" t="inlineStr">
        <is>
          <t>Sériation de matrice en présence/absence</t>
        </is>
      </c>
      <c r="C364" s="9" t="inlineStr"/>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c r="A365" s="9" t="inlineStr"/>
      <c r="B365" s="9" t="inlineStr">
        <is>
          <t>Seriographe EPPM</t>
        </is>
      </c>
      <c r="C365" s="9" t="inlineStr"/>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c r="A366" s="9" t="inlineStr"/>
      <c r="B366" s="9" t="inlineStr">
        <is>
          <t>SexEst</t>
        </is>
      </c>
      <c r="C366" s="9" t="inlineStr"/>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c r="A367" s="9" t="inlineStr"/>
      <c r="B367" s="9" t="inlineStr">
        <is>
          <t>shapAAR</t>
        </is>
      </c>
      <c r="C367" s="9" t="inlineStr"/>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c r="A368" s="9" t="inlineStr"/>
      <c r="B368" s="9" t="inlineStr">
        <is>
          <t>shiny_DRAC</t>
        </is>
      </c>
      <c r="C368" s="9" t="inlineStr"/>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c r="A369" s="9" t="inlineStr"/>
      <c r="B369" s="9" t="inlineStr">
        <is>
          <t>shiny_Tldating</t>
        </is>
      </c>
      <c r="C369" s="9" t="inlineStr"/>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c r="A370" s="9" t="inlineStr"/>
      <c r="B370" s="9" t="inlineStr">
        <is>
          <t>shkrdata</t>
        </is>
      </c>
      <c r="C370" s="9" t="inlineStr"/>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c r="A371" s="9" t="inlineStr"/>
      <c r="B371" s="9" t="inlineStr">
        <is>
          <t>shootpoints-web-api</t>
        </is>
      </c>
      <c r="C371" s="9" t="inlineStr"/>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c r="A372" s="9" t="inlineStr"/>
      <c r="B372" s="9" t="inlineStr">
        <is>
          <t>shootpoints-web-frontend</t>
        </is>
      </c>
      <c r="C372" s="9" t="inlineStr"/>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c r="A373" s="9" t="inlineStr">
        <is>
          <t>shoredate</t>
        </is>
      </c>
      <c r="B373" s="9" t="inlineStr">
        <is>
          <t>shoredate</t>
        </is>
      </c>
      <c r="C373" s="9" t="inlineStr">
        <is>
          <t>exact</t>
        </is>
      </c>
      <c r="D373" s="9" t="inlineStr"/>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c r="A374" s="9" t="inlineStr"/>
      <c r="B374" s="9" t="inlineStr">
        <is>
          <t>signboardr</t>
        </is>
      </c>
      <c r="C374" s="9" t="inlineStr"/>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c r="A375" s="9" t="inlineStr"/>
      <c r="B375" s="9" t="inlineStr">
        <is>
          <t>sindwem</t>
        </is>
      </c>
      <c r="C375" s="9" t="inlineStr"/>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c r="A376" s="9" t="inlineStr"/>
      <c r="B376" s="9" t="inlineStr">
        <is>
          <t>sipontomedievale</t>
        </is>
      </c>
      <c r="C376" s="9" t="inlineStr"/>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c r="A377" s="9" t="inlineStr"/>
      <c r="B377" s="9" t="inlineStr">
        <is>
          <t>sitedefinition</t>
        </is>
      </c>
      <c r="C377" s="9" t="inlineStr"/>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c r="A378" s="9" t="inlineStr"/>
      <c r="B378" s="9" t="inlineStr">
        <is>
          <t>SiteSyncro</t>
        </is>
      </c>
      <c r="C378" s="9" t="inlineStr"/>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c r="A379" s="9" t="inlineStr"/>
      <c r="B379" s="9" t="inlineStr">
        <is>
          <t>skeletal-sex-estimation</t>
        </is>
      </c>
      <c r="C379" s="9" t="inlineStr"/>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c r="A380" s="9" t="inlineStr"/>
      <c r="B380" s="9" t="inlineStr">
        <is>
          <t>skullanalyzer</t>
        </is>
      </c>
      <c r="C380" s="9" t="inlineStr"/>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c r="A381" s="9" t="inlineStr"/>
      <c r="B381" s="9" t="inlineStr">
        <is>
          <t>skyscapeR</t>
        </is>
      </c>
      <c r="C381" s="9" t="inlineStr"/>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c r="A382" s="9" t="inlineStr"/>
      <c r="B382" s="9" t="inlineStr">
        <is>
          <t>soiltexture</t>
        </is>
      </c>
      <c r="C382" s="9" t="inlineStr"/>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c r="A383" s="9" t="inlineStr">
        <is>
          <t>SpadeR</t>
        </is>
      </c>
      <c r="B383" s="9" t="inlineStr"/>
      <c r="C383" s="9" t="inlineStr"/>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c r="A384" s="9" t="inlineStr"/>
      <c r="B384" s="9" t="inlineStr">
        <is>
          <t>sparch</t>
        </is>
      </c>
      <c r="C384" s="9" t="inlineStr"/>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c r="A385" s="9" t="inlineStr"/>
      <c r="B385" s="9" t="inlineStr">
        <is>
          <t>SPARTAAS</t>
        </is>
      </c>
      <c r="C385" s="9" t="inlineStr"/>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c r="A386" s="9" t="inlineStr">
        <is>
          <t>Spatial Analyst 2.0</t>
        </is>
      </c>
      <c r="B386" s="9" t="inlineStr"/>
      <c r="C386" s="9" t="inlineStr"/>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c r="A387" s="9" t="inlineStr"/>
      <c r="B387" s="9" t="inlineStr">
        <is>
          <t>spDates</t>
        </is>
      </c>
      <c r="C387" s="9" t="inlineStr"/>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c r="A388" s="9" t="inlineStr">
        <is>
          <t>STAR</t>
        </is>
      </c>
      <c r="B388" s="9" t="inlineStr"/>
      <c r="C388" s="9" t="inlineStr"/>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c r="A389" s="9" t="inlineStr"/>
      <c r="B389" s="9" t="inlineStr">
        <is>
          <t>statuAAR</t>
        </is>
      </c>
      <c r="C389" s="9" t="inlineStr"/>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c r="A390" s="9" t="inlineStr">
        <is>
          <t>STELLAR</t>
        </is>
      </c>
      <c r="B390" s="9" t="inlineStr"/>
      <c r="C390" s="9" t="inlineStr"/>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c r="A391" s="9" t="inlineStr">
        <is>
          <t>straditize</t>
        </is>
      </c>
      <c r="B391" s="9" t="inlineStr"/>
      <c r="C391" s="9" t="inlineStr"/>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c r="A392" s="9" t="inlineStr"/>
      <c r="B392" s="9" t="inlineStr">
        <is>
          <t>Stratibase</t>
        </is>
      </c>
      <c r="C392" s="9" t="inlineStr"/>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c r="A393" s="9" t="inlineStr">
        <is>
          <t>stratigraphr</t>
        </is>
      </c>
      <c r="B393" s="9" t="inlineStr">
        <is>
          <t>stratigraphr</t>
        </is>
      </c>
      <c r="C393" s="9" t="inlineStr">
        <is>
          <t>exact</t>
        </is>
      </c>
      <c r="D393" s="9" t="inlineStr"/>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c r="A394" s="9" t="inlineStr">
        <is>
          <t>Survey2GIS</t>
        </is>
      </c>
      <c r="B394" s="9" t="inlineStr"/>
      <c r="C394" s="9" t="inlineStr"/>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c r="A395" s="9" t="inlineStr"/>
      <c r="B395" s="9" t="inlineStr">
        <is>
          <t>SurveyeR</t>
        </is>
      </c>
      <c r="C395" s="9" t="inlineStr"/>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c r="A396" s="9" t="inlineStr"/>
      <c r="B396" s="9" t="inlineStr">
        <is>
          <t>synthkat</t>
        </is>
      </c>
      <c r="C396" s="9" t="inlineStr"/>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c r="A397" s="9" t="inlineStr">
        <is>
          <t>tabula</t>
        </is>
      </c>
      <c r="B397" s="9" t="inlineStr">
        <is>
          <t>tabula</t>
        </is>
      </c>
      <c r="C397" s="9" t="inlineStr">
        <is>
          <t>exact</t>
        </is>
      </c>
      <c r="D397" s="9" t="inlineStr"/>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c r="A398" s="9" t="inlineStr"/>
      <c r="B398" s="9" t="inlineStr">
        <is>
          <t>Tachy2GIS</t>
        </is>
      </c>
      <c r="C398" s="9" t="inlineStr"/>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c r="A399" s="9" t="inlineStr"/>
      <c r="B399" s="9" t="inlineStr">
        <is>
          <t>Tachy2GIS_arch</t>
        </is>
      </c>
      <c r="C399" s="9" t="inlineStr"/>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c r="A400" s="9" t="inlineStr"/>
      <c r="B400" s="9" t="inlineStr">
        <is>
          <t>tdar</t>
        </is>
      </c>
      <c r="C400" s="9" t="inlineStr"/>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c r="A401" s="9" t="inlineStr"/>
      <c r="B401" s="9" t="inlineStr">
        <is>
          <t>teethr</t>
        </is>
      </c>
      <c r="C401" s="9" t="inlineStr"/>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c r="A402" s="9" t="inlineStr">
        <is>
          <t>TensorFlow</t>
        </is>
      </c>
      <c r="B402" s="9" t="inlineStr"/>
      <c r="C402" s="9" t="inlineStr"/>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c r="A403" s="9" t="inlineStr"/>
      <c r="B403" s="9" t="inlineStr">
        <is>
          <t>tfqar</t>
        </is>
      </c>
      <c r="C403" s="9" t="inlineStr"/>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c r="A404" s="9" t="inlineStr"/>
      <c r="B404" s="9" t="inlineStr">
        <is>
          <t>THANADOS</t>
        </is>
      </c>
      <c r="C404" s="9" t="inlineStr"/>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c r="A405" s="9" t="inlineStr"/>
      <c r="B405" s="9" t="inlineStr">
        <is>
          <t>The Southwestern Taphonomic Protocol</t>
        </is>
      </c>
      <c r="C405" s="9" t="inlineStr"/>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c r="A406" s="9" t="inlineStr"/>
      <c r="B406" s="9" t="inlineStr">
        <is>
          <t>tidypaleo</t>
        </is>
      </c>
      <c r="C406" s="9" t="inlineStr"/>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c r="A407" s="9" t="inlineStr">
        <is>
          <t>TimeMap</t>
        </is>
      </c>
      <c r="B407" s="9" t="inlineStr"/>
      <c r="C407" s="9" t="inlineStr"/>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c r="A408" s="9" t="inlineStr"/>
      <c r="B408" s="9" t="inlineStr">
        <is>
          <t>timeperiod2daterange</t>
        </is>
      </c>
      <c r="C408" s="9" t="inlineStr"/>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c r="A409" s="9" t="inlineStr"/>
      <c r="B409" s="9" t="inlineStr">
        <is>
          <t>tipom</t>
        </is>
      </c>
      <c r="C409" s="9" t="inlineStr"/>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c r="A410" s="9" t="inlineStr"/>
      <c r="B410" s="9" t="inlineStr">
        <is>
          <t>Tldating</t>
        </is>
      </c>
      <c r="C410" s="9" t="inlineStr"/>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c r="A411" s="9" t="inlineStr"/>
      <c r="B411" s="9" t="inlineStr">
        <is>
          <t>totalopenstation</t>
        </is>
      </c>
      <c r="C411" s="9" t="inlineStr"/>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c r="A412" s="9" t="inlineStr"/>
      <c r="B412" s="9" t="inlineStr">
        <is>
          <t>totalopenstationToQgis</t>
        </is>
      </c>
      <c r="C412" s="9" t="inlineStr"/>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c r="A413" s="9" t="inlineStr"/>
      <c r="B413" s="9" t="inlineStr">
        <is>
          <t>totalstation-tools</t>
        </is>
      </c>
      <c r="C413" s="9" t="inlineStr"/>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c r="A414" s="9" t="inlineStr"/>
      <c r="B414" s="9" t="inlineStr">
        <is>
          <t>TPQ-Composer</t>
        </is>
      </c>
      <c r="C414" s="9" t="inlineStr"/>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c r="A415" s="9" t="inlineStr"/>
      <c r="B415" s="9" t="inlineStr">
        <is>
          <t>TRANSIT</t>
        </is>
      </c>
      <c r="C415" s="9" t="inlineStr"/>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c r="A416" s="9" t="inlineStr"/>
      <c r="B416" s="9" t="inlineStr">
        <is>
          <t>TransmissionBias</t>
        </is>
      </c>
      <c r="C416" s="9" t="inlineStr"/>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c r="A417" s="9" t="inlineStr"/>
      <c r="B417" s="9" t="inlineStr">
        <is>
          <t>tRauma</t>
        </is>
      </c>
      <c r="C417" s="9" t="inlineStr"/>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c r="A418" s="9" t="inlineStr"/>
      <c r="B418" s="9" t="inlineStr">
        <is>
          <t>trenchdrawer</t>
        </is>
      </c>
      <c r="C418" s="9" t="inlineStr"/>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c r="A419" s="9" t="inlineStr">
        <is>
          <t>Truespace</t>
        </is>
      </c>
      <c r="B419" s="9" t="inlineStr"/>
      <c r="C419" s="9" t="inlineStr"/>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c r="A420" s="9" t="inlineStr"/>
      <c r="B420" s="9" t="inlineStr">
        <is>
          <t>tweet-edits-to-archaeology-articles.R</t>
        </is>
      </c>
      <c r="C420" s="9" t="inlineStr"/>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c r="A421" s="9" t="inlineStr"/>
      <c r="B421" s="9" t="inlineStr">
        <is>
          <t>UnconstrainedClustering</t>
        </is>
      </c>
      <c r="C421" s="9" t="inlineStr"/>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c r="A422" s="9" t="inlineStr"/>
      <c r="B422" s="9" t="inlineStr">
        <is>
          <t>UniformProbabilityDensityAnalysis</t>
        </is>
      </c>
      <c r="C422" s="9" t="inlineStr"/>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c r="A423" s="9" t="inlineStr"/>
      <c r="B423" s="9" t="inlineStr">
        <is>
          <t>unstruwwel</t>
        </is>
      </c>
      <c r="C423" s="9" t="inlineStr"/>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c r="A424" s="9" t="inlineStr"/>
      <c r="B424" s="9" t="inlineStr">
        <is>
          <t>UThwigl</t>
        </is>
      </c>
      <c r="C424" s="9" t="inlineStr"/>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c r="A425" s="9" t="inlineStr">
        <is>
          <t>vegan</t>
        </is>
      </c>
      <c r="B425" s="9" t="inlineStr"/>
      <c r="C425" s="9" t="inlineStr"/>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c r="A426" s="9" t="inlineStr"/>
      <c r="B426" s="9" t="inlineStr">
        <is>
          <t>Vessel-Measuring-Tool</t>
        </is>
      </c>
      <c r="C426" s="9" t="inlineStr"/>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c r="A427" s="9" t="inlineStr">
        <is>
          <t>VirtualArch project platform</t>
        </is>
      </c>
      <c r="B427" s="9" t="inlineStr"/>
      <c r="C427" s="9" t="inlineStr"/>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c r="A428" s="9" t="inlineStr">
        <is>
          <t>Vistamorph</t>
        </is>
      </c>
      <c r="B428" s="9" t="inlineStr"/>
      <c r="C428" s="9" t="inlineStr"/>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c r="A429" s="9" t="inlineStr">
        <is>
          <t>Vistapro</t>
        </is>
      </c>
      <c r="B429" s="9" t="inlineStr"/>
      <c r="C429" s="9" t="inlineStr"/>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c r="A430" s="9" t="inlineStr">
        <is>
          <t>Voro++</t>
        </is>
      </c>
      <c r="B430" s="9" t="inlineStr"/>
      <c r="C430" s="9" t="inlineStr"/>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c r="A431" s="9" t="inlineStr">
        <is>
          <t>VOSviewer (bibliometric mapping software)</t>
        </is>
      </c>
      <c r="B431" s="9" t="inlineStr"/>
      <c r="C431" s="9" t="inlineStr"/>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c r="A432" s="9" t="inlineStr">
        <is>
          <t>WallGIS database and GIS</t>
        </is>
      </c>
      <c r="B432" s="9" t="inlineStr"/>
      <c r="C432" s="9" t="inlineStr"/>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c r="A433" s="9" t="inlineStr">
        <is>
          <t>WaveSurfer 1.8.8 (audio analysis software)</t>
        </is>
      </c>
      <c r="B433" s="9" t="inlineStr"/>
      <c r="C433" s="9" t="inlineStr"/>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c r="A434" s="9" t="inlineStr">
        <is>
          <t>Wcvt2Pov</t>
        </is>
      </c>
      <c r="B434" s="9" t="inlineStr"/>
      <c r="C434" s="9" t="inlineStr"/>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c r="A435" s="9" t="inlineStr"/>
      <c r="B435" s="9" t="inlineStr">
        <is>
          <t>web_geochemistry</t>
        </is>
      </c>
      <c r="C435" s="9" t="inlineStr"/>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c r="A436" s="9" t="inlineStr"/>
      <c r="B436" s="9" t="inlineStr">
        <is>
          <t>WeedEco</t>
        </is>
      </c>
      <c r="C436" s="9" t="inlineStr"/>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c r="A437" s="9" t="inlineStr"/>
      <c r="B437" s="9" t="inlineStr">
        <is>
          <t>xDateR</t>
        </is>
      </c>
      <c r="C437" s="9" t="inlineStr"/>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c r="A438" s="9" t="inlineStr"/>
      <c r="B438" s="9" t="inlineStr">
        <is>
          <t>xrf</t>
        </is>
      </c>
      <c r="C438" s="9" t="inlineStr"/>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c r="A439" s="9" t="inlineStr"/>
      <c r="B439" s="9" t="inlineStr">
        <is>
          <t>xronos.R</t>
        </is>
      </c>
      <c r="C439" s="9" t="inlineStr"/>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c r="A440" s="9" t="inlineStr">
        <is>
          <t>XVR</t>
        </is>
      </c>
      <c r="B440" s="9" t="inlineStr"/>
      <c r="C440" s="9" t="inlineStr"/>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c r="A441" s="9" t="inlineStr"/>
      <c r="B441" s="9" t="inlineStr">
        <is>
          <t>yada</t>
        </is>
      </c>
      <c r="C441" s="9" t="inlineStr"/>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c r="A442" s="9" t="inlineStr"/>
      <c r="B442" s="9" t="inlineStr">
        <is>
          <t>zooaRch</t>
        </is>
      </c>
      <c r="C442" s="9" t="inlineStr"/>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c r="A443" s="9" t="inlineStr"/>
      <c r="B443" s="9" t="inlineStr">
        <is>
          <t>zooaRchGUI</t>
        </is>
      </c>
      <c r="C443" s="9" t="inlineStr"/>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c r="A444" s="9" t="inlineStr"/>
      <c r="B444" s="9" t="inlineStr">
        <is>
          <t>ZooarchMixMod</t>
        </is>
      </c>
      <c r="C444" s="9" t="inlineStr"/>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c r="A445" s="9" t="inlineStr"/>
      <c r="B445" s="9" t="inlineStr">
        <is>
          <t>zoolog</t>
        </is>
      </c>
      <c r="C445" s="9" t="inlineStr"/>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c r="A446" s="9" t="inlineStr">
        <is>
          <t>Zooniverse Project Builder</t>
        </is>
      </c>
      <c r="B446" s="9" t="inlineStr"/>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row r="1001">
      <c r="A1001" s="9" t="n"/>
      <c r="B1001" s="9" t="n"/>
      <c r="C1001" s="9" t="n"/>
      <c r="D1001" s="9" t="n"/>
      <c r="E1001" s="9" t="n"/>
      <c r="F1001" s="9" t="n"/>
      <c r="G1001" s="9" t="n"/>
      <c r="H1001" s="9" t="n"/>
      <c r="I1001" s="9" t="n"/>
      <c r="J1001" s="9" t="n"/>
      <c r="K1001" s="9" t="n"/>
      <c r="L1001" s="9" t="n"/>
      <c r="M1001" s="9" t="n"/>
      <c r="N1001" s="9" t="n"/>
      <c r="O1001" s="9" t="n"/>
      <c r="P1001" s="9" t="n"/>
      <c r="Q1001" s="9" t="n"/>
      <c r="R1001" s="9" t="n"/>
      <c r="S1001" s="9" t="n"/>
      <c r="T1001" s="9" t="n"/>
      <c r="U1001" s="9" t="n"/>
      <c r="V1001" s="9" t="n"/>
      <c r="W1001" s="9" t="n"/>
      <c r="X1001" s="9" t="n"/>
      <c r="Y1001" s="9" t="n"/>
      <c r="Z1001" s="9" t="n"/>
    </row>
    <row r="1002">
      <c r="A1002" s="9" t="n"/>
      <c r="B1002" s="9" t="n"/>
      <c r="C1002" s="9" t="n"/>
      <c r="D1002" s="9" t="n"/>
      <c r="E1002" s="9" t="n"/>
      <c r="F1002" s="9" t="n"/>
      <c r="G1002" s="9" t="n"/>
      <c r="H1002" s="9" t="n"/>
      <c r="I1002" s="9" t="n"/>
      <c r="J1002" s="9" t="n"/>
      <c r="K1002" s="9" t="n"/>
      <c r="L1002" s="9" t="n"/>
      <c r="M1002" s="9" t="n"/>
      <c r="N1002" s="9" t="n"/>
      <c r="O1002" s="9" t="n"/>
      <c r="P1002" s="9" t="n"/>
      <c r="Q1002" s="9" t="n"/>
      <c r="R1002" s="9" t="n"/>
      <c r="S1002" s="9" t="n"/>
      <c r="T1002" s="9" t="n"/>
      <c r="U1002" s="9" t="n"/>
      <c r="V1002" s="9" t="n"/>
      <c r="W1002" s="9" t="n"/>
      <c r="X1002" s="9" t="n"/>
      <c r="Y1002" s="9" t="n"/>
      <c r="Z1002" s="9" t="n"/>
    </row>
    <row r="1003">
      <c r="A1003" s="9" t="n"/>
      <c r="B1003" s="9" t="n"/>
      <c r="C1003" s="9" t="n"/>
      <c r="D1003" s="9" t="n"/>
      <c r="E1003" s="9" t="n"/>
      <c r="F1003" s="9" t="n"/>
      <c r="G1003" s="9" t="n"/>
      <c r="H1003" s="9" t="n"/>
      <c r="I1003" s="9" t="n"/>
      <c r="J1003" s="9" t="n"/>
      <c r="K1003" s="9" t="n"/>
      <c r="L1003" s="9" t="n"/>
      <c r="M1003" s="9" t="n"/>
      <c r="N1003" s="9" t="n"/>
      <c r="O1003" s="9" t="n"/>
      <c r="P1003" s="9" t="n"/>
      <c r="Q1003" s="9" t="n"/>
      <c r="R1003" s="9" t="n"/>
      <c r="S1003" s="9" t="n"/>
      <c r="T1003" s="9" t="n"/>
      <c r="U1003" s="9" t="n"/>
      <c r="V1003" s="9" t="n"/>
      <c r="W1003" s="9" t="n"/>
      <c r="X1003" s="9" t="n"/>
      <c r="Y1003" s="9" t="n"/>
      <c r="Z1003" s="9"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C1003"/>
  <sheetViews>
    <sheetView workbookViewId="0">
      <selection activeCell="A1" sqref="A1"/>
    </sheetView>
  </sheetViews>
  <sheetFormatPr baseColWidth="8" defaultColWidth="12.63" defaultRowHeight="15.75" customHeight="1"/>
  <cols>
    <col width="33" customWidth="1" style="20" min="1" max="1"/>
    <col width="29.13" customWidth="1" style="20" min="2" max="2"/>
    <col width="35.75" customWidth="1" style="20" min="3" max="3"/>
  </cols>
  <sheetData>
    <row r="1">
      <c r="A1" s="12" t="inlineStr">
        <is>
          <t>software-tool discovery list</t>
        </is>
      </c>
      <c r="B1" s="13" t="inlineStr">
        <is>
          <t>item_name Open-Archaeo</t>
        </is>
      </c>
      <c r="C1" s="13" t="inlineStr">
        <is>
          <t>De-duplicated</t>
        </is>
      </c>
    </row>
    <row r="2">
      <c r="A2" s="14" t="inlineStr">
        <is>
          <t>ade4</t>
        </is>
      </c>
      <c r="B2" s="15" t="inlineStr">
        <is>
          <t>ArboDat</t>
        </is>
      </c>
      <c r="C2" s="16">
        <f>IFERROR(__xludf.DUMMYFUNCTION("FILTER($B$2:$B$30, COUNTIF($A$2:$A$90, $B$2:$B$30)=0)"),"ArboDat")</f>
        <v/>
      </c>
    </row>
    <row r="3">
      <c r="A3" s="17" t="inlineStr">
        <is>
          <t>Agisoft PhotoScan</t>
        </is>
      </c>
      <c r="B3" s="18" t="inlineStr">
        <is>
          <t>archaeology_on_wikipedia.R</t>
        </is>
      </c>
      <c r="C3" s="19">
        <f>IFERROR(__xludf.DUMMYFUNCTION("""COMPUTED_VALUE"""),"archaeology_on_wikipedia.R")</f>
        <v/>
      </c>
    </row>
    <row r="4">
      <c r="A4" s="17" t="inlineStr">
        <is>
          <t>aion</t>
        </is>
      </c>
      <c r="B4" s="18" t="inlineStr">
        <is>
          <t>artefact-morpho.R</t>
        </is>
      </c>
      <c r="C4" s="18">
        <f>IFERROR(__xludf.DUMMYFUNCTION("""COMPUTED_VALUE"""),"artefact-morpho.R")</f>
        <v/>
      </c>
    </row>
    <row r="5">
      <c r="A5" s="17" t="inlineStr">
        <is>
          <t>Annotorious</t>
        </is>
      </c>
      <c r="B5" s="18" t="inlineStr">
        <is>
          <t>BasicMapping</t>
        </is>
      </c>
      <c r="C5" s="18">
        <f>IFERROR(__xludf.DUMMYFUNCTION("""COMPUTED_VALUE"""),"BasicMapping")</f>
        <v/>
      </c>
    </row>
    <row r="6">
      <c r="A6" s="17" t="inlineStr">
        <is>
          <t>ArcGIS skeletal templates</t>
        </is>
      </c>
      <c r="B6" s="18" t="inlineStr">
        <is>
          <t>benmarwickDY-XYZ-data-on-an-irregular-grid-to-an-interpolated-raster.r</t>
        </is>
      </c>
      <c r="C6" s="18">
        <f>IFERROR(__xludf.DUMMYFUNCTION("""COMPUTED_VALUE"""),"benmarwickDY-XYZ-data-on-an-irregular-grid-to-an-interpolated-raster.r")</f>
        <v/>
      </c>
    </row>
    <row r="7">
      <c r="A7" s="17" t="inlineStr">
        <is>
          <t>Arch-I-Scan</t>
        </is>
      </c>
      <c r="B7" s="18" t="inlineStr">
        <is>
          <t>benmarwickopencontext.r</t>
        </is>
      </c>
      <c r="C7" s="18">
        <f>IFERROR(__xludf.DUMMYFUNCTION("""COMPUTED_VALUE"""),"benmarwickopencontext.r")</f>
        <v/>
      </c>
    </row>
    <row r="8">
      <c r="A8" s="17" t="inlineStr">
        <is>
          <t>ArchaeoPhases</t>
        </is>
      </c>
      <c r="B8" s="15" t="inlineStr">
        <is>
          <t>Bonify</t>
        </is>
      </c>
      <c r="C8" s="18">
        <f>IFERROR(__xludf.DUMMYFUNCTION("""COMPUTED_VALUE"""),"Bonify")</f>
        <v/>
      </c>
    </row>
    <row r="9">
      <c r="A9" s="17" t="inlineStr">
        <is>
          <t>ArchAIDE</t>
        </is>
      </c>
      <c r="B9" s="18" t="inlineStr">
        <is>
          <t>ca</t>
        </is>
      </c>
      <c r="C9" s="18">
        <f>IFERROR(__xludf.DUMMYFUNCTION("""COMPUTED_VALUE"""),"ca")</f>
        <v/>
      </c>
    </row>
    <row r="10">
      <c r="A10" s="17" t="inlineStr">
        <is>
          <t>ArchEd</t>
        </is>
      </c>
      <c r="B10" s="15" t="inlineStr">
        <is>
          <t>ChronoLog</t>
        </is>
      </c>
      <c r="C10" s="18">
        <f>IFERROR(__xludf.DUMMYFUNCTION("""COMPUTED_VALUE"""),"ChronoLog")</f>
        <v/>
      </c>
    </row>
    <row r="11">
      <c r="A11" s="17" t="inlineStr">
        <is>
          <t>Archeofrag</t>
        </is>
      </c>
      <c r="B11" s="18" t="inlineStr">
        <is>
          <t>Chronophage</t>
        </is>
      </c>
      <c r="C11" s="18">
        <f>IFERROR(__xludf.DUMMYFUNCTION("""COMPUTED_VALUE"""),"Chronophage")</f>
        <v/>
      </c>
    </row>
    <row r="12">
      <c r="A12" s="17" t="inlineStr">
        <is>
          <t>archeoViz</t>
        </is>
      </c>
      <c r="B12" s="18" t="inlineStr">
        <is>
          <t>Crossbones</t>
        </is>
      </c>
      <c r="C12" s="18">
        <f>IFERROR(__xludf.DUMMYFUNCTION("""COMPUTED_VALUE"""),"Crossbones")</f>
        <v/>
      </c>
    </row>
    <row r="13">
      <c r="A13" s="17" t="inlineStr">
        <is>
          <t>ARIADNE</t>
        </is>
      </c>
      <c r="B13" s="18" t="inlineStr">
        <is>
          <t>Explographe</t>
        </is>
      </c>
      <c r="C13" s="18">
        <f>IFERROR(__xludf.DUMMYFUNCTION("""COMPUTED_VALUE"""),"Explographe")</f>
        <v/>
      </c>
    </row>
    <row r="14">
      <c r="A14" s="17" t="inlineStr">
        <is>
          <t>BCal</t>
        </is>
      </c>
      <c r="B14" s="18" t="inlineStr">
        <is>
          <t>Fiche Stratigraphique Numérique (FSN)</t>
        </is>
      </c>
      <c r="C14" s="18">
        <f>IFERROR(__xludf.DUMMYFUNCTION("""COMPUTED_VALUE"""),"Fiche Stratigraphique Numérique (FSN)")</f>
        <v/>
      </c>
    </row>
    <row r="15">
      <c r="A15" s="17" t="inlineStr">
        <is>
          <t>Bchron</t>
        </is>
      </c>
      <c r="B15" s="18" t="inlineStr">
        <is>
          <t>Harris-matrix-legacy</t>
        </is>
      </c>
      <c r="C15" s="18">
        <f>IFERROR(__xludf.DUMMYFUNCTION("""COMPUTED_VALUE"""),"Harris-matrix-legacy")</f>
        <v/>
      </c>
    </row>
    <row r="16">
      <c r="A16" s="17" t="inlineStr">
        <is>
          <t>bleiglas</t>
        </is>
      </c>
      <c r="B16" s="15" t="inlineStr">
        <is>
          <t>HumanOS</t>
        </is>
      </c>
      <c r="C16" s="18">
        <f>IFERROR(__xludf.DUMMYFUNCTION("""COMPUTED_VALUE"""),"HumanOS")</f>
        <v/>
      </c>
    </row>
    <row r="17">
      <c r="A17" s="17" t="inlineStr">
        <is>
          <t>Bwigg fail</t>
        </is>
      </c>
      <c r="B17" s="18" t="inlineStr">
        <is>
          <t>Le Stratifiant</t>
        </is>
      </c>
      <c r="C17" s="18">
        <f>IFERROR(__xludf.DUMMYFUNCTION("""COMPUTED_VALUE"""),"Le Stratifiant")</f>
        <v/>
      </c>
    </row>
    <row r="18">
      <c r="A18" s="17" t="inlineStr">
        <is>
          <t>c14bazAAR</t>
        </is>
      </c>
      <c r="B18" s="18" t="inlineStr">
        <is>
          <t>LISA</t>
        </is>
      </c>
      <c r="C18" s="18">
        <f>IFERROR(__xludf.DUMMYFUNCTION("""COMPUTED_VALUE"""),"LISA")</f>
        <v/>
      </c>
    </row>
    <row r="19">
      <c r="A19" s="17" t="inlineStr">
        <is>
          <t>DataScribe</t>
        </is>
      </c>
      <c r="B19" s="18" t="inlineStr">
        <is>
          <t>munsell-plot.R</t>
        </is>
      </c>
      <c r="C19" s="18">
        <f>IFERROR(__xludf.DUMMYFUNCTION("""COMPUTED_VALUE"""),"munsell-plot.R")</f>
        <v/>
      </c>
    </row>
    <row r="20">
      <c r="A20" s="17" t="inlineStr">
        <is>
          <t>Depthmap</t>
        </is>
      </c>
      <c r="B20" s="18" t="inlineStr">
        <is>
          <t>osl_calibration.r</t>
        </is>
      </c>
      <c r="C20" s="18">
        <f>IFERROR(__xludf.DUMMYFUNCTION("""COMPUTED_VALUE"""),"osl_calibration.r")</f>
        <v/>
      </c>
    </row>
    <row r="21">
      <c r="A21" s="17" t="inlineStr">
        <is>
          <t>Distant Viewing Toolkit</t>
        </is>
      </c>
      <c r="B21" s="18" t="inlineStr">
        <is>
          <t>PLC</t>
        </is>
      </c>
      <c r="C21" s="18">
        <f>IFERROR(__xludf.DUMMYFUNCTION("""COMPUTED_VALUE"""),"PLC")</f>
        <v/>
      </c>
    </row>
    <row r="22">
      <c r="A22" s="17" t="inlineStr">
        <is>
          <t>dplR</t>
        </is>
      </c>
      <c r="B22" s="18" t="inlineStr">
        <is>
          <t>PointPattern</t>
        </is>
      </c>
      <c r="C22" s="18">
        <f>IFERROR(__xludf.DUMMYFUNCTION("""COMPUTED_VALUE"""),"PointPattern")</f>
        <v/>
      </c>
    </row>
    <row r="23">
      <c r="A23" s="17" t="inlineStr">
        <is>
          <t>Endovélico information system</t>
        </is>
      </c>
      <c r="B23" s="18" t="inlineStr">
        <is>
          <t>pyArchInit</t>
        </is>
      </c>
      <c r="C23" s="18">
        <f>IFERROR(__xludf.DUMMYFUNCTION("""COMPUTED_VALUE"""),"pyArchInit")</f>
        <v/>
      </c>
    </row>
    <row r="24">
      <c r="A24" s="17" t="inlineStr">
        <is>
          <t>FaceNet</t>
        </is>
      </c>
      <c r="B24" s="18" t="inlineStr">
        <is>
          <t>RTIBuilder</t>
        </is>
      </c>
      <c r="C24" s="18">
        <f>IFERROR(__xludf.DUMMYFUNCTION("""COMPUTED_VALUE"""),"RTIBuilder")</f>
        <v/>
      </c>
    </row>
    <row r="25">
      <c r="A25" s="17" t="inlineStr">
        <is>
          <t>fellingdater</t>
        </is>
      </c>
      <c r="B25" s="18" t="inlineStr">
        <is>
          <t>RTIViewer</t>
        </is>
      </c>
      <c r="C25" s="18">
        <f>IFERROR(__xludf.DUMMYFUNCTION("""COMPUTED_VALUE"""),"RTIViewer")</f>
        <v/>
      </c>
    </row>
    <row r="26">
      <c r="A26" s="17" t="inlineStr">
        <is>
          <t>FieldWorker Advanced 2.3.5</t>
        </is>
      </c>
      <c r="B26" s="15" t="inlineStr">
        <is>
          <t>Sériation de matrice en présence/absence</t>
        </is>
      </c>
      <c r="C26" s="18">
        <f>IFERROR(__xludf.DUMMYFUNCTION("""COMPUTED_VALUE"""),"Sériation de matrice en présence/absence")</f>
        <v/>
      </c>
    </row>
    <row r="27">
      <c r="A27" s="17" t="inlineStr">
        <is>
          <t>FieldWorker Pro 0.91</t>
        </is>
      </c>
      <c r="B27" s="18" t="inlineStr">
        <is>
          <t>Seriographe EPPM</t>
        </is>
      </c>
      <c r="C27" s="18">
        <f>IFERROR(__xludf.DUMMYFUNCTION("""COMPUTED_VALUE"""),"Seriographe EPPM")</f>
        <v/>
      </c>
    </row>
    <row r="28">
      <c r="A28" s="17" t="inlineStr">
        <is>
          <t>FilmColors</t>
        </is>
      </c>
      <c r="B28" s="18" t="inlineStr">
        <is>
          <t>Stratibase</t>
        </is>
      </c>
      <c r="C28" s="18">
        <f>IFERROR(__xludf.DUMMYFUNCTION("""COMPUTED_VALUE"""),"Stratibase")</f>
        <v/>
      </c>
    </row>
    <row r="29">
      <c r="A29" s="17" t="inlineStr">
        <is>
          <t>Fountain</t>
        </is>
      </c>
      <c r="B29" s="15" t="inlineStr">
        <is>
          <t>tweet-edits-to-archaeology-articles.R</t>
        </is>
      </c>
      <c r="C29" s="18">
        <f>IFERROR(__xludf.DUMMYFUNCTION("""COMPUTED_VALUE"""),"tweet-edits-to-archaeology-articles.R")</f>
        <v/>
      </c>
    </row>
    <row r="30">
      <c r="A30" s="17" t="inlineStr">
        <is>
          <t>Gephi</t>
        </is>
      </c>
      <c r="B30" s="18" t="inlineStr">
        <is>
          <t>UnconstrainedClustering</t>
        </is>
      </c>
      <c r="C30" s="18">
        <f>IFERROR(__xludf.DUMMYFUNCTION("""COMPUTED_VALUE"""),"UnconstrainedClustering")</f>
        <v/>
      </c>
    </row>
    <row r="31">
      <c r="A31" s="17" t="inlineStr">
        <is>
          <t>glottospace</t>
        </is>
      </c>
      <c r="C31" s="18" t="n"/>
    </row>
    <row r="32">
      <c r="A32" s="17" t="inlineStr">
        <is>
          <t>glottoTrees</t>
        </is>
      </c>
      <c r="C32" s="18" t="n"/>
    </row>
    <row r="33">
      <c r="A33" s="17" t="inlineStr">
        <is>
          <t>Grid Machine</t>
        </is>
      </c>
      <c r="C33" s="18" t="n"/>
    </row>
    <row r="34">
      <c r="A34" s="17" t="inlineStr">
        <is>
          <t>gvSIG CE</t>
        </is>
      </c>
      <c r="C34" s="18" t="n"/>
    </row>
    <row r="35">
      <c r="A35" s="17" t="inlineStr">
        <is>
          <t>htmlfig</t>
        </is>
      </c>
      <c r="C35" s="18" t="n"/>
    </row>
    <row r="36">
      <c r="A36" s="17" t="inlineStr">
        <is>
          <t>iconr</t>
        </is>
      </c>
      <c r="C36" s="18" t="n"/>
    </row>
    <row r="37">
      <c r="A37" s="17" t="inlineStr">
        <is>
          <t>iDig</t>
        </is>
      </c>
      <c r="C37" s="18" t="n"/>
    </row>
    <row r="38">
      <c r="A38" s="17" t="inlineStr">
        <is>
          <t>Intrasis</t>
        </is>
      </c>
      <c r="C38" s="18" t="n"/>
    </row>
    <row r="39">
      <c r="A39" s="17" t="inlineStr">
        <is>
          <t>kairos</t>
        </is>
      </c>
      <c r="C39" s="18" t="n"/>
    </row>
    <row r="40">
      <c r="A40" s="17" t="inlineStr">
        <is>
          <t>kdedemo1</t>
        </is>
      </c>
      <c r="C40" s="18" t="n"/>
    </row>
    <row r="41">
      <c r="A41" s="17" t="inlineStr">
        <is>
          <t>kdedemo2</t>
        </is>
      </c>
      <c r="C41" s="18" t="n"/>
    </row>
    <row r="42">
      <c r="A42" s="17" t="inlineStr">
        <is>
          <t>KLRfome</t>
        </is>
      </c>
      <c r="C42" s="18" t="n"/>
    </row>
    <row r="43">
      <c r="A43" s="17" t="inlineStr">
        <is>
          <t>Land Survey System</t>
        </is>
      </c>
      <c r="C43" s="18" t="n"/>
    </row>
    <row r="44">
      <c r="A44" s="17" t="inlineStr">
        <is>
          <t>LifeForms</t>
        </is>
      </c>
      <c r="C44" s="18" t="n"/>
    </row>
    <row r="45">
      <c r="A45" s="17" t="inlineStr">
        <is>
          <t>lingtypology</t>
        </is>
      </c>
      <c r="C45" s="18" t="n"/>
    </row>
    <row r="46">
      <c r="A46" s="17" t="inlineStr">
        <is>
          <t>lingtypR</t>
        </is>
      </c>
      <c r="C46" s="18" t="n"/>
    </row>
    <row r="47">
      <c r="A47" s="17" t="inlineStr">
        <is>
          <t>Luminescence</t>
        </is>
      </c>
      <c r="C47" s="18" t="n"/>
    </row>
    <row r="48">
      <c r="A48" s="17" t="inlineStr">
        <is>
          <t>MapReader</t>
        </is>
      </c>
      <c r="C48" s="18" t="n"/>
    </row>
    <row r="49">
      <c r="A49" s="17" t="inlineStr">
        <is>
          <t>MASA consortium</t>
        </is>
      </c>
      <c r="C49" s="18" t="n"/>
    </row>
    <row r="50">
      <c r="A50" s="17" t="inlineStr">
        <is>
          <t>Mask R-CNN</t>
        </is>
      </c>
      <c r="C50" s="18" t="n"/>
    </row>
    <row r="51">
      <c r="A51" s="17" t="inlineStr">
        <is>
          <t>Matrix Manager</t>
        </is>
      </c>
      <c r="C51" s="18" t="n"/>
    </row>
    <row r="52">
      <c r="A52" s="17" t="inlineStr">
        <is>
          <t>MicroStation</t>
        </is>
      </c>
      <c r="C52" s="18" t="n"/>
    </row>
    <row r="53">
      <c r="A53" s="17" t="inlineStr">
        <is>
          <t>Microware</t>
        </is>
      </c>
      <c r="C53" s="18" t="n"/>
    </row>
    <row r="54">
      <c r="A54" s="17" t="inlineStr">
        <is>
          <t>OASIS</t>
        </is>
      </c>
      <c r="C54" s="18" t="n"/>
    </row>
    <row r="55">
      <c r="A55" s="17" t="inlineStr">
        <is>
          <t>oxcAAR</t>
        </is>
      </c>
      <c r="C55" s="18" t="n"/>
    </row>
    <row r="56">
      <c r="A56" s="17" t="inlineStr">
        <is>
          <t>OxCal</t>
        </is>
      </c>
      <c r="C56" s="18" t="n"/>
    </row>
    <row r="57">
      <c r="A57" s="17" t="inlineStr">
        <is>
          <t>Perseus 2.0</t>
        </is>
      </c>
      <c r="C57" s="18" t="n"/>
    </row>
    <row r="58">
      <c r="A58" s="17" t="inlineStr">
        <is>
          <t>Photomodeller</t>
        </is>
      </c>
      <c r="C58" s="18" t="n"/>
    </row>
    <row r="59">
      <c r="A59" s="17" t="inlineStr">
        <is>
          <t>pnuts</t>
        </is>
      </c>
      <c r="C59" s="18" t="n"/>
    </row>
    <row r="60">
      <c r="A60" s="17" t="inlineStr">
        <is>
          <t>Polynomial Texture Mapping (PTM)</t>
        </is>
      </c>
      <c r="C60" s="18" t="n"/>
    </row>
    <row r="61">
      <c r="A61" s="17" t="inlineStr">
        <is>
          <t>PyCoCu</t>
        </is>
      </c>
      <c r="C61" s="18" t="n"/>
    </row>
    <row r="62">
      <c r="A62" s="17" t="inlineStr">
        <is>
          <t>PyLithics</t>
        </is>
      </c>
      <c r="C62" s="18" t="n"/>
    </row>
    <row r="63">
      <c r="A63" s="17" t="inlineStr">
        <is>
          <t>qlcData</t>
        </is>
      </c>
      <c r="C63" s="18" t="n"/>
    </row>
    <row r="64">
      <c r="A64" s="17" t="inlineStr">
        <is>
          <t>rcarbon</t>
        </is>
      </c>
      <c r="C64" s="18" t="n"/>
    </row>
    <row r="65">
      <c r="A65" s="17" t="inlineStr">
        <is>
          <t>recexcavAAR</t>
        </is>
      </c>
      <c r="C65" s="18" t="n"/>
    </row>
    <row r="66">
      <c r="A66" s="17" t="inlineStr">
        <is>
          <t>Rhino for AutoCAD</t>
        </is>
      </c>
      <c r="C66" s="18" t="n"/>
    </row>
    <row r="67">
      <c r="A67" s="17" t="inlineStr">
        <is>
          <t>SASSA (web-based system)</t>
        </is>
      </c>
      <c r="C67" s="18" t="n"/>
    </row>
    <row r="68">
      <c r="A68" s="17" t="inlineStr">
        <is>
          <t>Scripto</t>
        </is>
      </c>
      <c r="C68" s="18" t="n"/>
    </row>
    <row r="69">
      <c r="A69" s="17" t="inlineStr">
        <is>
          <t>SEAHORS</t>
        </is>
      </c>
      <c r="C69" s="18" t="n"/>
    </row>
    <row r="70">
      <c r="A70" s="17" t="inlineStr">
        <is>
          <t>shoredate</t>
        </is>
      </c>
      <c r="C70" s="18" t="n"/>
    </row>
    <row r="71">
      <c r="A71" s="17" t="inlineStr">
        <is>
          <t>SpadeR</t>
        </is>
      </c>
      <c r="C71" s="18" t="n"/>
    </row>
    <row r="72">
      <c r="A72" s="17" t="inlineStr">
        <is>
          <t>Spatial Analyst 2.0</t>
        </is>
      </c>
      <c r="C72" s="18" t="n"/>
    </row>
    <row r="73">
      <c r="A73" s="17" t="inlineStr">
        <is>
          <t>STAR</t>
        </is>
      </c>
      <c r="C73" s="18" t="n"/>
    </row>
    <row r="74">
      <c r="A74" s="17" t="inlineStr">
        <is>
          <t>STELLAR</t>
        </is>
      </c>
      <c r="C74" s="18" t="n"/>
    </row>
    <row r="75">
      <c r="A75" s="17" t="inlineStr">
        <is>
          <t>straditize</t>
        </is>
      </c>
      <c r="C75" s="18" t="n"/>
    </row>
    <row r="76">
      <c r="A76" s="17" t="inlineStr">
        <is>
          <t>stratigraphr</t>
        </is>
      </c>
      <c r="C76" s="18" t="n"/>
    </row>
    <row r="77">
      <c r="A77" s="17" t="inlineStr">
        <is>
          <t>Survey2GIS</t>
        </is>
      </c>
      <c r="C77" s="18" t="n"/>
    </row>
    <row r="78">
      <c r="A78" s="17" t="inlineStr">
        <is>
          <t>tabula</t>
        </is>
      </c>
      <c r="C78" s="18" t="n"/>
    </row>
    <row r="79">
      <c r="A79" s="17" t="inlineStr">
        <is>
          <t>TensorFlow</t>
        </is>
      </c>
      <c r="C79" s="18" t="n"/>
    </row>
    <row r="80">
      <c r="A80" s="17" t="inlineStr">
        <is>
          <t>TimeMap</t>
        </is>
      </c>
      <c r="C80" s="18" t="n"/>
    </row>
    <row r="81">
      <c r="A81" s="17" t="inlineStr">
        <is>
          <t>Truespace</t>
        </is>
      </c>
      <c r="C81" s="18" t="n"/>
    </row>
    <row r="82">
      <c r="A82" s="17" t="inlineStr">
        <is>
          <t>vegan</t>
        </is>
      </c>
      <c r="C82" s="18" t="n"/>
    </row>
    <row r="83">
      <c r="A83" s="17" t="inlineStr">
        <is>
          <t>VirtualArch project platform</t>
        </is>
      </c>
      <c r="C83" s="18" t="n"/>
    </row>
    <row r="84">
      <c r="A84" s="17" t="inlineStr">
        <is>
          <t>Vistamorph</t>
        </is>
      </c>
      <c r="C84" s="18" t="n"/>
    </row>
    <row r="85">
      <c r="A85" s="17" t="inlineStr">
        <is>
          <t>Vistapro</t>
        </is>
      </c>
      <c r="C85" s="18" t="n"/>
    </row>
    <row r="86">
      <c r="A86" s="17" t="inlineStr">
        <is>
          <t>Voro++</t>
        </is>
      </c>
      <c r="C86" s="18" t="n"/>
    </row>
    <row r="87">
      <c r="A87" s="17" t="inlineStr">
        <is>
          <t>VOSviewer (bibliometric mapping software)</t>
        </is>
      </c>
      <c r="C87" s="18" t="n"/>
    </row>
    <row r="88">
      <c r="A88" s="17" t="inlineStr">
        <is>
          <t>WallGIS database and GIS</t>
        </is>
      </c>
      <c r="C88" s="18" t="n"/>
    </row>
    <row r="89">
      <c r="A89" s="17" t="inlineStr">
        <is>
          <t>WaveSurfer 1.8.8 (audio analysis software)</t>
        </is>
      </c>
      <c r="C89" s="18" t="n"/>
    </row>
    <row r="90">
      <c r="A90" s="17" t="inlineStr">
        <is>
          <t>Wcvt2Pov</t>
        </is>
      </c>
      <c r="C90" s="18" t="n"/>
    </row>
    <row r="91">
      <c r="C91" s="18" t="n"/>
    </row>
    <row r="92">
      <c r="C92" s="18" t="n"/>
    </row>
    <row r="93">
      <c r="C93" s="18" t="n"/>
    </row>
    <row r="94">
      <c r="C94" s="18" t="n"/>
    </row>
    <row r="95">
      <c r="C95" s="18" t="n"/>
    </row>
    <row r="96">
      <c r="C96" s="18" t="n"/>
    </row>
    <row r="97">
      <c r="C97" s="18" t="n"/>
    </row>
    <row r="98">
      <c r="C98" s="18" t="n"/>
    </row>
    <row r="99">
      <c r="C99" s="18" t="n"/>
    </row>
    <row r="100">
      <c r="C100" s="18" t="n"/>
    </row>
    <row r="101">
      <c r="C101" s="18" t="n"/>
    </row>
    <row r="102">
      <c r="C102" s="18" t="n"/>
    </row>
    <row r="103">
      <c r="C103" s="18" t="n"/>
    </row>
    <row r="104">
      <c r="C104" s="18" t="n"/>
    </row>
    <row r="105">
      <c r="C105" s="18" t="n"/>
    </row>
    <row r="106">
      <c r="C106" s="18" t="n"/>
    </row>
    <row r="107">
      <c r="C107" s="18" t="n"/>
    </row>
    <row r="108">
      <c r="C108" s="18" t="n"/>
    </row>
    <row r="109">
      <c r="C109" s="18" t="n"/>
    </row>
    <row r="110">
      <c r="C110" s="18" t="n"/>
    </row>
    <row r="111">
      <c r="C111" s="18" t="n"/>
    </row>
    <row r="112">
      <c r="C112" s="18" t="n"/>
    </row>
    <row r="113">
      <c r="C113" s="18" t="n"/>
    </row>
    <row r="114">
      <c r="C114" s="18" t="n"/>
    </row>
    <row r="115">
      <c r="C115" s="18" t="n"/>
    </row>
    <row r="116">
      <c r="C116" s="18" t="n"/>
    </row>
    <row r="117">
      <c r="C117" s="18" t="n"/>
    </row>
    <row r="118">
      <c r="C118" s="18" t="n"/>
    </row>
    <row r="119">
      <c r="C119" s="18" t="n"/>
    </row>
    <row r="120">
      <c r="C120" s="18" t="n"/>
    </row>
    <row r="121">
      <c r="C121" s="18" t="n"/>
    </row>
    <row r="122">
      <c r="C122" s="18" t="n"/>
    </row>
    <row r="123">
      <c r="C123" s="18" t="n"/>
    </row>
    <row r="124">
      <c r="C124" s="18" t="n"/>
    </row>
    <row r="125">
      <c r="C125" s="18" t="n"/>
    </row>
    <row r="126">
      <c r="C126" s="18" t="n"/>
    </row>
    <row r="127">
      <c r="C127" s="18" t="n"/>
    </row>
    <row r="128">
      <c r="C128" s="18" t="n"/>
    </row>
    <row r="129">
      <c r="C129" s="18" t="n"/>
    </row>
    <row r="130">
      <c r="C130" s="18" t="n"/>
    </row>
    <row r="131">
      <c r="C131" s="18" t="n"/>
    </row>
    <row r="132">
      <c r="C132" s="18" t="n"/>
    </row>
    <row r="133">
      <c r="C133" s="18" t="n"/>
    </row>
    <row r="134">
      <c r="C134" s="18" t="n"/>
    </row>
    <row r="135">
      <c r="C135" s="18" t="n"/>
    </row>
    <row r="136">
      <c r="C136" s="18" t="n"/>
    </row>
    <row r="137">
      <c r="C137" s="18" t="n"/>
    </row>
    <row r="138">
      <c r="C138" s="18" t="n"/>
    </row>
    <row r="139">
      <c r="C139" s="18" t="n"/>
    </row>
    <row r="140">
      <c r="C140" s="18" t="n"/>
    </row>
    <row r="141">
      <c r="C141" s="18" t="n"/>
    </row>
    <row r="142">
      <c r="C142" s="18" t="n"/>
    </row>
    <row r="143">
      <c r="C143" s="18" t="n"/>
    </row>
    <row r="144">
      <c r="C144" s="18" t="n"/>
    </row>
    <row r="145">
      <c r="C145" s="18" t="n"/>
    </row>
    <row r="146">
      <c r="C146" s="18" t="n"/>
    </row>
    <row r="147">
      <c r="C147" s="18" t="n"/>
    </row>
    <row r="148">
      <c r="C148" s="18" t="n"/>
    </row>
    <row r="149">
      <c r="C149" s="18" t="n"/>
    </row>
    <row r="150">
      <c r="C150" s="18" t="n"/>
    </row>
    <row r="151">
      <c r="C151" s="18" t="n"/>
    </row>
    <row r="152">
      <c r="C152" s="18" t="n"/>
    </row>
    <row r="153">
      <c r="C153" s="18" t="n"/>
    </row>
    <row r="154">
      <c r="C154" s="18" t="n"/>
    </row>
    <row r="155">
      <c r="C155" s="18" t="n"/>
    </row>
    <row r="156">
      <c r="C156" s="18" t="n"/>
    </row>
    <row r="157">
      <c r="C157" s="18" t="n"/>
    </row>
    <row r="158">
      <c r="C158" s="18" t="n"/>
    </row>
    <row r="159">
      <c r="C159" s="18" t="n"/>
    </row>
    <row r="160">
      <c r="C160" s="18" t="n"/>
    </row>
    <row r="161">
      <c r="C161" s="18" t="n"/>
    </row>
    <row r="162">
      <c r="C162" s="18" t="n"/>
    </row>
    <row r="163">
      <c r="C163" s="18" t="n"/>
    </row>
    <row r="164">
      <c r="C164" s="18" t="n"/>
    </row>
    <row r="165">
      <c r="C165" s="18" t="n"/>
    </row>
    <row r="166">
      <c r="C166" s="18" t="n"/>
    </row>
    <row r="167">
      <c r="C167" s="18" t="n"/>
    </row>
    <row r="168">
      <c r="C168" s="18" t="n"/>
    </row>
    <row r="169">
      <c r="C169" s="18" t="n"/>
    </row>
    <row r="170">
      <c r="C170" s="18" t="n"/>
    </row>
    <row r="171">
      <c r="C171" s="18" t="n"/>
    </row>
    <row r="172">
      <c r="C172" s="18" t="n"/>
    </row>
    <row r="173">
      <c r="C173" s="18" t="n"/>
    </row>
    <row r="174">
      <c r="C174" s="18" t="n"/>
    </row>
    <row r="175">
      <c r="C175" s="18" t="n"/>
    </row>
    <row r="176">
      <c r="C176" s="18" t="n"/>
    </row>
    <row r="177">
      <c r="C177" s="18" t="n"/>
    </row>
    <row r="178">
      <c r="C178" s="18" t="n"/>
    </row>
    <row r="179">
      <c r="C179" s="18" t="n"/>
    </row>
    <row r="180">
      <c r="C180" s="18" t="n"/>
    </row>
    <row r="181">
      <c r="C181" s="18" t="n"/>
    </row>
    <row r="182">
      <c r="C182" s="18" t="n"/>
    </row>
    <row r="183">
      <c r="C183" s="18" t="n"/>
    </row>
    <row r="184">
      <c r="C184" s="18" t="n"/>
    </row>
    <row r="185">
      <c r="C185" s="18" t="n"/>
    </row>
    <row r="186">
      <c r="C186" s="18" t="n"/>
    </row>
    <row r="187">
      <c r="C187" s="18" t="n"/>
    </row>
    <row r="188">
      <c r="C188" s="18" t="n"/>
    </row>
    <row r="189">
      <c r="C189" s="18" t="n"/>
    </row>
    <row r="190">
      <c r="C190" s="18" t="n"/>
    </row>
    <row r="191">
      <c r="C191" s="18" t="n"/>
    </row>
    <row r="192">
      <c r="C192" s="18" t="n"/>
    </row>
    <row r="193">
      <c r="C193" s="18" t="n"/>
    </row>
    <row r="194">
      <c r="C194" s="18" t="n"/>
    </row>
    <row r="195">
      <c r="C195" s="18" t="n"/>
    </row>
    <row r="196">
      <c r="C196" s="18" t="n"/>
    </row>
    <row r="197">
      <c r="C197" s="18" t="n"/>
    </row>
    <row r="198">
      <c r="C198" s="18" t="n"/>
    </row>
    <row r="199">
      <c r="C199" s="18" t="n"/>
    </row>
    <row r="200">
      <c r="C200" s="18" t="n"/>
    </row>
    <row r="201">
      <c r="C201" s="18" t="n"/>
    </row>
    <row r="202">
      <c r="C202" s="18" t="n"/>
    </row>
    <row r="203">
      <c r="C203" s="18" t="n"/>
    </row>
    <row r="204">
      <c r="C204" s="18" t="n"/>
    </row>
    <row r="205">
      <c r="C205" s="18" t="n"/>
    </row>
    <row r="206">
      <c r="C206" s="18" t="n"/>
    </row>
    <row r="207">
      <c r="C207" s="18" t="n"/>
    </row>
    <row r="208">
      <c r="C208" s="18" t="n"/>
    </row>
    <row r="209">
      <c r="C209" s="18" t="n"/>
    </row>
    <row r="210">
      <c r="C210" s="18" t="n"/>
    </row>
    <row r="211">
      <c r="C211" s="18" t="n"/>
    </row>
    <row r="212">
      <c r="C212" s="18" t="n"/>
    </row>
    <row r="213">
      <c r="C213" s="18" t="n"/>
    </row>
    <row r="214">
      <c r="C214" s="18" t="n"/>
    </row>
    <row r="215">
      <c r="C215" s="18" t="n"/>
    </row>
    <row r="216">
      <c r="C216" s="18" t="n"/>
    </row>
    <row r="217">
      <c r="C217" s="18" t="n"/>
    </row>
    <row r="218">
      <c r="C218" s="18" t="n"/>
    </row>
    <row r="219">
      <c r="C219" s="18" t="n"/>
    </row>
    <row r="220">
      <c r="C220" s="18" t="n"/>
    </row>
    <row r="221">
      <c r="C221" s="18" t="n"/>
    </row>
    <row r="222">
      <c r="C222" s="18" t="n"/>
    </row>
    <row r="223">
      <c r="C223" s="18" t="n"/>
    </row>
    <row r="224">
      <c r="C224" s="18" t="n"/>
    </row>
    <row r="225">
      <c r="C225" s="18" t="n"/>
    </row>
    <row r="226">
      <c r="C226" s="18" t="n"/>
    </row>
    <row r="227">
      <c r="C227" s="18" t="n"/>
    </row>
    <row r="228">
      <c r="C228" s="18" t="n"/>
    </row>
    <row r="229">
      <c r="C229" s="18" t="n"/>
    </row>
    <row r="230">
      <c r="C230" s="18" t="n"/>
    </row>
    <row r="231">
      <c r="C231" s="18" t="n"/>
    </row>
    <row r="232">
      <c r="C232" s="18" t="n"/>
    </row>
    <row r="233">
      <c r="C233" s="18" t="n"/>
    </row>
    <row r="234">
      <c r="C234" s="18" t="n"/>
    </row>
    <row r="235">
      <c r="C235" s="18" t="n"/>
    </row>
    <row r="236">
      <c r="C236" s="18" t="n"/>
    </row>
    <row r="237">
      <c r="C237" s="18" t="n"/>
    </row>
    <row r="238">
      <c r="C238" s="18" t="n"/>
    </row>
    <row r="239">
      <c r="C239" s="18" t="n"/>
    </row>
    <row r="240">
      <c r="C240" s="18" t="n"/>
    </row>
    <row r="241">
      <c r="C241" s="18" t="n"/>
    </row>
    <row r="242">
      <c r="C242" s="18" t="n"/>
    </row>
    <row r="243">
      <c r="C243" s="18" t="n"/>
    </row>
    <row r="244">
      <c r="C244" s="18" t="n"/>
    </row>
    <row r="245">
      <c r="C245" s="18" t="n"/>
    </row>
    <row r="246">
      <c r="C246" s="18" t="n"/>
    </row>
    <row r="247">
      <c r="C247" s="18" t="n"/>
    </row>
    <row r="248">
      <c r="C248" s="18" t="n"/>
    </row>
    <row r="249">
      <c r="C249" s="18" t="n"/>
    </row>
    <row r="250">
      <c r="C250" s="18" t="n"/>
    </row>
    <row r="251">
      <c r="C251" s="18" t="n"/>
    </row>
    <row r="252">
      <c r="C252" s="18" t="n"/>
    </row>
    <row r="253">
      <c r="C253" s="18" t="n"/>
    </row>
    <row r="254">
      <c r="C254" s="18" t="n"/>
    </row>
    <row r="255">
      <c r="C255" s="18" t="n"/>
    </row>
    <row r="256">
      <c r="C256" s="18" t="n"/>
    </row>
    <row r="257">
      <c r="C257" s="18" t="n"/>
    </row>
    <row r="258">
      <c r="C258" s="18" t="n"/>
    </row>
    <row r="259">
      <c r="C259" s="18" t="n"/>
    </row>
    <row r="260">
      <c r="C260" s="18" t="n"/>
    </row>
    <row r="261">
      <c r="C261" s="18" t="n"/>
    </row>
    <row r="262">
      <c r="C262" s="18" t="n"/>
    </row>
    <row r="263">
      <c r="C263" s="18" t="n"/>
    </row>
    <row r="264">
      <c r="C264" s="18" t="n"/>
    </row>
    <row r="265">
      <c r="C265" s="18" t="n"/>
    </row>
    <row r="266">
      <c r="C266" s="18" t="n"/>
    </row>
    <row r="267">
      <c r="C267" s="18" t="n"/>
    </row>
    <row r="268">
      <c r="C268" s="18" t="n"/>
    </row>
    <row r="269">
      <c r="C269" s="18" t="n"/>
    </row>
    <row r="270">
      <c r="C270" s="18" t="n"/>
    </row>
    <row r="271">
      <c r="C271" s="18" t="n"/>
    </row>
    <row r="272">
      <c r="C272" s="18" t="n"/>
    </row>
    <row r="273">
      <c r="C273" s="18" t="n"/>
    </row>
    <row r="274">
      <c r="C274" s="18" t="n"/>
    </row>
    <row r="275">
      <c r="C275" s="18" t="n"/>
    </row>
    <row r="276">
      <c r="C276" s="18" t="n"/>
    </row>
    <row r="277">
      <c r="C277" s="18" t="n"/>
    </row>
    <row r="278">
      <c r="C278" s="18" t="n"/>
    </row>
    <row r="279">
      <c r="C279" s="18" t="n"/>
    </row>
    <row r="280">
      <c r="C280" s="18" t="n"/>
    </row>
    <row r="281">
      <c r="C281" s="18" t="n"/>
    </row>
    <row r="282">
      <c r="C282" s="18" t="n"/>
    </row>
    <row r="283">
      <c r="C283" s="18" t="n"/>
    </row>
    <row r="284">
      <c r="C284" s="18" t="n"/>
    </row>
    <row r="285">
      <c r="C285" s="18" t="n"/>
    </row>
    <row r="286">
      <c r="C286" s="18" t="n"/>
    </row>
    <row r="287">
      <c r="C287" s="18" t="n"/>
    </row>
    <row r="288">
      <c r="C288" s="18" t="n"/>
    </row>
    <row r="289">
      <c r="C289" s="18" t="n"/>
    </row>
    <row r="290">
      <c r="C290" s="18" t="n"/>
    </row>
    <row r="291">
      <c r="C291" s="18" t="n"/>
    </row>
    <row r="292">
      <c r="C292" s="18" t="n"/>
    </row>
    <row r="293">
      <c r="C293" s="18" t="n"/>
    </row>
    <row r="294">
      <c r="C294" s="18" t="n"/>
    </row>
    <row r="295">
      <c r="C295" s="18" t="n"/>
    </row>
    <row r="296">
      <c r="C296" s="18" t="n"/>
    </row>
    <row r="297">
      <c r="C297" s="18" t="n"/>
    </row>
    <row r="298">
      <c r="C298" s="18" t="n"/>
    </row>
    <row r="299">
      <c r="C299" s="18" t="n"/>
    </row>
    <row r="300">
      <c r="C300" s="18" t="n"/>
    </row>
    <row r="301">
      <c r="C301" s="18" t="n"/>
    </row>
    <row r="302">
      <c r="C302" s="18" t="n"/>
    </row>
    <row r="303">
      <c r="C303" s="18" t="n"/>
    </row>
    <row r="304">
      <c r="C304" s="18" t="n"/>
    </row>
    <row r="305">
      <c r="C305" s="18" t="n"/>
    </row>
    <row r="306">
      <c r="C306" s="18" t="n"/>
    </row>
    <row r="307">
      <c r="C307" s="18" t="n"/>
    </row>
    <row r="308">
      <c r="C308" s="18" t="n"/>
    </row>
    <row r="309">
      <c r="C309" s="18" t="n"/>
    </row>
    <row r="310">
      <c r="C310" s="18" t="n"/>
    </row>
    <row r="311">
      <c r="C311" s="18" t="n"/>
    </row>
    <row r="312">
      <c r="C312" s="18" t="n"/>
    </row>
    <row r="313">
      <c r="C313" s="18" t="n"/>
    </row>
    <row r="314">
      <c r="C314" s="18" t="n"/>
    </row>
    <row r="315">
      <c r="C315" s="18" t="n"/>
    </row>
    <row r="316">
      <c r="C316" s="18" t="n"/>
    </row>
    <row r="317">
      <c r="C317" s="18" t="n"/>
    </row>
    <row r="318">
      <c r="C318" s="18" t="n"/>
    </row>
    <row r="319">
      <c r="C319" s="18" t="n"/>
    </row>
    <row r="320">
      <c r="C320" s="18" t="n"/>
    </row>
    <row r="321">
      <c r="C321" s="18" t="n"/>
    </row>
    <row r="322">
      <c r="C322" s="18" t="n"/>
    </row>
    <row r="323">
      <c r="C323" s="18" t="n"/>
    </row>
    <row r="324">
      <c r="C324" s="18" t="n"/>
    </row>
    <row r="325">
      <c r="C325" s="18" t="n"/>
    </row>
    <row r="326">
      <c r="C326" s="18" t="n"/>
    </row>
    <row r="327">
      <c r="C327" s="18" t="n"/>
    </row>
    <row r="328">
      <c r="C328" s="18" t="n"/>
    </row>
    <row r="329">
      <c r="C329" s="18" t="n"/>
    </row>
    <row r="330">
      <c r="C330" s="18" t="n"/>
    </row>
    <row r="331">
      <c r="C331" s="18" t="n"/>
    </row>
    <row r="332">
      <c r="C332" s="18" t="n"/>
    </row>
    <row r="333">
      <c r="C333" s="18" t="n"/>
    </row>
    <row r="334">
      <c r="C334" s="18" t="n"/>
    </row>
    <row r="335">
      <c r="C335" s="18" t="n"/>
    </row>
    <row r="336">
      <c r="C336" s="18" t="n"/>
    </row>
    <row r="337">
      <c r="C337" s="18" t="n"/>
    </row>
    <row r="338">
      <c r="C338" s="18" t="n"/>
    </row>
    <row r="339">
      <c r="C339" s="18" t="n"/>
    </row>
    <row r="340">
      <c r="C340" s="18" t="n"/>
    </row>
    <row r="341">
      <c r="C341" s="18" t="n"/>
    </row>
    <row r="342">
      <c r="C342" s="18" t="n"/>
    </row>
    <row r="343">
      <c r="C343" s="18" t="n"/>
    </row>
    <row r="344">
      <c r="C344" s="18" t="n"/>
    </row>
    <row r="345">
      <c r="C345" s="18" t="n"/>
    </row>
    <row r="346">
      <c r="C346" s="18" t="n"/>
    </row>
    <row r="347">
      <c r="C347" s="18" t="n"/>
    </row>
    <row r="348">
      <c r="C348" s="18" t="n"/>
    </row>
    <row r="349">
      <c r="C349" s="18" t="n"/>
    </row>
    <row r="350">
      <c r="C350" s="18" t="n"/>
    </row>
    <row r="351">
      <c r="C351" s="18" t="n"/>
    </row>
    <row r="352">
      <c r="C352" s="18" t="n"/>
    </row>
    <row r="353">
      <c r="C353" s="18" t="n"/>
    </row>
    <row r="354">
      <c r="C354" s="18" t="n"/>
    </row>
    <row r="355">
      <c r="C355" s="18" t="n"/>
    </row>
    <row r="356">
      <c r="C356" s="18" t="n"/>
    </row>
    <row r="357">
      <c r="C357" s="18" t="n"/>
    </row>
    <row r="358">
      <c r="C358" s="18" t="n"/>
    </row>
    <row r="359">
      <c r="C359" s="18" t="n"/>
    </row>
    <row r="360">
      <c r="C360" s="18" t="n"/>
    </row>
    <row r="361">
      <c r="C361" s="18" t="n"/>
    </row>
    <row r="362">
      <c r="C362" s="18" t="n"/>
    </row>
    <row r="363">
      <c r="C363" s="18" t="n"/>
    </row>
    <row r="364">
      <c r="C364" s="18" t="n"/>
    </row>
    <row r="365">
      <c r="C365" s="18" t="n"/>
    </row>
    <row r="366">
      <c r="C366" s="18" t="n"/>
    </row>
    <row r="367">
      <c r="C367" s="18" t="n"/>
    </row>
    <row r="368">
      <c r="C368" s="18" t="n"/>
    </row>
    <row r="369">
      <c r="C369" s="18" t="n"/>
    </row>
    <row r="370">
      <c r="C370" s="18" t="n"/>
    </row>
    <row r="371">
      <c r="C371" s="18" t="n"/>
    </row>
    <row r="372">
      <c r="C372" s="18" t="n"/>
    </row>
    <row r="373">
      <c r="C373" s="18" t="n"/>
    </row>
    <row r="374">
      <c r="C374" s="18" t="n"/>
    </row>
    <row r="375">
      <c r="C375" s="18" t="n"/>
    </row>
    <row r="376">
      <c r="C376" s="18" t="n"/>
    </row>
    <row r="377">
      <c r="C377" s="18" t="n"/>
    </row>
    <row r="378">
      <c r="C378" s="18" t="n"/>
    </row>
    <row r="379">
      <c r="C379" s="18" t="n"/>
    </row>
    <row r="380">
      <c r="C380" s="18" t="n"/>
    </row>
    <row r="381">
      <c r="C381" s="18" t="n"/>
    </row>
    <row r="382">
      <c r="C382" s="18" t="n"/>
    </row>
    <row r="383">
      <c r="C383" s="18" t="n"/>
    </row>
    <row r="384">
      <c r="C384" s="18" t="n"/>
    </row>
    <row r="385">
      <c r="C385" s="18" t="n"/>
    </row>
    <row r="386">
      <c r="C386" s="18" t="n"/>
    </row>
    <row r="387">
      <c r="C387" s="18" t="n"/>
    </row>
    <row r="388">
      <c r="C388" s="18" t="n"/>
    </row>
    <row r="389">
      <c r="C389" s="18" t="n"/>
    </row>
    <row r="390">
      <c r="C390" s="18" t="n"/>
    </row>
    <row r="391">
      <c r="C391" s="18" t="n"/>
    </row>
    <row r="392">
      <c r="C392" s="18" t="n"/>
    </row>
    <row r="393">
      <c r="C393" s="18" t="n"/>
    </row>
    <row r="394">
      <c r="C394" s="18" t="n"/>
    </row>
    <row r="395">
      <c r="C395" s="18" t="n"/>
    </row>
    <row r="396">
      <c r="C396" s="18" t="n"/>
    </row>
    <row r="397">
      <c r="C397" s="18" t="n"/>
    </row>
    <row r="398">
      <c r="C398" s="18" t="n"/>
    </row>
    <row r="399">
      <c r="C399" s="18" t="n"/>
    </row>
    <row r="400">
      <c r="C400" s="18" t="n"/>
    </row>
    <row r="401">
      <c r="C401" s="18" t="n"/>
    </row>
    <row r="402">
      <c r="C402" s="18" t="n"/>
    </row>
    <row r="403">
      <c r="C403" s="18" t="n"/>
    </row>
    <row r="404">
      <c r="C404" s="18" t="n"/>
    </row>
    <row r="405">
      <c r="C405" s="18" t="n"/>
    </row>
    <row r="406">
      <c r="C406" s="18" t="n"/>
    </row>
    <row r="407">
      <c r="C407" s="18" t="n"/>
    </row>
    <row r="408">
      <c r="C408" s="18" t="n"/>
    </row>
    <row r="409">
      <c r="C409" s="18" t="n"/>
    </row>
    <row r="410">
      <c r="C410" s="18" t="n"/>
    </row>
    <row r="411">
      <c r="C411" s="18" t="n"/>
    </row>
    <row r="412">
      <c r="C412" s="18" t="n"/>
    </row>
    <row r="413">
      <c r="C413" s="18" t="n"/>
    </row>
    <row r="414">
      <c r="C414" s="18" t="n"/>
    </row>
    <row r="415">
      <c r="C415" s="18" t="n"/>
    </row>
    <row r="416">
      <c r="C416" s="18" t="n"/>
    </row>
    <row r="417">
      <c r="C417" s="18" t="n"/>
    </row>
    <row r="418">
      <c r="C418" s="18" t="n"/>
    </row>
    <row r="419">
      <c r="C419" s="18" t="n"/>
    </row>
    <row r="420">
      <c r="C420" s="18" t="n"/>
    </row>
    <row r="421">
      <c r="C421" s="18" t="n"/>
    </row>
    <row r="422">
      <c r="C422" s="18" t="n"/>
    </row>
    <row r="423">
      <c r="C423" s="18" t="n"/>
    </row>
    <row r="424">
      <c r="C424" s="18" t="n"/>
    </row>
    <row r="425">
      <c r="C425" s="18" t="n"/>
    </row>
    <row r="426">
      <c r="C426" s="18" t="n"/>
    </row>
    <row r="427">
      <c r="C427" s="18" t="n"/>
    </row>
    <row r="428">
      <c r="C428" s="18" t="n"/>
    </row>
    <row r="429">
      <c r="C429" s="18" t="n"/>
    </row>
    <row r="430">
      <c r="C430" s="18" t="n"/>
    </row>
    <row r="431">
      <c r="C431" s="18" t="n"/>
    </row>
    <row r="432">
      <c r="C432" s="18" t="n"/>
    </row>
    <row r="433">
      <c r="C433" s="18" t="n"/>
    </row>
    <row r="434">
      <c r="C434" s="18" t="n"/>
    </row>
    <row r="435">
      <c r="C435" s="18" t="n"/>
    </row>
    <row r="436">
      <c r="C436" s="18" t="n"/>
    </row>
    <row r="437">
      <c r="C437" s="18" t="n"/>
    </row>
    <row r="438">
      <c r="C438" s="18" t="n"/>
    </row>
    <row r="439">
      <c r="C439" s="18" t="n"/>
    </row>
    <row r="440">
      <c r="C440" s="18" t="n"/>
    </row>
    <row r="441">
      <c r="C441" s="18" t="n"/>
    </row>
    <row r="442">
      <c r="C442" s="18" t="n"/>
    </row>
    <row r="443">
      <c r="C443" s="18" t="n"/>
    </row>
    <row r="444">
      <c r="C444" s="18" t="n"/>
    </row>
    <row r="445">
      <c r="C445" s="18" t="n"/>
    </row>
    <row r="446">
      <c r="C446" s="18" t="n"/>
    </row>
    <row r="447">
      <c r="C447" s="18" t="n"/>
    </row>
    <row r="448">
      <c r="C448" s="18" t="n"/>
    </row>
    <row r="449">
      <c r="C449" s="18" t="n"/>
    </row>
    <row r="450">
      <c r="C450" s="18" t="n"/>
    </row>
    <row r="451">
      <c r="C451" s="18" t="n"/>
    </row>
    <row r="452">
      <c r="C452" s="18" t="n"/>
    </row>
    <row r="453">
      <c r="C453" s="18" t="n"/>
    </row>
    <row r="454">
      <c r="C454" s="18" t="n"/>
    </row>
    <row r="455">
      <c r="C455" s="18" t="n"/>
    </row>
    <row r="456">
      <c r="C456" s="18" t="n"/>
    </row>
    <row r="457">
      <c r="C457" s="18" t="n"/>
    </row>
    <row r="458">
      <c r="C458" s="18" t="n"/>
    </row>
    <row r="459">
      <c r="C459" s="18" t="n"/>
    </row>
    <row r="460">
      <c r="C460" s="18" t="n"/>
    </row>
    <row r="461">
      <c r="C461" s="18" t="n"/>
    </row>
    <row r="462">
      <c r="C462" s="18" t="n"/>
    </row>
    <row r="463">
      <c r="C463" s="18" t="n"/>
    </row>
    <row r="464">
      <c r="C464" s="18" t="n"/>
    </row>
    <row r="465">
      <c r="C465" s="18" t="n"/>
    </row>
    <row r="466">
      <c r="C466" s="18" t="n"/>
    </row>
    <row r="467">
      <c r="C467" s="18" t="n"/>
    </row>
    <row r="468">
      <c r="C468" s="18" t="n"/>
    </row>
    <row r="469">
      <c r="C469" s="18" t="n"/>
    </row>
    <row r="470">
      <c r="C470" s="18" t="n"/>
    </row>
    <row r="471">
      <c r="C471" s="18" t="n"/>
    </row>
    <row r="472">
      <c r="C472" s="18" t="n"/>
    </row>
    <row r="473">
      <c r="C473" s="18" t="n"/>
    </row>
    <row r="474">
      <c r="C474" s="18" t="n"/>
    </row>
    <row r="475">
      <c r="C475" s="18" t="n"/>
    </row>
    <row r="476">
      <c r="C476" s="18" t="n"/>
    </row>
    <row r="477">
      <c r="C477" s="18" t="n"/>
    </row>
    <row r="478">
      <c r="C478" s="18" t="n"/>
    </row>
    <row r="479">
      <c r="C479" s="18" t="n"/>
    </row>
    <row r="480">
      <c r="C480" s="18" t="n"/>
    </row>
    <row r="481">
      <c r="C481" s="18" t="n"/>
    </row>
    <row r="482">
      <c r="C482" s="18" t="n"/>
    </row>
    <row r="483">
      <c r="C483" s="18" t="n"/>
    </row>
    <row r="484">
      <c r="C484" s="18" t="n"/>
    </row>
    <row r="485">
      <c r="C485" s="18" t="n"/>
    </row>
    <row r="486">
      <c r="C486" s="18" t="n"/>
    </row>
    <row r="487">
      <c r="C487" s="18" t="n"/>
    </row>
    <row r="488">
      <c r="C488" s="18" t="n"/>
    </row>
    <row r="489">
      <c r="C489" s="18" t="n"/>
    </row>
    <row r="490">
      <c r="C490" s="18" t="n"/>
    </row>
    <row r="491">
      <c r="C491" s="18" t="n"/>
    </row>
    <row r="492">
      <c r="C492" s="18" t="n"/>
    </row>
    <row r="493">
      <c r="C493" s="18" t="n"/>
    </row>
    <row r="494">
      <c r="C494" s="18" t="n"/>
    </row>
    <row r="495">
      <c r="C495" s="18" t="n"/>
    </row>
    <row r="496">
      <c r="C496" s="18" t="n"/>
    </row>
    <row r="497">
      <c r="C497" s="18" t="n"/>
    </row>
    <row r="498">
      <c r="C498" s="18" t="n"/>
    </row>
    <row r="499">
      <c r="C499" s="18" t="n"/>
    </row>
    <row r="500">
      <c r="C500" s="18" t="n"/>
    </row>
    <row r="501">
      <c r="C501" s="18" t="n"/>
    </row>
    <row r="502">
      <c r="C502" s="18" t="n"/>
    </row>
    <row r="503">
      <c r="C503" s="18" t="n"/>
    </row>
    <row r="504">
      <c r="C504" s="18" t="n"/>
    </row>
    <row r="505">
      <c r="C505" s="18" t="n"/>
    </row>
    <row r="506">
      <c r="C506" s="18" t="n"/>
    </row>
    <row r="507">
      <c r="C507" s="18" t="n"/>
    </row>
    <row r="508">
      <c r="C508" s="18" t="n"/>
    </row>
    <row r="509">
      <c r="C509" s="18" t="n"/>
    </row>
    <row r="510">
      <c r="C510" s="18" t="n"/>
    </row>
    <row r="511">
      <c r="C511" s="18" t="n"/>
    </row>
    <row r="512">
      <c r="C512" s="18" t="n"/>
    </row>
    <row r="513">
      <c r="C513" s="18" t="n"/>
    </row>
    <row r="514">
      <c r="C514" s="18" t="n"/>
    </row>
    <row r="515">
      <c r="C515" s="18" t="n"/>
    </row>
    <row r="516">
      <c r="C516" s="18" t="n"/>
    </row>
    <row r="517">
      <c r="C517" s="18" t="n"/>
    </row>
    <row r="518">
      <c r="C518" s="18" t="n"/>
    </row>
    <row r="519">
      <c r="C519" s="18" t="n"/>
    </row>
    <row r="520">
      <c r="C520" s="18" t="n"/>
    </row>
    <row r="521">
      <c r="C521" s="18" t="n"/>
    </row>
    <row r="522">
      <c r="C522" s="18" t="n"/>
    </row>
    <row r="523">
      <c r="C523" s="18" t="n"/>
    </row>
    <row r="524">
      <c r="C524" s="18" t="n"/>
    </row>
    <row r="525">
      <c r="C525" s="18" t="n"/>
    </row>
    <row r="526">
      <c r="C526" s="18" t="n"/>
    </row>
    <row r="527">
      <c r="C527" s="18" t="n"/>
    </row>
    <row r="528">
      <c r="C528" s="18" t="n"/>
    </row>
    <row r="529">
      <c r="C529" s="18" t="n"/>
    </row>
    <row r="530">
      <c r="C530" s="18" t="n"/>
    </row>
    <row r="531">
      <c r="C531" s="18" t="n"/>
    </row>
    <row r="532">
      <c r="C532" s="18" t="n"/>
    </row>
    <row r="533">
      <c r="C533" s="18" t="n"/>
    </row>
    <row r="534">
      <c r="C534" s="18" t="n"/>
    </row>
    <row r="535">
      <c r="C535" s="18" t="n"/>
    </row>
    <row r="536">
      <c r="C536" s="18" t="n"/>
    </row>
    <row r="537">
      <c r="C537" s="18" t="n"/>
    </row>
    <row r="538">
      <c r="C538" s="18" t="n"/>
    </row>
    <row r="539">
      <c r="C539" s="18" t="n"/>
    </row>
    <row r="540">
      <c r="C540" s="18" t="n"/>
    </row>
    <row r="541">
      <c r="C541" s="18" t="n"/>
    </row>
    <row r="542">
      <c r="C542" s="18" t="n"/>
    </row>
    <row r="543">
      <c r="C543" s="18" t="n"/>
    </row>
    <row r="544">
      <c r="C544" s="18" t="n"/>
    </row>
    <row r="545">
      <c r="C545" s="18" t="n"/>
    </row>
    <row r="546">
      <c r="C546" s="18" t="n"/>
    </row>
    <row r="547">
      <c r="C547" s="18" t="n"/>
    </row>
    <row r="548">
      <c r="C548" s="18" t="n"/>
    </row>
    <row r="549">
      <c r="C549" s="18" t="n"/>
    </row>
    <row r="550">
      <c r="C550" s="18" t="n"/>
    </row>
    <row r="551">
      <c r="C551" s="18" t="n"/>
    </row>
    <row r="552">
      <c r="C552" s="18" t="n"/>
    </row>
    <row r="553">
      <c r="C553" s="18" t="n"/>
    </row>
    <row r="554">
      <c r="C554" s="18" t="n"/>
    </row>
    <row r="555">
      <c r="C555" s="18" t="n"/>
    </row>
    <row r="556">
      <c r="C556" s="18" t="n"/>
    </row>
    <row r="557">
      <c r="C557" s="18" t="n"/>
    </row>
    <row r="558">
      <c r="C558" s="18" t="n"/>
    </row>
    <row r="559">
      <c r="C559" s="18" t="n"/>
    </row>
    <row r="560">
      <c r="C560" s="18" t="n"/>
    </row>
    <row r="561">
      <c r="C561" s="18" t="n"/>
    </row>
    <row r="562">
      <c r="C562" s="18" t="n"/>
    </row>
    <row r="563">
      <c r="C563" s="18" t="n"/>
    </row>
    <row r="564">
      <c r="C564" s="18" t="n"/>
    </row>
    <row r="565">
      <c r="C565" s="18" t="n"/>
    </row>
    <row r="566">
      <c r="C566" s="18" t="n"/>
    </row>
    <row r="567">
      <c r="C567" s="18" t="n"/>
    </row>
    <row r="568">
      <c r="C568" s="18" t="n"/>
    </row>
    <row r="569">
      <c r="C569" s="18" t="n"/>
    </row>
    <row r="570">
      <c r="C570" s="18" t="n"/>
    </row>
    <row r="571">
      <c r="C571" s="18" t="n"/>
    </row>
    <row r="572">
      <c r="C572" s="18" t="n"/>
    </row>
    <row r="573">
      <c r="C573" s="18" t="n"/>
    </row>
    <row r="574">
      <c r="C574" s="18" t="n"/>
    </row>
    <row r="575">
      <c r="C575" s="18" t="n"/>
    </row>
    <row r="576">
      <c r="C576" s="18" t="n"/>
    </row>
    <row r="577">
      <c r="C577" s="18" t="n"/>
    </row>
    <row r="578">
      <c r="C578" s="18" t="n"/>
    </row>
    <row r="579">
      <c r="C579" s="18" t="n"/>
    </row>
    <row r="580">
      <c r="C580" s="18" t="n"/>
    </row>
    <row r="581">
      <c r="C581" s="18" t="n"/>
    </row>
    <row r="582">
      <c r="C582" s="18" t="n"/>
    </row>
    <row r="583">
      <c r="C583" s="18" t="n"/>
    </row>
    <row r="584">
      <c r="C584" s="18" t="n"/>
    </row>
    <row r="585">
      <c r="C585" s="18" t="n"/>
    </row>
    <row r="586">
      <c r="C586" s="18" t="n"/>
    </row>
    <row r="587">
      <c r="C587" s="18" t="n"/>
    </row>
    <row r="588">
      <c r="C588" s="18" t="n"/>
    </row>
    <row r="589">
      <c r="C589" s="18" t="n"/>
    </row>
    <row r="590">
      <c r="C590" s="18" t="n"/>
    </row>
    <row r="591">
      <c r="C591" s="18" t="n"/>
    </row>
    <row r="592">
      <c r="C592" s="18" t="n"/>
    </row>
    <row r="593">
      <c r="C593" s="18" t="n"/>
    </row>
    <row r="594">
      <c r="C594" s="18" t="n"/>
    </row>
    <row r="595">
      <c r="C595" s="18" t="n"/>
    </row>
    <row r="596">
      <c r="C596" s="18" t="n"/>
    </row>
    <row r="597">
      <c r="C597" s="18" t="n"/>
    </row>
    <row r="598">
      <c r="C598" s="18" t="n"/>
    </row>
    <row r="599">
      <c r="C599" s="18" t="n"/>
    </row>
    <row r="600">
      <c r="C600" s="18" t="n"/>
    </row>
    <row r="601">
      <c r="C601" s="18" t="n"/>
    </row>
    <row r="602">
      <c r="C602" s="18" t="n"/>
    </row>
    <row r="603">
      <c r="C603" s="18" t="n"/>
    </row>
    <row r="604">
      <c r="C604" s="18" t="n"/>
    </row>
    <row r="605">
      <c r="C605" s="18" t="n"/>
    </row>
    <row r="606">
      <c r="C606" s="18" t="n"/>
    </row>
    <row r="607">
      <c r="C607" s="18" t="n"/>
    </row>
    <row r="608">
      <c r="C608" s="18" t="n"/>
    </row>
    <row r="609">
      <c r="C609" s="18" t="n"/>
    </row>
    <row r="610">
      <c r="C610" s="18" t="n"/>
    </row>
    <row r="611">
      <c r="C611" s="18" t="n"/>
    </row>
    <row r="612">
      <c r="C612" s="18" t="n"/>
    </row>
    <row r="613">
      <c r="C613" s="18" t="n"/>
    </row>
    <row r="614">
      <c r="C614" s="18" t="n"/>
    </row>
    <row r="615">
      <c r="C615" s="18" t="n"/>
    </row>
    <row r="616">
      <c r="C616" s="18" t="n"/>
    </row>
    <row r="617">
      <c r="C617" s="18" t="n"/>
    </row>
    <row r="618">
      <c r="C618" s="18" t="n"/>
    </row>
    <row r="619">
      <c r="C619" s="18" t="n"/>
    </row>
    <row r="620">
      <c r="C620" s="18" t="n"/>
    </row>
    <row r="621">
      <c r="C621" s="18" t="n"/>
    </row>
    <row r="622">
      <c r="C622" s="18" t="n"/>
    </row>
    <row r="623">
      <c r="C623" s="18" t="n"/>
    </row>
    <row r="624">
      <c r="C624" s="18" t="n"/>
    </row>
    <row r="625">
      <c r="C625" s="18" t="n"/>
    </row>
    <row r="626">
      <c r="C626" s="18" t="n"/>
    </row>
    <row r="627">
      <c r="C627" s="18" t="n"/>
    </row>
    <row r="628">
      <c r="C628" s="18" t="n"/>
    </row>
    <row r="629">
      <c r="C629" s="18" t="n"/>
    </row>
    <row r="630">
      <c r="C630" s="18" t="n"/>
    </row>
    <row r="631">
      <c r="C631" s="18" t="n"/>
    </row>
    <row r="632">
      <c r="C632" s="18" t="n"/>
    </row>
    <row r="633">
      <c r="C633" s="18" t="n"/>
    </row>
    <row r="634">
      <c r="C634" s="18" t="n"/>
    </row>
    <row r="635">
      <c r="C635" s="18" t="n"/>
    </row>
    <row r="636">
      <c r="C636" s="18" t="n"/>
    </row>
    <row r="637">
      <c r="C637" s="18" t="n"/>
    </row>
    <row r="638">
      <c r="C638" s="18" t="n"/>
    </row>
    <row r="639">
      <c r="C639" s="18" t="n"/>
    </row>
    <row r="640">
      <c r="C640" s="18" t="n"/>
    </row>
    <row r="641">
      <c r="C641" s="18" t="n"/>
    </row>
    <row r="642">
      <c r="C642" s="18" t="n"/>
    </row>
    <row r="643">
      <c r="C643" s="18" t="n"/>
    </row>
    <row r="644">
      <c r="C644" s="18" t="n"/>
    </row>
    <row r="645">
      <c r="C645" s="18" t="n"/>
    </row>
    <row r="646">
      <c r="C646" s="18" t="n"/>
    </row>
    <row r="647">
      <c r="C647" s="18" t="n"/>
    </row>
    <row r="648">
      <c r="C648" s="18" t="n"/>
    </row>
    <row r="649">
      <c r="C649" s="18" t="n"/>
    </row>
    <row r="650">
      <c r="C650" s="18" t="n"/>
    </row>
    <row r="651">
      <c r="C651" s="18" t="n"/>
    </row>
    <row r="652">
      <c r="C652" s="18" t="n"/>
    </row>
    <row r="653">
      <c r="C653" s="18" t="n"/>
    </row>
    <row r="654">
      <c r="C654" s="18" t="n"/>
    </row>
    <row r="655">
      <c r="C655" s="18" t="n"/>
    </row>
    <row r="656">
      <c r="C656" s="18" t="n"/>
    </row>
    <row r="657">
      <c r="C657" s="18" t="n"/>
    </row>
    <row r="658">
      <c r="C658" s="18" t="n"/>
    </row>
    <row r="659">
      <c r="C659" s="18" t="n"/>
    </row>
    <row r="660">
      <c r="C660" s="18" t="n"/>
    </row>
    <row r="661">
      <c r="C661" s="18" t="n"/>
    </row>
    <row r="662">
      <c r="C662" s="18" t="n"/>
    </row>
    <row r="663">
      <c r="C663" s="18" t="n"/>
    </row>
    <row r="664">
      <c r="C664" s="18" t="n"/>
    </row>
    <row r="665">
      <c r="C665" s="18" t="n"/>
    </row>
    <row r="666">
      <c r="C666" s="18" t="n"/>
    </row>
    <row r="667">
      <c r="C667" s="18" t="n"/>
    </row>
    <row r="668">
      <c r="C668" s="18" t="n"/>
    </row>
    <row r="669">
      <c r="C669" s="18" t="n"/>
    </row>
    <row r="670">
      <c r="C670" s="18" t="n"/>
    </row>
    <row r="671">
      <c r="C671" s="18" t="n"/>
    </row>
    <row r="672">
      <c r="C672" s="18" t="n"/>
    </row>
    <row r="673">
      <c r="C673" s="18" t="n"/>
    </row>
    <row r="674">
      <c r="C674" s="18" t="n"/>
    </row>
    <row r="675">
      <c r="C675" s="18" t="n"/>
    </row>
    <row r="676">
      <c r="C676" s="18" t="n"/>
    </row>
    <row r="677">
      <c r="C677" s="18" t="n"/>
    </row>
    <row r="678">
      <c r="C678" s="18" t="n"/>
    </row>
    <row r="679">
      <c r="C679" s="18" t="n"/>
    </row>
    <row r="680">
      <c r="C680" s="18" t="n"/>
    </row>
    <row r="681">
      <c r="C681" s="18" t="n"/>
    </row>
    <row r="682">
      <c r="C682" s="18" t="n"/>
    </row>
    <row r="683">
      <c r="C683" s="18" t="n"/>
    </row>
    <row r="684">
      <c r="C684" s="18" t="n"/>
    </row>
    <row r="685">
      <c r="C685" s="18" t="n"/>
    </row>
    <row r="686">
      <c r="C686" s="18" t="n"/>
    </row>
    <row r="687">
      <c r="C687" s="18" t="n"/>
    </row>
    <row r="688">
      <c r="C688" s="18" t="n"/>
    </row>
    <row r="689">
      <c r="C689" s="18" t="n"/>
    </row>
    <row r="690">
      <c r="C690" s="18" t="n"/>
    </row>
    <row r="691">
      <c r="C691" s="18" t="n"/>
    </row>
    <row r="692">
      <c r="C692" s="18" t="n"/>
    </row>
    <row r="693">
      <c r="C693" s="18" t="n"/>
    </row>
    <row r="694">
      <c r="C694" s="18" t="n"/>
    </row>
    <row r="695">
      <c r="C695" s="18" t="n"/>
    </row>
    <row r="696">
      <c r="C696" s="18" t="n"/>
    </row>
    <row r="697">
      <c r="C697" s="18" t="n"/>
    </row>
    <row r="698">
      <c r="C698" s="18" t="n"/>
    </row>
    <row r="699">
      <c r="C699" s="18" t="n"/>
    </row>
    <row r="700">
      <c r="C700" s="18" t="n"/>
    </row>
    <row r="701">
      <c r="C701" s="18" t="n"/>
    </row>
    <row r="702">
      <c r="C702" s="18" t="n"/>
    </row>
    <row r="703">
      <c r="C703" s="18" t="n"/>
    </row>
    <row r="704">
      <c r="C704" s="18" t="n"/>
    </row>
    <row r="705">
      <c r="C705" s="18" t="n"/>
    </row>
    <row r="706">
      <c r="C706" s="18" t="n"/>
    </row>
    <row r="707">
      <c r="C707" s="18" t="n"/>
    </row>
    <row r="708">
      <c r="C708" s="18" t="n"/>
    </row>
    <row r="709">
      <c r="C709" s="18" t="n"/>
    </row>
    <row r="710">
      <c r="C710" s="18" t="n"/>
    </row>
    <row r="711">
      <c r="C711" s="18" t="n"/>
    </row>
    <row r="712">
      <c r="C712" s="18" t="n"/>
    </row>
    <row r="713">
      <c r="C713" s="18" t="n"/>
    </row>
    <row r="714">
      <c r="C714" s="18" t="n"/>
    </row>
    <row r="715">
      <c r="C715" s="18" t="n"/>
    </row>
    <row r="716">
      <c r="C716" s="18" t="n"/>
    </row>
    <row r="717">
      <c r="C717" s="18" t="n"/>
    </row>
    <row r="718">
      <c r="C718" s="18" t="n"/>
    </row>
    <row r="719">
      <c r="C719" s="18" t="n"/>
    </row>
    <row r="720">
      <c r="C720" s="18" t="n"/>
    </row>
    <row r="721">
      <c r="C721" s="18" t="n"/>
    </row>
    <row r="722">
      <c r="C722" s="18" t="n"/>
    </row>
    <row r="723">
      <c r="C723" s="18" t="n"/>
    </row>
    <row r="724">
      <c r="C724" s="18" t="n"/>
    </row>
    <row r="725">
      <c r="C725" s="18" t="n"/>
    </row>
    <row r="726">
      <c r="C726" s="18" t="n"/>
    </row>
    <row r="727">
      <c r="C727" s="18" t="n"/>
    </row>
    <row r="728">
      <c r="C728" s="18" t="n"/>
    </row>
    <row r="729">
      <c r="C729" s="18" t="n"/>
    </row>
    <row r="730">
      <c r="C730" s="18" t="n"/>
    </row>
    <row r="731">
      <c r="C731" s="18" t="n"/>
    </row>
    <row r="732">
      <c r="C732" s="18" t="n"/>
    </row>
    <row r="733">
      <c r="C733" s="18" t="n"/>
    </row>
    <row r="734">
      <c r="C734" s="18" t="n"/>
    </row>
    <row r="735">
      <c r="C735" s="18" t="n"/>
    </row>
    <row r="736">
      <c r="C736" s="18" t="n"/>
    </row>
    <row r="737">
      <c r="C737" s="18" t="n"/>
    </row>
    <row r="738">
      <c r="C738" s="18" t="n"/>
    </row>
    <row r="739">
      <c r="C739" s="18" t="n"/>
    </row>
    <row r="740">
      <c r="C740" s="18" t="n"/>
    </row>
    <row r="741">
      <c r="C741" s="18" t="n"/>
    </row>
    <row r="742">
      <c r="C742" s="18" t="n"/>
    </row>
    <row r="743">
      <c r="C743" s="18" t="n"/>
    </row>
    <row r="744">
      <c r="C744" s="18" t="n"/>
    </row>
    <row r="745">
      <c r="C745" s="18" t="n"/>
    </row>
    <row r="746">
      <c r="C746" s="18" t="n"/>
    </row>
    <row r="747">
      <c r="C747" s="18" t="n"/>
    </row>
    <row r="748">
      <c r="C748" s="18" t="n"/>
    </row>
    <row r="749">
      <c r="C749" s="18" t="n"/>
    </row>
    <row r="750">
      <c r="C750" s="18" t="n"/>
    </row>
    <row r="751">
      <c r="C751" s="18" t="n"/>
    </row>
    <row r="752">
      <c r="C752" s="18" t="n"/>
    </row>
    <row r="753">
      <c r="C753" s="18" t="n"/>
    </row>
    <row r="754">
      <c r="C754" s="18" t="n"/>
    </row>
    <row r="755">
      <c r="C755" s="18" t="n"/>
    </row>
    <row r="756">
      <c r="C756" s="18" t="n"/>
    </row>
    <row r="757">
      <c r="C757" s="18" t="n"/>
    </row>
    <row r="758">
      <c r="C758" s="18" t="n"/>
    </row>
    <row r="759">
      <c r="C759" s="18" t="n"/>
    </row>
    <row r="760">
      <c r="C760" s="18" t="n"/>
    </row>
    <row r="761">
      <c r="C761" s="18" t="n"/>
    </row>
    <row r="762">
      <c r="C762" s="18" t="n"/>
    </row>
    <row r="763">
      <c r="C763" s="18" t="n"/>
    </row>
    <row r="764">
      <c r="C764" s="18" t="n"/>
    </row>
    <row r="765">
      <c r="C765" s="18" t="n"/>
    </row>
    <row r="766">
      <c r="C766" s="18" t="n"/>
    </row>
    <row r="767">
      <c r="C767" s="18" t="n"/>
    </row>
    <row r="768">
      <c r="C768" s="18" t="n"/>
    </row>
    <row r="769">
      <c r="C769" s="18" t="n"/>
    </row>
    <row r="770">
      <c r="C770" s="18" t="n"/>
    </row>
    <row r="771">
      <c r="C771" s="18" t="n"/>
    </row>
    <row r="772">
      <c r="C772" s="18" t="n"/>
    </row>
    <row r="773">
      <c r="C773" s="18" t="n"/>
    </row>
    <row r="774">
      <c r="C774" s="18" t="n"/>
    </row>
    <row r="775">
      <c r="C775" s="18" t="n"/>
    </row>
    <row r="776">
      <c r="C776" s="18" t="n"/>
    </row>
    <row r="777">
      <c r="C777" s="18" t="n"/>
    </row>
    <row r="778">
      <c r="C778" s="18" t="n"/>
    </row>
    <row r="779">
      <c r="C779" s="18" t="n"/>
    </row>
    <row r="780">
      <c r="C780" s="18" t="n"/>
    </row>
    <row r="781">
      <c r="C781" s="18" t="n"/>
    </row>
    <row r="782">
      <c r="C782" s="18" t="n"/>
    </row>
    <row r="783">
      <c r="C783" s="18" t="n"/>
    </row>
    <row r="784">
      <c r="C784" s="18" t="n"/>
    </row>
    <row r="785">
      <c r="C785" s="18" t="n"/>
    </row>
    <row r="786">
      <c r="C786" s="18" t="n"/>
    </row>
    <row r="787">
      <c r="C787" s="18" t="n"/>
    </row>
    <row r="788">
      <c r="C788" s="18" t="n"/>
    </row>
    <row r="789">
      <c r="C789" s="18" t="n"/>
    </row>
    <row r="790">
      <c r="C790" s="18" t="n"/>
    </row>
    <row r="791">
      <c r="C791" s="18" t="n"/>
    </row>
    <row r="792">
      <c r="C792" s="18" t="n"/>
    </row>
    <row r="793">
      <c r="C793" s="18" t="n"/>
    </row>
    <row r="794">
      <c r="C794" s="18" t="n"/>
    </row>
    <row r="795">
      <c r="C795" s="18" t="n"/>
    </row>
    <row r="796">
      <c r="C796" s="18" t="n"/>
    </row>
    <row r="797">
      <c r="C797" s="18" t="n"/>
    </row>
    <row r="798">
      <c r="C798" s="18" t="n"/>
    </row>
    <row r="799">
      <c r="C799" s="18" t="n"/>
    </row>
    <row r="800">
      <c r="C800" s="18" t="n"/>
    </row>
    <row r="801">
      <c r="C801" s="18" t="n"/>
    </row>
    <row r="802">
      <c r="C802" s="18" t="n"/>
    </row>
    <row r="803">
      <c r="C803" s="18" t="n"/>
    </row>
    <row r="804">
      <c r="C804" s="18" t="n"/>
    </row>
    <row r="805">
      <c r="C805" s="18" t="n"/>
    </row>
    <row r="806">
      <c r="C806" s="18" t="n"/>
    </row>
    <row r="807">
      <c r="C807" s="18" t="n"/>
    </row>
    <row r="808">
      <c r="C808" s="18" t="n"/>
    </row>
    <row r="809">
      <c r="C809" s="18" t="n"/>
    </row>
    <row r="810">
      <c r="C810" s="18" t="n"/>
    </row>
    <row r="811">
      <c r="C811" s="18" t="n"/>
    </row>
    <row r="812">
      <c r="C812" s="18" t="n"/>
    </row>
    <row r="813">
      <c r="C813" s="18" t="n"/>
    </row>
    <row r="814">
      <c r="C814" s="18" t="n"/>
    </row>
    <row r="815">
      <c r="C815" s="18" t="n"/>
    </row>
    <row r="816">
      <c r="C816" s="18" t="n"/>
    </row>
    <row r="817">
      <c r="C817" s="18" t="n"/>
    </row>
    <row r="818">
      <c r="C818" s="18" t="n"/>
    </row>
    <row r="819">
      <c r="C819" s="18" t="n"/>
    </row>
    <row r="820">
      <c r="C820" s="18" t="n"/>
    </row>
    <row r="821">
      <c r="C821" s="18" t="n"/>
    </row>
    <row r="822">
      <c r="C822" s="18" t="n"/>
    </row>
    <row r="823">
      <c r="C823" s="18" t="n"/>
    </row>
    <row r="824">
      <c r="C824" s="18" t="n"/>
    </row>
    <row r="825">
      <c r="C825" s="18" t="n"/>
    </row>
    <row r="826">
      <c r="C826" s="18" t="n"/>
    </row>
    <row r="827">
      <c r="C827" s="18" t="n"/>
    </row>
    <row r="828">
      <c r="C828" s="18" t="n"/>
    </row>
    <row r="829">
      <c r="C829" s="18" t="n"/>
    </row>
    <row r="830">
      <c r="C830" s="18" t="n"/>
    </row>
    <row r="831">
      <c r="C831" s="18" t="n"/>
    </row>
    <row r="832">
      <c r="C832" s="18" t="n"/>
    </row>
    <row r="833">
      <c r="C833" s="18" t="n"/>
    </row>
    <row r="834">
      <c r="C834" s="18" t="n"/>
    </row>
    <row r="835">
      <c r="C835" s="18" t="n"/>
    </row>
    <row r="836">
      <c r="C836" s="18" t="n"/>
    </row>
    <row r="837">
      <c r="C837" s="18" t="n"/>
    </row>
    <row r="838">
      <c r="C838" s="18" t="n"/>
    </row>
    <row r="839">
      <c r="C839" s="18" t="n"/>
    </row>
    <row r="840">
      <c r="C840" s="18" t="n"/>
    </row>
    <row r="841">
      <c r="C841" s="18" t="n"/>
    </row>
    <row r="842">
      <c r="C842" s="18" t="n"/>
    </row>
    <row r="843">
      <c r="C843" s="18" t="n"/>
    </row>
    <row r="844">
      <c r="C844" s="18" t="n"/>
    </row>
    <row r="845">
      <c r="C845" s="18" t="n"/>
    </row>
    <row r="846">
      <c r="C846" s="18" t="n"/>
    </row>
    <row r="847">
      <c r="C847" s="18" t="n"/>
    </row>
    <row r="848">
      <c r="C848" s="18" t="n"/>
    </row>
    <row r="849">
      <c r="C849" s="18" t="n"/>
    </row>
    <row r="850">
      <c r="C850" s="18" t="n"/>
    </row>
    <row r="851">
      <c r="C851" s="18" t="n"/>
    </row>
    <row r="852">
      <c r="C852" s="18" t="n"/>
    </row>
    <row r="853">
      <c r="C853" s="18" t="n"/>
    </row>
    <row r="854">
      <c r="C854" s="18" t="n"/>
    </row>
    <row r="855">
      <c r="C855" s="18" t="n"/>
    </row>
    <row r="856">
      <c r="C856" s="18" t="n"/>
    </row>
    <row r="857">
      <c r="C857" s="18" t="n"/>
    </row>
    <row r="858">
      <c r="C858" s="18" t="n"/>
    </row>
    <row r="859">
      <c r="C859" s="18" t="n"/>
    </row>
    <row r="860">
      <c r="C860" s="18" t="n"/>
    </row>
    <row r="861">
      <c r="C861" s="18" t="n"/>
    </row>
    <row r="862">
      <c r="C862" s="18" t="n"/>
    </row>
    <row r="863">
      <c r="C863" s="18" t="n"/>
    </row>
    <row r="864">
      <c r="C864" s="18" t="n"/>
    </row>
    <row r="865">
      <c r="C865" s="18" t="n"/>
    </row>
    <row r="866">
      <c r="C866" s="18" t="n"/>
    </row>
    <row r="867">
      <c r="C867" s="18" t="n"/>
    </row>
    <row r="868">
      <c r="C868" s="18" t="n"/>
    </row>
    <row r="869">
      <c r="C869" s="18" t="n"/>
    </row>
    <row r="870">
      <c r="C870" s="18" t="n"/>
    </row>
    <row r="871">
      <c r="C871" s="18" t="n"/>
    </row>
    <row r="872">
      <c r="C872" s="18" t="n"/>
    </row>
    <row r="873">
      <c r="C873" s="18" t="n"/>
    </row>
    <row r="874">
      <c r="C874" s="18" t="n"/>
    </row>
    <row r="875">
      <c r="C875" s="18" t="n"/>
    </row>
    <row r="876">
      <c r="C876" s="18" t="n"/>
    </row>
    <row r="877">
      <c r="C877" s="18" t="n"/>
    </row>
    <row r="878">
      <c r="C878" s="18" t="n"/>
    </row>
    <row r="879">
      <c r="C879" s="18" t="n"/>
    </row>
    <row r="880">
      <c r="C880" s="18" t="n"/>
    </row>
    <row r="881">
      <c r="C881" s="18" t="n"/>
    </row>
    <row r="882">
      <c r="C882" s="18" t="n"/>
    </row>
    <row r="883">
      <c r="C883" s="18" t="n"/>
    </row>
    <row r="884">
      <c r="C884" s="18" t="n"/>
    </row>
    <row r="885">
      <c r="C885" s="18" t="n"/>
    </row>
    <row r="886">
      <c r="C886" s="18" t="n"/>
    </row>
    <row r="887">
      <c r="C887" s="18" t="n"/>
    </row>
    <row r="888">
      <c r="C888" s="18" t="n"/>
    </row>
    <row r="889">
      <c r="C889" s="18" t="n"/>
    </row>
    <row r="890">
      <c r="C890" s="18" t="n"/>
    </row>
    <row r="891">
      <c r="C891" s="18" t="n"/>
    </row>
    <row r="892">
      <c r="C892" s="18" t="n"/>
    </row>
    <row r="893">
      <c r="C893" s="18" t="n"/>
    </row>
    <row r="894">
      <c r="C894" s="18" t="n"/>
    </row>
    <row r="895">
      <c r="C895" s="18" t="n"/>
    </row>
    <row r="896">
      <c r="C896" s="18" t="n"/>
    </row>
    <row r="897">
      <c r="C897" s="18" t="n"/>
    </row>
    <row r="898">
      <c r="C898" s="18" t="n"/>
    </row>
    <row r="899">
      <c r="C899" s="18" t="n"/>
    </row>
    <row r="900">
      <c r="C900" s="18" t="n"/>
    </row>
    <row r="901">
      <c r="C901" s="18" t="n"/>
    </row>
    <row r="902">
      <c r="C902" s="18" t="n"/>
    </row>
    <row r="903">
      <c r="C903" s="18" t="n"/>
    </row>
    <row r="904">
      <c r="C904" s="18" t="n"/>
    </row>
    <row r="905">
      <c r="C905" s="18" t="n"/>
    </row>
    <row r="906">
      <c r="C906" s="18" t="n"/>
    </row>
    <row r="907">
      <c r="C907" s="18" t="n"/>
    </row>
    <row r="908">
      <c r="C908" s="18" t="n"/>
    </row>
    <row r="909">
      <c r="C909" s="18" t="n"/>
    </row>
    <row r="910">
      <c r="C910" s="18" t="n"/>
    </row>
    <row r="911">
      <c r="C911" s="18" t="n"/>
    </row>
    <row r="912">
      <c r="C912" s="18" t="n"/>
    </row>
    <row r="913">
      <c r="C913" s="18" t="n"/>
    </row>
    <row r="914">
      <c r="C914" s="18" t="n"/>
    </row>
    <row r="915">
      <c r="C915" s="18" t="n"/>
    </row>
    <row r="916">
      <c r="C916" s="18" t="n"/>
    </row>
    <row r="917">
      <c r="C917" s="18" t="n"/>
    </row>
    <row r="918">
      <c r="C918" s="18" t="n"/>
    </row>
    <row r="919">
      <c r="C919" s="18" t="n"/>
    </row>
    <row r="920">
      <c r="C920" s="18" t="n"/>
    </row>
    <row r="921">
      <c r="C921" s="18" t="n"/>
    </row>
    <row r="922">
      <c r="C922" s="18" t="n"/>
    </row>
    <row r="923">
      <c r="C923" s="18" t="n"/>
    </row>
    <row r="924">
      <c r="C924" s="18" t="n"/>
    </row>
    <row r="925">
      <c r="C925" s="18" t="n"/>
    </row>
    <row r="926">
      <c r="C926" s="18" t="n"/>
    </row>
    <row r="927">
      <c r="C927" s="18" t="n"/>
    </row>
    <row r="928">
      <c r="C928" s="18" t="n"/>
    </row>
    <row r="929">
      <c r="C929" s="18" t="n"/>
    </row>
    <row r="930">
      <c r="C930" s="18" t="n"/>
    </row>
    <row r="931">
      <c r="C931" s="18" t="n"/>
    </row>
    <row r="932">
      <c r="C932" s="18" t="n"/>
    </row>
    <row r="933">
      <c r="C933" s="18" t="n"/>
    </row>
    <row r="934">
      <c r="C934" s="18" t="n"/>
    </row>
    <row r="935">
      <c r="C935" s="18" t="n"/>
    </row>
    <row r="936">
      <c r="C936" s="18" t="n"/>
    </row>
    <row r="937">
      <c r="C937" s="18" t="n"/>
    </row>
    <row r="938">
      <c r="C938" s="18" t="n"/>
    </row>
    <row r="939">
      <c r="C939" s="18" t="n"/>
    </row>
    <row r="940">
      <c r="C940" s="18" t="n"/>
    </row>
    <row r="941">
      <c r="C941" s="18" t="n"/>
    </row>
    <row r="942">
      <c r="C942" s="18" t="n"/>
    </row>
    <row r="943">
      <c r="C943" s="18" t="n"/>
    </row>
    <row r="944">
      <c r="C944" s="18" t="n"/>
    </row>
    <row r="945">
      <c r="C945" s="18" t="n"/>
    </row>
    <row r="946">
      <c r="C946" s="18" t="n"/>
    </row>
    <row r="947">
      <c r="C947" s="18" t="n"/>
    </row>
    <row r="948">
      <c r="C948" s="18" t="n"/>
    </row>
    <row r="949">
      <c r="C949" s="18" t="n"/>
    </row>
    <row r="950">
      <c r="C950" s="18" t="n"/>
    </row>
    <row r="951">
      <c r="C951" s="18" t="n"/>
    </row>
    <row r="952">
      <c r="C952" s="18" t="n"/>
    </row>
    <row r="953">
      <c r="C953" s="18" t="n"/>
    </row>
    <row r="954">
      <c r="C954" s="18" t="n"/>
    </row>
    <row r="955">
      <c r="C955" s="18" t="n"/>
    </row>
    <row r="956">
      <c r="C956" s="18" t="n"/>
    </row>
    <row r="957">
      <c r="C957" s="18" t="n"/>
    </row>
    <row r="958">
      <c r="C958" s="18" t="n"/>
    </row>
    <row r="959">
      <c r="C959" s="18" t="n"/>
    </row>
    <row r="960">
      <c r="C960" s="18" t="n"/>
    </row>
    <row r="961">
      <c r="C961" s="18" t="n"/>
    </row>
    <row r="962">
      <c r="C962" s="18" t="n"/>
    </row>
    <row r="963">
      <c r="C963" s="18" t="n"/>
    </row>
    <row r="964">
      <c r="C964" s="18" t="n"/>
    </row>
    <row r="965">
      <c r="C965" s="18" t="n"/>
    </row>
    <row r="966">
      <c r="C966" s="18" t="n"/>
    </row>
    <row r="967">
      <c r="C967" s="18" t="n"/>
    </row>
    <row r="968">
      <c r="C968" s="18" t="n"/>
    </row>
    <row r="969">
      <c r="C969" s="18" t="n"/>
    </row>
    <row r="970">
      <c r="C970" s="18" t="n"/>
    </row>
    <row r="971">
      <c r="C971" s="18" t="n"/>
    </row>
    <row r="972">
      <c r="C972" s="18" t="n"/>
    </row>
    <row r="973">
      <c r="C973" s="18" t="n"/>
    </row>
    <row r="974">
      <c r="C974" s="18" t="n"/>
    </row>
    <row r="975">
      <c r="C975" s="18" t="n"/>
    </row>
    <row r="976">
      <c r="C976" s="18" t="n"/>
    </row>
    <row r="977">
      <c r="C977" s="18" t="n"/>
    </row>
    <row r="978">
      <c r="C978" s="18" t="n"/>
    </row>
    <row r="979">
      <c r="C979" s="18" t="n"/>
    </row>
    <row r="980">
      <c r="C980" s="18" t="n"/>
    </row>
    <row r="981">
      <c r="C981" s="18" t="n"/>
    </row>
    <row r="982">
      <c r="C982" s="18" t="n"/>
    </row>
    <row r="983">
      <c r="C983" s="18" t="n"/>
    </row>
    <row r="984">
      <c r="C984" s="18" t="n"/>
    </row>
    <row r="985">
      <c r="C985" s="18" t="n"/>
    </row>
    <row r="986">
      <c r="C986" s="18" t="n"/>
    </row>
    <row r="987">
      <c r="C987" s="18" t="n"/>
    </row>
    <row r="988">
      <c r="C988" s="18" t="n"/>
    </row>
    <row r="989">
      <c r="C989" s="18" t="n"/>
    </row>
    <row r="990">
      <c r="C990" s="18" t="n"/>
    </row>
    <row r="991">
      <c r="C991" s="18" t="n"/>
    </row>
    <row r="992">
      <c r="C992" s="18" t="n"/>
    </row>
    <row r="993">
      <c r="C993" s="18" t="n"/>
    </row>
    <row r="994">
      <c r="C994" s="18" t="n"/>
    </row>
    <row r="995">
      <c r="C995" s="18" t="n"/>
    </row>
    <row r="996">
      <c r="C996" s="18" t="n"/>
    </row>
    <row r="997">
      <c r="C997" s="18" t="n"/>
    </row>
    <row r="998">
      <c r="C998" s="18" t="n"/>
    </row>
    <row r="999">
      <c r="C999" s="18" t="n"/>
    </row>
    <row r="1000">
      <c r="C1000" s="18" t="n"/>
    </row>
    <row r="1001">
      <c r="C1001" s="18" t="n"/>
    </row>
    <row r="1002">
      <c r="C1002" s="18" t="n"/>
    </row>
    <row r="1003">
      <c r="C1003" s="18"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1000"/>
  <sheetViews>
    <sheetView workbookViewId="0">
      <selection activeCell="A1" sqref="A1"/>
    </sheetView>
  </sheetViews>
  <sheetFormatPr baseColWidth="8" defaultColWidth="12.63" defaultRowHeight="15.75" customHeight="1"/>
  <cols>
    <col width="30.25" customWidth="1" style="20" min="1" max="1"/>
  </cols>
  <sheetData>
    <row r="1">
      <c r="A1" s="12" t="inlineStr">
        <is>
          <t>item_name</t>
        </is>
      </c>
    </row>
    <row r="2">
      <c r="A2" s="9" t="inlineStr">
        <is>
          <t>ArboDat</t>
        </is>
      </c>
    </row>
    <row r="3">
      <c r="A3" s="9" t="inlineStr">
        <is>
          <t>archaeology_on_wikipedia.R</t>
        </is>
      </c>
    </row>
    <row r="4">
      <c r="A4" s="9" t="inlineStr">
        <is>
          <t>artefact-morpho.R</t>
        </is>
      </c>
    </row>
    <row r="5">
      <c r="A5" s="9" t="inlineStr">
        <is>
          <t>BasicMapping</t>
        </is>
      </c>
    </row>
    <row r="6">
      <c r="A6" s="9" t="inlineStr">
        <is>
          <t>benmarwickDY-XYZ-data-on-an-irregular-grid-to-an-interpolated-raster.r</t>
        </is>
      </c>
    </row>
    <row r="7">
      <c r="A7" s="9" t="inlineStr">
        <is>
          <t>benmarwickopencontext.r</t>
        </is>
      </c>
    </row>
    <row r="8">
      <c r="A8" s="9" t="inlineStr">
        <is>
          <t>Bonify</t>
        </is>
      </c>
    </row>
    <row r="9">
      <c r="A9" s="9" t="inlineStr">
        <is>
          <t>ca</t>
        </is>
      </c>
    </row>
    <row r="10">
      <c r="A10" s="9" t="inlineStr">
        <is>
          <t>ChronoLog</t>
        </is>
      </c>
    </row>
    <row r="11">
      <c r="A11" s="9" t="inlineStr">
        <is>
          <t>Chronophage</t>
        </is>
      </c>
    </row>
    <row r="12">
      <c r="A12" s="9" t="inlineStr">
        <is>
          <t>Crossbones</t>
        </is>
      </c>
    </row>
    <row r="13">
      <c r="A13" s="9" t="inlineStr">
        <is>
          <t>Explographe</t>
        </is>
      </c>
    </row>
    <row r="14">
      <c r="A14" s="9" t="inlineStr">
        <is>
          <t>Fiche Stratigraphique Numérique (FSN)</t>
        </is>
      </c>
    </row>
    <row r="15">
      <c r="A15" s="9" t="inlineStr">
        <is>
          <t>Harris-matrix-legacy</t>
        </is>
      </c>
    </row>
    <row r="16">
      <c r="A16" s="9" t="inlineStr">
        <is>
          <t>HumanOS</t>
        </is>
      </c>
    </row>
    <row r="17">
      <c r="A17" s="9" t="inlineStr">
        <is>
          <t>Le Stratifiant</t>
        </is>
      </c>
    </row>
    <row r="18">
      <c r="A18" s="9" t="inlineStr">
        <is>
          <t>LISA</t>
        </is>
      </c>
    </row>
    <row r="19">
      <c r="A19" s="9" t="inlineStr">
        <is>
          <t>munsell-plot.R</t>
        </is>
      </c>
    </row>
    <row r="20">
      <c r="A20" s="9" t="inlineStr">
        <is>
          <t>osl_calibration.r</t>
        </is>
      </c>
    </row>
    <row r="21">
      <c r="A21" s="9" t="inlineStr">
        <is>
          <t>PLC</t>
        </is>
      </c>
    </row>
    <row r="22">
      <c r="A22" s="9" t="inlineStr">
        <is>
          <t>PointPattern</t>
        </is>
      </c>
    </row>
    <row r="23">
      <c r="A23" s="9" t="inlineStr">
        <is>
          <t>pyArchInit</t>
        </is>
      </c>
    </row>
    <row r="24">
      <c r="A24" s="9" t="inlineStr">
        <is>
          <t>RTIBuilder</t>
        </is>
      </c>
    </row>
    <row r="25">
      <c r="A25" s="9" t="inlineStr">
        <is>
          <t>RTIViewer</t>
        </is>
      </c>
    </row>
    <row r="26">
      <c r="A26" s="9" t="inlineStr">
        <is>
          <t>Sériation de matrice en présence/absence</t>
        </is>
      </c>
    </row>
    <row r="27">
      <c r="A27" s="9" t="inlineStr">
        <is>
          <t>Seriographe EPPM</t>
        </is>
      </c>
    </row>
    <row r="28">
      <c r="A28" s="9" t="inlineStr">
        <is>
          <t>Stratibase</t>
        </is>
      </c>
    </row>
    <row r="29">
      <c r="A29" s="9" t="inlineStr">
        <is>
          <t>tweet-edits-to-archaeology-articles.R</t>
        </is>
      </c>
    </row>
    <row r="30">
      <c r="A30" s="9" t="inlineStr">
        <is>
          <t>UnconstrainedClustering</t>
        </is>
      </c>
    </row>
    <row r="31">
      <c r="A31" s="9" t="n"/>
    </row>
    <row r="32">
      <c r="A32" s="9" t="n"/>
    </row>
    <row r="33">
      <c r="A33" s="9" t="n"/>
    </row>
    <row r="34">
      <c r="A34" s="9" t="n"/>
    </row>
    <row r="35">
      <c r="A35" s="9" t="n"/>
    </row>
    <row r="36">
      <c r="A36" s="9" t="n"/>
    </row>
    <row r="37">
      <c r="A37" s="9" t="n"/>
    </row>
    <row r="38">
      <c r="A38" s="9" t="n"/>
    </row>
    <row r="39">
      <c r="A39" s="9" t="n"/>
    </row>
    <row r="40">
      <c r="A40" s="9" t="n"/>
    </row>
    <row r="41">
      <c r="A41" s="9" t="n"/>
    </row>
    <row r="42">
      <c r="A42" s="9" t="n"/>
    </row>
    <row r="43">
      <c r="A43" s="9" t="n"/>
    </row>
    <row r="44">
      <c r="A44" s="9" t="n"/>
    </row>
    <row r="45">
      <c r="A45" s="9" t="n"/>
    </row>
    <row r="46">
      <c r="A46" s="9" t="n"/>
    </row>
    <row r="47">
      <c r="A47" s="9" t="n"/>
    </row>
    <row r="48">
      <c r="A48" s="9" t="n"/>
    </row>
    <row r="49">
      <c r="A49" s="9" t="n"/>
    </row>
    <row r="50">
      <c r="A50" s="9" t="n"/>
    </row>
    <row r="51">
      <c r="A51" s="9" t="n"/>
    </row>
    <row r="52">
      <c r="A52" s="9" t="n"/>
    </row>
    <row r="53">
      <c r="A53" s="9" t="n"/>
    </row>
    <row r="54">
      <c r="A54" s="9" t="n"/>
    </row>
    <row r="55">
      <c r="A55" s="9" t="n"/>
    </row>
    <row r="56">
      <c r="A56" s="9" t="n"/>
    </row>
    <row r="57">
      <c r="A57" s="9" t="n"/>
    </row>
    <row r="58">
      <c r="A58" s="9" t="n"/>
    </row>
    <row r="59">
      <c r="A59" s="9" t="n"/>
    </row>
    <row r="60">
      <c r="A60" s="9" t="n"/>
    </row>
    <row r="61">
      <c r="A61" s="9" t="n"/>
    </row>
    <row r="62">
      <c r="A62" s="9" t="n"/>
    </row>
    <row r="63">
      <c r="A63" s="9" t="n"/>
    </row>
    <row r="64">
      <c r="A64" s="9" t="n"/>
    </row>
    <row r="65">
      <c r="A65" s="9" t="n"/>
    </row>
    <row r="66">
      <c r="A66" s="9" t="n"/>
    </row>
    <row r="67">
      <c r="A67" s="9" t="n"/>
    </row>
    <row r="68">
      <c r="A68" s="9" t="n"/>
    </row>
    <row r="69">
      <c r="A69" s="9" t="n"/>
    </row>
    <row r="70">
      <c r="A70" s="9" t="n"/>
    </row>
    <row r="71">
      <c r="A71" s="9" t="n"/>
    </row>
    <row r="72">
      <c r="A72" s="9" t="n"/>
    </row>
    <row r="73">
      <c r="A73" s="9" t="n"/>
    </row>
    <row r="74">
      <c r="A74" s="9" t="n"/>
    </row>
    <row r="75">
      <c r="A75" s="9" t="n"/>
    </row>
    <row r="76">
      <c r="A76" s="9" t="n"/>
    </row>
    <row r="77">
      <c r="A77" s="9" t="n"/>
    </row>
    <row r="78">
      <c r="A78" s="9" t="n"/>
    </row>
    <row r="79">
      <c r="A79" s="9" t="n"/>
    </row>
    <row r="80">
      <c r="A80" s="9" t="n"/>
    </row>
    <row r="81">
      <c r="A81" s="9" t="n"/>
    </row>
    <row r="82">
      <c r="A82" s="9" t="n"/>
    </row>
    <row r="83">
      <c r="A83" s="9" t="n"/>
    </row>
    <row r="84">
      <c r="A84" s="9" t="n"/>
    </row>
    <row r="85">
      <c r="A85" s="9" t="n"/>
    </row>
    <row r="86">
      <c r="A86" s="9" t="n"/>
    </row>
    <row r="87">
      <c r="A87" s="9" t="n"/>
    </row>
    <row r="88">
      <c r="A88" s="9" t="n"/>
    </row>
    <row r="89">
      <c r="A89" s="9" t="n"/>
    </row>
    <row r="90">
      <c r="A90" s="9" t="n"/>
    </row>
    <row r="91">
      <c r="A91" s="9" t="n"/>
    </row>
    <row r="92">
      <c r="A92" s="9" t="n"/>
    </row>
    <row r="93">
      <c r="A93" s="9" t="n"/>
    </row>
    <row r="94">
      <c r="A94" s="9" t="n"/>
    </row>
    <row r="95">
      <c r="A95" s="9" t="n"/>
    </row>
    <row r="96">
      <c r="A96" s="9" t="n"/>
    </row>
    <row r="97">
      <c r="A97" s="9" t="n"/>
    </row>
    <row r="98">
      <c r="A98" s="9" t="n"/>
    </row>
    <row r="99">
      <c r="A99" s="9" t="n"/>
    </row>
    <row r="100">
      <c r="A100" s="9" t="n"/>
    </row>
    <row r="101">
      <c r="A101" s="9" t="n"/>
    </row>
    <row r="102">
      <c r="A102" s="9" t="n"/>
    </row>
    <row r="103">
      <c r="A103" s="9" t="n"/>
    </row>
    <row r="104">
      <c r="A104" s="9" t="n"/>
    </row>
    <row r="105">
      <c r="A105" s="9" t="n"/>
    </row>
    <row r="106">
      <c r="A106" s="9" t="n"/>
    </row>
    <row r="107">
      <c r="A107" s="9" t="n"/>
    </row>
    <row r="108">
      <c r="A108" s="9" t="n"/>
    </row>
    <row r="109">
      <c r="A109" s="9" t="n"/>
    </row>
    <row r="110">
      <c r="A110" s="9" t="n"/>
    </row>
    <row r="111">
      <c r="A111" s="9" t="n"/>
    </row>
    <row r="112">
      <c r="A112" s="9" t="n"/>
    </row>
    <row r="113">
      <c r="A113" s="9" t="n"/>
    </row>
    <row r="114">
      <c r="A114" s="9" t="n"/>
    </row>
    <row r="115">
      <c r="A115" s="9" t="n"/>
    </row>
    <row r="116">
      <c r="A116" s="9" t="n"/>
    </row>
    <row r="117">
      <c r="A117" s="9" t="n"/>
    </row>
    <row r="118">
      <c r="A118" s="9" t="n"/>
    </row>
    <row r="119">
      <c r="A119" s="9" t="n"/>
    </row>
    <row r="120">
      <c r="A120" s="9" t="n"/>
    </row>
    <row r="121">
      <c r="A121" s="9" t="n"/>
    </row>
    <row r="122">
      <c r="A122" s="9" t="n"/>
    </row>
    <row r="123">
      <c r="A123" s="9" t="n"/>
    </row>
    <row r="124">
      <c r="A124" s="9" t="n"/>
    </row>
    <row r="125">
      <c r="A125" s="9" t="n"/>
    </row>
    <row r="126">
      <c r="A126" s="9" t="n"/>
    </row>
    <row r="127">
      <c r="A127" s="9" t="n"/>
    </row>
    <row r="128">
      <c r="A128" s="9" t="n"/>
    </row>
    <row r="129">
      <c r="A129" s="9" t="n"/>
    </row>
    <row r="130">
      <c r="A130" s="9" t="n"/>
    </row>
    <row r="131">
      <c r="A131" s="9" t="n"/>
    </row>
    <row r="132">
      <c r="A132" s="9" t="n"/>
    </row>
    <row r="133">
      <c r="A133" s="9" t="n"/>
    </row>
    <row r="134">
      <c r="A134" s="9" t="n"/>
    </row>
    <row r="135">
      <c r="A135" s="9" t="n"/>
    </row>
    <row r="136">
      <c r="A136" s="9" t="n"/>
    </row>
    <row r="137">
      <c r="A137" s="9" t="n"/>
    </row>
    <row r="138">
      <c r="A138" s="9" t="n"/>
    </row>
    <row r="139">
      <c r="A139" s="9" t="n"/>
    </row>
    <row r="140">
      <c r="A140" s="9" t="n"/>
    </row>
    <row r="141">
      <c r="A141" s="9" t="n"/>
    </row>
    <row r="142">
      <c r="A142" s="9" t="n"/>
    </row>
    <row r="143">
      <c r="A143" s="9" t="n"/>
    </row>
    <row r="144">
      <c r="A144" s="9" t="n"/>
    </row>
    <row r="145">
      <c r="A145" s="9" t="n"/>
    </row>
    <row r="146">
      <c r="A146" s="9" t="n"/>
    </row>
    <row r="147">
      <c r="A147" s="9" t="n"/>
    </row>
    <row r="148">
      <c r="A148" s="9" t="n"/>
    </row>
    <row r="149">
      <c r="A149" s="9" t="n"/>
    </row>
    <row r="150">
      <c r="A150" s="9" t="n"/>
    </row>
    <row r="151">
      <c r="A151" s="9" t="n"/>
    </row>
    <row r="152">
      <c r="A152" s="9" t="n"/>
    </row>
    <row r="153">
      <c r="A153" s="9" t="n"/>
    </row>
    <row r="154">
      <c r="A154" s="9" t="n"/>
    </row>
    <row r="155">
      <c r="A155" s="9" t="n"/>
    </row>
    <row r="156">
      <c r="A156" s="9" t="n"/>
    </row>
    <row r="157">
      <c r="A157" s="9" t="n"/>
    </row>
    <row r="158">
      <c r="A158" s="9" t="n"/>
    </row>
    <row r="159">
      <c r="A159" s="9" t="n"/>
    </row>
    <row r="160">
      <c r="A160" s="9" t="n"/>
    </row>
    <row r="161">
      <c r="A161" s="9" t="n"/>
    </row>
    <row r="162">
      <c r="A162" s="9" t="n"/>
    </row>
    <row r="163">
      <c r="A163" s="9" t="n"/>
    </row>
    <row r="164">
      <c r="A164" s="9" t="n"/>
    </row>
    <row r="165">
      <c r="A165" s="9" t="n"/>
    </row>
    <row r="166">
      <c r="A166" s="9" t="n"/>
    </row>
    <row r="167">
      <c r="A167" s="9" t="n"/>
    </row>
    <row r="168">
      <c r="A168" s="9" t="n"/>
    </row>
    <row r="169">
      <c r="A169" s="9" t="n"/>
    </row>
    <row r="170">
      <c r="A170" s="9" t="n"/>
    </row>
    <row r="171">
      <c r="A171" s="9" t="n"/>
    </row>
    <row r="172">
      <c r="A172" s="9" t="n"/>
    </row>
    <row r="173">
      <c r="A173" s="9" t="n"/>
    </row>
    <row r="174">
      <c r="A174" s="9" t="n"/>
    </row>
    <row r="175">
      <c r="A175" s="9" t="n"/>
    </row>
    <row r="176">
      <c r="A176" s="9" t="n"/>
    </row>
    <row r="177">
      <c r="A177" s="9" t="n"/>
    </row>
    <row r="178">
      <c r="A178" s="9" t="n"/>
    </row>
    <row r="179">
      <c r="A179" s="9" t="n"/>
    </row>
    <row r="180">
      <c r="A180" s="9" t="n"/>
    </row>
    <row r="181">
      <c r="A181" s="9" t="n"/>
    </row>
    <row r="182">
      <c r="A182" s="9" t="n"/>
    </row>
    <row r="183">
      <c r="A183" s="9" t="n"/>
    </row>
    <row r="184">
      <c r="A184" s="9" t="n"/>
    </row>
    <row r="185">
      <c r="A185" s="9" t="n"/>
    </row>
    <row r="186">
      <c r="A186" s="9" t="n"/>
    </row>
    <row r="187">
      <c r="A187" s="9" t="n"/>
    </row>
    <row r="188">
      <c r="A188" s="9" t="n"/>
    </row>
    <row r="189">
      <c r="A189" s="9" t="n"/>
    </row>
    <row r="190">
      <c r="A190" s="9" t="n"/>
    </row>
    <row r="191">
      <c r="A191" s="9" t="n"/>
    </row>
    <row r="192">
      <c r="A192" s="9" t="n"/>
    </row>
    <row r="193">
      <c r="A193" s="9" t="n"/>
    </row>
    <row r="194">
      <c r="A194" s="9" t="n"/>
    </row>
    <row r="195">
      <c r="A195" s="9" t="n"/>
    </row>
    <row r="196">
      <c r="A196" s="9" t="n"/>
    </row>
    <row r="197">
      <c r="A197" s="9" t="n"/>
    </row>
    <row r="198">
      <c r="A198" s="9" t="n"/>
    </row>
    <row r="199">
      <c r="A199" s="9" t="n"/>
    </row>
    <row r="200">
      <c r="A200" s="9" t="n"/>
    </row>
    <row r="201">
      <c r="A201" s="9" t="n"/>
    </row>
    <row r="202">
      <c r="A202" s="9" t="n"/>
    </row>
    <row r="203">
      <c r="A203" s="9" t="n"/>
    </row>
    <row r="204">
      <c r="A204" s="9" t="n"/>
    </row>
    <row r="205">
      <c r="A205" s="9" t="n"/>
    </row>
    <row r="206">
      <c r="A206" s="9" t="n"/>
    </row>
    <row r="207">
      <c r="A207" s="9" t="n"/>
    </row>
    <row r="208">
      <c r="A208" s="9" t="n"/>
    </row>
    <row r="209">
      <c r="A209" s="9" t="n"/>
    </row>
    <row r="210">
      <c r="A210" s="9" t="n"/>
    </row>
    <row r="211">
      <c r="A211" s="9" t="n"/>
    </row>
    <row r="212">
      <c r="A212" s="9" t="n"/>
    </row>
    <row r="213">
      <c r="A213" s="9" t="n"/>
    </row>
    <row r="214">
      <c r="A214" s="9" t="n"/>
    </row>
    <row r="215">
      <c r="A215" s="9" t="n"/>
    </row>
    <row r="216">
      <c r="A216" s="9" t="n"/>
    </row>
    <row r="217">
      <c r="A217" s="9" t="n"/>
    </row>
    <row r="218">
      <c r="A218" s="9" t="n"/>
    </row>
    <row r="219">
      <c r="A219" s="9" t="n"/>
    </row>
    <row r="220">
      <c r="A220" s="9" t="n"/>
    </row>
    <row r="221">
      <c r="A221" s="9" t="n"/>
    </row>
    <row r="222">
      <c r="A222" s="9" t="n"/>
    </row>
    <row r="223">
      <c r="A223" s="9" t="n"/>
    </row>
    <row r="224">
      <c r="A224" s="9" t="n"/>
    </row>
    <row r="225">
      <c r="A225" s="9" t="n"/>
    </row>
    <row r="226">
      <c r="A226" s="9" t="n"/>
    </row>
    <row r="227">
      <c r="A227" s="9" t="n"/>
    </row>
    <row r="228">
      <c r="A228" s="9" t="n"/>
    </row>
    <row r="229">
      <c r="A229" s="9" t="n"/>
    </row>
    <row r="230">
      <c r="A230" s="9" t="n"/>
    </row>
    <row r="231">
      <c r="A231" s="9" t="n"/>
    </row>
    <row r="232">
      <c r="A232" s="9" t="n"/>
    </row>
    <row r="233">
      <c r="A233" s="9" t="n"/>
    </row>
    <row r="234">
      <c r="A234" s="9" t="n"/>
    </row>
    <row r="235">
      <c r="A235" s="9" t="n"/>
    </row>
    <row r="236">
      <c r="A236" s="9" t="n"/>
    </row>
    <row r="237">
      <c r="A237" s="9" t="n"/>
    </row>
    <row r="238">
      <c r="A238" s="9" t="n"/>
    </row>
    <row r="239">
      <c r="A239" s="9" t="n"/>
    </row>
    <row r="240">
      <c r="A240" s="9" t="n"/>
    </row>
    <row r="241">
      <c r="A241" s="9" t="n"/>
    </row>
    <row r="242">
      <c r="A242" s="9" t="n"/>
    </row>
    <row r="243">
      <c r="A243" s="9" t="n"/>
    </row>
    <row r="244">
      <c r="A244" s="9" t="n"/>
    </row>
    <row r="245">
      <c r="A245" s="9" t="n"/>
    </row>
    <row r="246">
      <c r="A246" s="9" t="n"/>
    </row>
    <row r="247">
      <c r="A247" s="9" t="n"/>
    </row>
    <row r="248">
      <c r="A248" s="9" t="n"/>
    </row>
    <row r="249">
      <c r="A249" s="9" t="n"/>
    </row>
    <row r="250">
      <c r="A250" s="9" t="n"/>
    </row>
    <row r="251">
      <c r="A251" s="9" t="n"/>
    </row>
    <row r="252">
      <c r="A252" s="9" t="n"/>
    </row>
    <row r="253">
      <c r="A253" s="9" t="n"/>
    </row>
    <row r="254">
      <c r="A254" s="9" t="n"/>
    </row>
    <row r="255">
      <c r="A255" s="9" t="n"/>
    </row>
    <row r="256">
      <c r="A256" s="9" t="n"/>
    </row>
    <row r="257">
      <c r="A257" s="9" t="n"/>
    </row>
    <row r="258">
      <c r="A258" s="9" t="n"/>
    </row>
    <row r="259">
      <c r="A259" s="9" t="n"/>
    </row>
    <row r="260">
      <c r="A260" s="9" t="n"/>
    </row>
    <row r="261">
      <c r="A261" s="9" t="n"/>
    </row>
    <row r="262">
      <c r="A262" s="9" t="n"/>
    </row>
    <row r="263">
      <c r="A263" s="9" t="n"/>
    </row>
    <row r="264">
      <c r="A264" s="9" t="n"/>
    </row>
    <row r="265">
      <c r="A265" s="9" t="n"/>
    </row>
    <row r="266">
      <c r="A266" s="9" t="n"/>
    </row>
    <row r="267">
      <c r="A267" s="9" t="n"/>
    </row>
    <row r="268">
      <c r="A268" s="9" t="n"/>
    </row>
    <row r="269">
      <c r="A269" s="9" t="n"/>
    </row>
    <row r="270">
      <c r="A270" s="9" t="n"/>
    </row>
    <row r="271">
      <c r="A271" s="9" t="n"/>
    </row>
    <row r="272">
      <c r="A272" s="9" t="n"/>
    </row>
    <row r="273">
      <c r="A273" s="9" t="n"/>
    </row>
    <row r="274">
      <c r="A274" s="9" t="n"/>
    </row>
    <row r="275">
      <c r="A275" s="9" t="n"/>
    </row>
    <row r="276">
      <c r="A276" s="9" t="n"/>
    </row>
    <row r="277">
      <c r="A277" s="9" t="n"/>
    </row>
    <row r="278">
      <c r="A278" s="9" t="n"/>
    </row>
    <row r="279">
      <c r="A279" s="9" t="n"/>
    </row>
    <row r="280">
      <c r="A280" s="9" t="n"/>
    </row>
    <row r="281">
      <c r="A281" s="9" t="n"/>
    </row>
    <row r="282">
      <c r="A282" s="9" t="n"/>
    </row>
    <row r="283">
      <c r="A283" s="9" t="n"/>
    </row>
    <row r="284">
      <c r="A284" s="9" t="n"/>
    </row>
    <row r="285">
      <c r="A285" s="9" t="n"/>
    </row>
    <row r="286">
      <c r="A286" s="9" t="n"/>
    </row>
    <row r="287">
      <c r="A287" s="9" t="n"/>
    </row>
    <row r="288">
      <c r="A288" s="9" t="n"/>
    </row>
    <row r="289">
      <c r="A289" s="9" t="n"/>
    </row>
    <row r="290">
      <c r="A290" s="9" t="n"/>
    </row>
    <row r="291">
      <c r="A291" s="9" t="n"/>
    </row>
    <row r="292">
      <c r="A292" s="9" t="n"/>
    </row>
    <row r="293">
      <c r="A293" s="9" t="n"/>
    </row>
    <row r="294">
      <c r="A294" s="9" t="n"/>
    </row>
    <row r="295">
      <c r="A295" s="9" t="n"/>
    </row>
    <row r="296">
      <c r="A296" s="9" t="n"/>
    </row>
    <row r="297">
      <c r="A297" s="9" t="n"/>
    </row>
    <row r="298">
      <c r="A298" s="9" t="n"/>
    </row>
    <row r="299">
      <c r="A299" s="9" t="n"/>
    </row>
    <row r="300">
      <c r="A300" s="9" t="n"/>
    </row>
    <row r="301">
      <c r="A301" s="9" t="n"/>
    </row>
    <row r="302">
      <c r="A302" s="9" t="n"/>
    </row>
    <row r="303">
      <c r="A303" s="9" t="n"/>
    </row>
    <row r="304">
      <c r="A304" s="9" t="n"/>
    </row>
    <row r="305">
      <c r="A305" s="9" t="n"/>
    </row>
    <row r="306">
      <c r="A306" s="9" t="n"/>
    </row>
    <row r="307">
      <c r="A307" s="9" t="n"/>
    </row>
    <row r="308">
      <c r="A308" s="9" t="n"/>
    </row>
    <row r="309">
      <c r="A309" s="9" t="n"/>
    </row>
    <row r="310">
      <c r="A310" s="9" t="n"/>
    </row>
    <row r="311">
      <c r="A311" s="9" t="n"/>
    </row>
    <row r="312">
      <c r="A312" s="9" t="n"/>
    </row>
    <row r="313">
      <c r="A313" s="9" t="n"/>
    </row>
    <row r="314">
      <c r="A314" s="9" t="n"/>
    </row>
    <row r="315">
      <c r="A315" s="9" t="n"/>
    </row>
    <row r="316">
      <c r="A316" s="9" t="n"/>
    </row>
    <row r="317">
      <c r="A317" s="9" t="n"/>
    </row>
    <row r="318">
      <c r="A318" s="9" t="n"/>
    </row>
    <row r="319">
      <c r="A319" s="9" t="n"/>
    </row>
    <row r="320">
      <c r="A320" s="9" t="n"/>
    </row>
    <row r="321">
      <c r="A321" s="9" t="n"/>
    </row>
    <row r="322">
      <c r="A322" s="9" t="n"/>
    </row>
    <row r="323">
      <c r="A323" s="9" t="n"/>
    </row>
    <row r="324">
      <c r="A324" s="9" t="n"/>
    </row>
    <row r="325">
      <c r="A325" s="9" t="n"/>
    </row>
    <row r="326">
      <c r="A326" s="9" t="n"/>
    </row>
    <row r="327">
      <c r="A327" s="9" t="n"/>
    </row>
    <row r="328">
      <c r="A328" s="9" t="n"/>
    </row>
    <row r="329">
      <c r="A329" s="9" t="n"/>
    </row>
    <row r="330">
      <c r="A330" s="9" t="n"/>
    </row>
    <row r="331">
      <c r="A331" s="9" t="n"/>
    </row>
    <row r="332">
      <c r="A332" s="9" t="n"/>
    </row>
    <row r="333">
      <c r="A333" s="9" t="n"/>
    </row>
    <row r="334">
      <c r="A334" s="9" t="n"/>
    </row>
    <row r="335">
      <c r="A335" s="9" t="n"/>
    </row>
    <row r="336">
      <c r="A336" s="9" t="n"/>
    </row>
    <row r="337">
      <c r="A337" s="9" t="n"/>
    </row>
    <row r="338">
      <c r="A338" s="9" t="n"/>
    </row>
    <row r="339">
      <c r="A339" s="9" t="n"/>
    </row>
    <row r="340">
      <c r="A340" s="9" t="n"/>
    </row>
    <row r="341">
      <c r="A341" s="9" t="n"/>
    </row>
    <row r="342">
      <c r="A342" s="9" t="n"/>
    </row>
    <row r="343">
      <c r="A343" s="9" t="n"/>
    </row>
    <row r="344">
      <c r="A344" s="9" t="n"/>
    </row>
    <row r="345">
      <c r="A345" s="9" t="n"/>
    </row>
    <row r="346">
      <c r="A346" s="9" t="n"/>
    </row>
    <row r="347">
      <c r="A347" s="9" t="n"/>
    </row>
    <row r="348">
      <c r="A348" s="9" t="n"/>
    </row>
    <row r="349">
      <c r="A349" s="9" t="n"/>
    </row>
    <row r="350">
      <c r="A350" s="9" t="n"/>
    </row>
    <row r="351">
      <c r="A351" s="9" t="n"/>
    </row>
    <row r="352">
      <c r="A352" s="9" t="n"/>
    </row>
    <row r="353">
      <c r="A353" s="9" t="n"/>
    </row>
    <row r="354">
      <c r="A354" s="9" t="n"/>
    </row>
    <row r="355">
      <c r="A355" s="9" t="n"/>
    </row>
    <row r="356">
      <c r="A356" s="9" t="n"/>
    </row>
    <row r="357">
      <c r="A357" s="9" t="n"/>
    </row>
    <row r="358">
      <c r="A358" s="9" t="n"/>
    </row>
    <row r="359">
      <c r="A359" s="9" t="n"/>
    </row>
    <row r="360">
      <c r="A360" s="9" t="n"/>
    </row>
    <row r="361">
      <c r="A361" s="9" t="n"/>
    </row>
    <row r="362">
      <c r="A362" s="9" t="n"/>
    </row>
    <row r="363">
      <c r="A363" s="9" t="n"/>
    </row>
    <row r="364">
      <c r="A364" s="9" t="n"/>
    </row>
    <row r="365">
      <c r="A365" s="9" t="n"/>
    </row>
    <row r="366">
      <c r="A366" s="9" t="n"/>
    </row>
    <row r="367">
      <c r="A367" s="9" t="n"/>
    </row>
    <row r="368">
      <c r="A368" s="9" t="n"/>
    </row>
    <row r="369">
      <c r="A369" s="9" t="n"/>
    </row>
    <row r="370">
      <c r="A370" s="9" t="n"/>
    </row>
    <row r="371">
      <c r="A371" s="9" t="n"/>
    </row>
    <row r="372">
      <c r="A372" s="9" t="n"/>
    </row>
    <row r="373">
      <c r="A373" s="9" t="n"/>
    </row>
    <row r="374">
      <c r="A374" s="9" t="n"/>
    </row>
    <row r="375">
      <c r="A375" s="9" t="n"/>
    </row>
    <row r="376">
      <c r="A376" s="9" t="n"/>
    </row>
    <row r="377">
      <c r="A377" s="9" t="n"/>
    </row>
    <row r="378">
      <c r="A378" s="9" t="n"/>
    </row>
    <row r="379">
      <c r="A379" s="9" t="n"/>
    </row>
    <row r="380">
      <c r="A380" s="9" t="n"/>
    </row>
    <row r="381">
      <c r="A381" s="9" t="n"/>
    </row>
    <row r="382">
      <c r="A382" s="9" t="n"/>
    </row>
    <row r="383">
      <c r="A383" s="9" t="n"/>
    </row>
    <row r="384">
      <c r="A384" s="9" t="n"/>
    </row>
    <row r="385">
      <c r="A385" s="9" t="n"/>
    </row>
    <row r="386">
      <c r="A386" s="9" t="n"/>
    </row>
    <row r="387">
      <c r="A387" s="9" t="n"/>
    </row>
    <row r="388">
      <c r="A388" s="9" t="n"/>
    </row>
    <row r="389">
      <c r="A389" s="9" t="n"/>
    </row>
    <row r="390">
      <c r="A390" s="9" t="n"/>
    </row>
    <row r="391">
      <c r="A391" s="9" t="n"/>
    </row>
    <row r="392">
      <c r="A392" s="9" t="n"/>
    </row>
    <row r="393">
      <c r="A393" s="9" t="n"/>
    </row>
    <row r="394">
      <c r="A394" s="9" t="n"/>
    </row>
    <row r="395">
      <c r="A395" s="9" t="n"/>
    </row>
    <row r="396">
      <c r="A396" s="9" t="n"/>
    </row>
    <row r="397">
      <c r="A397" s="9" t="n"/>
    </row>
    <row r="398">
      <c r="A398" s="9" t="n"/>
    </row>
    <row r="399">
      <c r="A399" s="9" t="n"/>
    </row>
    <row r="400">
      <c r="A400" s="9" t="n"/>
    </row>
    <row r="401">
      <c r="A401" s="9" t="n"/>
    </row>
    <row r="402">
      <c r="A402" s="9" t="n"/>
    </row>
    <row r="403">
      <c r="A403" s="9" t="n"/>
    </row>
    <row r="404">
      <c r="A404" s="9" t="n"/>
    </row>
    <row r="405">
      <c r="A405" s="9" t="n"/>
    </row>
    <row r="406">
      <c r="A406" s="9" t="n"/>
    </row>
    <row r="407">
      <c r="A407" s="9" t="n"/>
    </row>
    <row r="408">
      <c r="A408" s="9" t="n"/>
    </row>
    <row r="409">
      <c r="A409" s="9" t="n"/>
    </row>
    <row r="410">
      <c r="A410" s="9" t="n"/>
    </row>
    <row r="411">
      <c r="A411" s="9" t="n"/>
    </row>
    <row r="412">
      <c r="A412" s="9" t="n"/>
    </row>
    <row r="413">
      <c r="A413" s="9" t="n"/>
    </row>
    <row r="414">
      <c r="A414" s="9" t="n"/>
    </row>
    <row r="415">
      <c r="A415" s="9" t="n"/>
    </row>
    <row r="416">
      <c r="A416" s="9" t="n"/>
    </row>
    <row r="417">
      <c r="A417" s="9" t="n"/>
    </row>
    <row r="418">
      <c r="A418" s="9" t="n"/>
    </row>
    <row r="419">
      <c r="A419" s="9" t="n"/>
    </row>
    <row r="420">
      <c r="A420" s="9" t="n"/>
    </row>
    <row r="421">
      <c r="A421" s="9" t="n"/>
    </row>
    <row r="422">
      <c r="A422" s="9" t="n"/>
    </row>
    <row r="423">
      <c r="A423" s="9" t="n"/>
    </row>
    <row r="424">
      <c r="A424" s="9" t="n"/>
    </row>
    <row r="425">
      <c r="A425" s="9" t="n"/>
    </row>
    <row r="426">
      <c r="A426" s="9" t="n"/>
    </row>
    <row r="427">
      <c r="A427" s="9" t="n"/>
    </row>
    <row r="428">
      <c r="A428" s="9" t="n"/>
    </row>
    <row r="429">
      <c r="A429" s="9" t="n"/>
    </row>
    <row r="430">
      <c r="A430" s="9" t="n"/>
    </row>
    <row r="431">
      <c r="A431" s="9" t="n"/>
    </row>
    <row r="432">
      <c r="A432" s="9" t="n"/>
    </row>
    <row r="433">
      <c r="A433" s="9" t="n"/>
    </row>
    <row r="434">
      <c r="A434" s="9" t="n"/>
    </row>
    <row r="435">
      <c r="A435" s="9" t="n"/>
    </row>
    <row r="436">
      <c r="A436" s="9" t="n"/>
    </row>
    <row r="437">
      <c r="A437" s="9" t="n"/>
    </row>
    <row r="438">
      <c r="A438" s="9" t="n"/>
    </row>
    <row r="439">
      <c r="A439" s="9" t="n"/>
    </row>
    <row r="440">
      <c r="A440" s="9" t="n"/>
    </row>
    <row r="441">
      <c r="A441" s="9" t="n"/>
    </row>
    <row r="442">
      <c r="A442" s="9" t="n"/>
    </row>
    <row r="443">
      <c r="A443" s="9" t="n"/>
    </row>
    <row r="444">
      <c r="A444" s="9" t="n"/>
    </row>
    <row r="445">
      <c r="A445" s="9" t="n"/>
    </row>
    <row r="446">
      <c r="A446" s="9" t="n"/>
    </row>
    <row r="447">
      <c r="A447" s="9" t="n"/>
    </row>
    <row r="448">
      <c r="A448" s="9" t="n"/>
    </row>
    <row r="449">
      <c r="A449" s="9" t="n"/>
    </row>
    <row r="450">
      <c r="A450" s="9" t="n"/>
    </row>
    <row r="451">
      <c r="A451" s="9" t="n"/>
    </row>
    <row r="452">
      <c r="A452" s="9" t="n"/>
    </row>
    <row r="453">
      <c r="A453" s="9" t="n"/>
    </row>
    <row r="454">
      <c r="A454" s="9" t="n"/>
    </row>
    <row r="455">
      <c r="A455" s="9" t="n"/>
    </row>
    <row r="456">
      <c r="A456" s="9" t="n"/>
    </row>
    <row r="457">
      <c r="A457" s="9" t="n"/>
    </row>
    <row r="458">
      <c r="A458" s="9" t="n"/>
    </row>
    <row r="459">
      <c r="A459" s="9" t="n"/>
    </row>
    <row r="460">
      <c r="A460" s="9" t="n"/>
    </row>
    <row r="461">
      <c r="A461" s="9" t="n"/>
    </row>
    <row r="462">
      <c r="A462" s="9" t="n"/>
    </row>
    <row r="463">
      <c r="A463" s="9" t="n"/>
    </row>
    <row r="464">
      <c r="A464" s="9" t="n"/>
    </row>
    <row r="465">
      <c r="A465" s="9" t="n"/>
    </row>
    <row r="466">
      <c r="A466" s="9" t="n"/>
    </row>
    <row r="467">
      <c r="A467" s="9" t="n"/>
    </row>
    <row r="468">
      <c r="A468" s="9" t="n"/>
    </row>
    <row r="469">
      <c r="A469" s="9" t="n"/>
    </row>
    <row r="470">
      <c r="A470" s="9" t="n"/>
    </row>
    <row r="471">
      <c r="A471" s="9" t="n"/>
    </row>
    <row r="472">
      <c r="A472" s="9" t="n"/>
    </row>
    <row r="473">
      <c r="A473" s="9" t="n"/>
    </row>
    <row r="474">
      <c r="A474" s="9" t="n"/>
    </row>
    <row r="475">
      <c r="A475" s="9" t="n"/>
    </row>
    <row r="476">
      <c r="A476" s="9" t="n"/>
    </row>
    <row r="477">
      <c r="A477" s="9" t="n"/>
    </row>
    <row r="478">
      <c r="A478" s="9" t="n"/>
    </row>
    <row r="479">
      <c r="A479" s="9" t="n"/>
    </row>
    <row r="480">
      <c r="A480" s="9" t="n"/>
    </row>
    <row r="481">
      <c r="A481" s="9" t="n"/>
    </row>
    <row r="482">
      <c r="A482" s="9" t="n"/>
    </row>
    <row r="483">
      <c r="A483" s="9" t="n"/>
    </row>
    <row r="484">
      <c r="A484" s="9" t="n"/>
    </row>
    <row r="485">
      <c r="A485" s="9" t="n"/>
    </row>
    <row r="486">
      <c r="A486" s="9" t="n"/>
    </row>
    <row r="487">
      <c r="A487" s="9" t="n"/>
    </row>
    <row r="488">
      <c r="A488" s="9" t="n"/>
    </row>
    <row r="489">
      <c r="A489" s="9" t="n"/>
    </row>
    <row r="490">
      <c r="A490" s="9" t="n"/>
    </row>
    <row r="491">
      <c r="A491" s="9" t="n"/>
    </row>
    <row r="492">
      <c r="A492" s="9" t="n"/>
    </row>
    <row r="493">
      <c r="A493" s="9" t="n"/>
    </row>
    <row r="494">
      <c r="A494" s="9" t="n"/>
    </row>
    <row r="495">
      <c r="A495" s="9" t="n"/>
    </row>
    <row r="496">
      <c r="A496" s="9" t="n"/>
    </row>
    <row r="497">
      <c r="A497" s="9" t="n"/>
    </row>
    <row r="498">
      <c r="A498" s="9" t="n"/>
    </row>
    <row r="499">
      <c r="A499" s="9" t="n"/>
    </row>
    <row r="500">
      <c r="A500" s="9" t="n"/>
    </row>
    <row r="501">
      <c r="A501" s="9" t="n"/>
    </row>
    <row r="502">
      <c r="A502" s="9" t="n"/>
    </row>
    <row r="503">
      <c r="A503" s="9" t="n"/>
    </row>
    <row r="504">
      <c r="A504" s="9" t="n"/>
    </row>
    <row r="505">
      <c r="A505" s="9" t="n"/>
    </row>
    <row r="506">
      <c r="A506" s="9" t="n"/>
    </row>
    <row r="507">
      <c r="A507" s="9" t="n"/>
    </row>
    <row r="508">
      <c r="A508" s="9" t="n"/>
    </row>
    <row r="509">
      <c r="A509" s="9" t="n"/>
    </row>
    <row r="510">
      <c r="A510" s="9" t="n"/>
    </row>
    <row r="511">
      <c r="A511" s="9" t="n"/>
    </row>
    <row r="512">
      <c r="A512" s="9" t="n"/>
    </row>
    <row r="513">
      <c r="A513" s="9" t="n"/>
    </row>
    <row r="514">
      <c r="A514" s="9" t="n"/>
    </row>
    <row r="515">
      <c r="A515" s="9" t="n"/>
    </row>
    <row r="516">
      <c r="A516" s="9" t="n"/>
    </row>
    <row r="517">
      <c r="A517" s="9" t="n"/>
    </row>
    <row r="518">
      <c r="A518" s="9" t="n"/>
    </row>
    <row r="519">
      <c r="A519" s="9" t="n"/>
    </row>
    <row r="520">
      <c r="A520" s="9" t="n"/>
    </row>
    <row r="521">
      <c r="A521" s="9" t="n"/>
    </row>
    <row r="522">
      <c r="A522" s="9" t="n"/>
    </row>
    <row r="523">
      <c r="A523" s="9" t="n"/>
    </row>
    <row r="524">
      <c r="A524" s="9" t="n"/>
    </row>
    <row r="525">
      <c r="A525" s="9" t="n"/>
    </row>
    <row r="526">
      <c r="A526" s="9" t="n"/>
    </row>
    <row r="527">
      <c r="A527" s="9" t="n"/>
    </row>
    <row r="528">
      <c r="A528" s="9" t="n"/>
    </row>
    <row r="529">
      <c r="A529" s="9" t="n"/>
    </row>
    <row r="530">
      <c r="A530" s="9" t="n"/>
    </row>
    <row r="531">
      <c r="A531" s="9" t="n"/>
    </row>
    <row r="532">
      <c r="A532" s="9" t="n"/>
    </row>
    <row r="533">
      <c r="A533" s="9" t="n"/>
    </row>
    <row r="534">
      <c r="A534" s="9" t="n"/>
    </row>
    <row r="535">
      <c r="A535" s="9" t="n"/>
    </row>
    <row r="536">
      <c r="A536" s="9" t="n"/>
    </row>
    <row r="537">
      <c r="A537" s="9" t="n"/>
    </row>
    <row r="538">
      <c r="A538" s="9" t="n"/>
    </row>
    <row r="539">
      <c r="A539" s="9" t="n"/>
    </row>
    <row r="540">
      <c r="A540" s="9" t="n"/>
    </row>
    <row r="541">
      <c r="A541" s="9" t="n"/>
    </row>
    <row r="542">
      <c r="A542" s="9" t="n"/>
    </row>
    <row r="543">
      <c r="A543" s="9" t="n"/>
    </row>
    <row r="544">
      <c r="A544" s="9" t="n"/>
    </row>
    <row r="545">
      <c r="A545" s="9" t="n"/>
    </row>
    <row r="546">
      <c r="A546" s="9" t="n"/>
    </row>
    <row r="547">
      <c r="A547" s="9" t="n"/>
    </row>
    <row r="548">
      <c r="A548" s="9" t="n"/>
    </row>
    <row r="549">
      <c r="A549" s="9" t="n"/>
    </row>
    <row r="550">
      <c r="A550" s="9" t="n"/>
    </row>
    <row r="551">
      <c r="A551" s="9" t="n"/>
    </row>
    <row r="552">
      <c r="A552" s="9" t="n"/>
    </row>
    <row r="553">
      <c r="A553" s="9" t="n"/>
    </row>
    <row r="554">
      <c r="A554" s="9" t="n"/>
    </row>
    <row r="555">
      <c r="A555" s="9" t="n"/>
    </row>
    <row r="556">
      <c r="A556" s="9" t="n"/>
    </row>
    <row r="557">
      <c r="A557" s="9" t="n"/>
    </row>
    <row r="558">
      <c r="A558" s="9" t="n"/>
    </row>
    <row r="559">
      <c r="A559" s="9" t="n"/>
    </row>
    <row r="560">
      <c r="A560" s="9" t="n"/>
    </row>
    <row r="561">
      <c r="A561" s="9" t="n"/>
    </row>
    <row r="562">
      <c r="A562" s="9" t="n"/>
    </row>
    <row r="563">
      <c r="A563" s="9" t="n"/>
    </row>
    <row r="564">
      <c r="A564" s="9" t="n"/>
    </row>
    <row r="565">
      <c r="A565" s="9" t="n"/>
    </row>
    <row r="566">
      <c r="A566" s="9" t="n"/>
    </row>
    <row r="567">
      <c r="A567" s="9" t="n"/>
    </row>
    <row r="568">
      <c r="A568" s="9" t="n"/>
    </row>
    <row r="569">
      <c r="A569" s="9" t="n"/>
    </row>
    <row r="570">
      <c r="A570" s="9" t="n"/>
    </row>
    <row r="571">
      <c r="A571" s="9" t="n"/>
    </row>
    <row r="572">
      <c r="A572" s="9" t="n"/>
    </row>
    <row r="573">
      <c r="A573" s="9" t="n"/>
    </row>
    <row r="574">
      <c r="A574" s="9" t="n"/>
    </row>
    <row r="575">
      <c r="A575" s="9" t="n"/>
    </row>
    <row r="576">
      <c r="A576" s="9" t="n"/>
    </row>
    <row r="577">
      <c r="A577" s="9" t="n"/>
    </row>
    <row r="578">
      <c r="A578" s="9" t="n"/>
    </row>
    <row r="579">
      <c r="A579" s="9" t="n"/>
    </row>
    <row r="580">
      <c r="A580" s="9" t="n"/>
    </row>
    <row r="581">
      <c r="A581" s="9" t="n"/>
    </row>
    <row r="582">
      <c r="A582" s="9" t="n"/>
    </row>
    <row r="583">
      <c r="A583" s="9" t="n"/>
    </row>
    <row r="584">
      <c r="A584" s="9" t="n"/>
    </row>
    <row r="585">
      <c r="A585" s="9" t="n"/>
    </row>
    <row r="586">
      <c r="A586" s="9" t="n"/>
    </row>
    <row r="587">
      <c r="A587" s="9" t="n"/>
    </row>
    <row r="588">
      <c r="A588" s="9" t="n"/>
    </row>
    <row r="589">
      <c r="A589" s="9" t="n"/>
    </row>
    <row r="590">
      <c r="A590" s="9" t="n"/>
    </row>
    <row r="591">
      <c r="A591" s="9" t="n"/>
    </row>
    <row r="592">
      <c r="A592" s="9" t="n"/>
    </row>
    <row r="593">
      <c r="A593" s="9" t="n"/>
    </row>
    <row r="594">
      <c r="A594" s="9" t="n"/>
    </row>
    <row r="595">
      <c r="A595" s="9" t="n"/>
    </row>
    <row r="596">
      <c r="A596" s="9" t="n"/>
    </row>
    <row r="597">
      <c r="A597" s="9" t="n"/>
    </row>
    <row r="598">
      <c r="A598" s="9" t="n"/>
    </row>
    <row r="599">
      <c r="A599" s="9" t="n"/>
    </row>
    <row r="600">
      <c r="A600" s="9" t="n"/>
    </row>
    <row r="601">
      <c r="A601" s="9" t="n"/>
    </row>
    <row r="602">
      <c r="A602" s="9" t="n"/>
    </row>
    <row r="603">
      <c r="A603" s="9" t="n"/>
    </row>
    <row r="604">
      <c r="A604" s="9" t="n"/>
    </row>
    <row r="605">
      <c r="A605" s="9" t="n"/>
    </row>
    <row r="606">
      <c r="A606" s="9" t="n"/>
    </row>
    <row r="607">
      <c r="A607" s="9" t="n"/>
    </row>
    <row r="608">
      <c r="A608" s="9" t="n"/>
    </row>
    <row r="609">
      <c r="A609" s="9" t="n"/>
    </row>
    <row r="610">
      <c r="A610" s="9" t="n"/>
    </row>
    <row r="611">
      <c r="A611" s="9" t="n"/>
    </row>
    <row r="612">
      <c r="A612" s="9" t="n"/>
    </row>
    <row r="613">
      <c r="A613" s="9" t="n"/>
    </row>
    <row r="614">
      <c r="A614" s="9" t="n"/>
    </row>
    <row r="615">
      <c r="A615" s="9" t="n"/>
    </row>
    <row r="616">
      <c r="A616" s="9" t="n"/>
    </row>
    <row r="617">
      <c r="A617" s="9" t="n"/>
    </row>
    <row r="618">
      <c r="A618" s="9" t="n"/>
    </row>
    <row r="619">
      <c r="A619" s="9" t="n"/>
    </row>
    <row r="620">
      <c r="A620" s="9" t="n"/>
    </row>
    <row r="621">
      <c r="A621" s="9" t="n"/>
    </row>
    <row r="622">
      <c r="A622" s="9" t="n"/>
    </row>
    <row r="623">
      <c r="A623" s="9" t="n"/>
    </row>
    <row r="624">
      <c r="A624" s="9" t="n"/>
    </row>
    <row r="625">
      <c r="A625" s="9" t="n"/>
    </row>
    <row r="626">
      <c r="A626" s="9" t="n"/>
    </row>
    <row r="627">
      <c r="A627" s="9" t="n"/>
    </row>
    <row r="628">
      <c r="A628" s="9" t="n"/>
    </row>
    <row r="629">
      <c r="A629" s="9" t="n"/>
    </row>
    <row r="630">
      <c r="A630" s="9" t="n"/>
    </row>
    <row r="631">
      <c r="A631" s="9" t="n"/>
    </row>
    <row r="632">
      <c r="A632" s="9" t="n"/>
    </row>
    <row r="633">
      <c r="A633" s="9" t="n"/>
    </row>
    <row r="634">
      <c r="A634" s="9" t="n"/>
    </row>
    <row r="635">
      <c r="A635" s="9" t="n"/>
    </row>
    <row r="636">
      <c r="A636" s="9" t="n"/>
    </row>
    <row r="637">
      <c r="A637" s="9" t="n"/>
    </row>
    <row r="638">
      <c r="A638" s="9" t="n"/>
    </row>
    <row r="639">
      <c r="A639" s="9" t="n"/>
    </row>
    <row r="640">
      <c r="A640" s="9" t="n"/>
    </row>
    <row r="641">
      <c r="A641" s="9" t="n"/>
    </row>
    <row r="642">
      <c r="A642" s="9" t="n"/>
    </row>
    <row r="643">
      <c r="A643" s="9" t="n"/>
    </row>
    <row r="644">
      <c r="A644" s="9" t="n"/>
    </row>
    <row r="645">
      <c r="A645" s="9" t="n"/>
    </row>
    <row r="646">
      <c r="A646" s="9" t="n"/>
    </row>
    <row r="647">
      <c r="A647" s="9" t="n"/>
    </row>
    <row r="648">
      <c r="A648" s="9" t="n"/>
    </row>
    <row r="649">
      <c r="A649" s="9" t="n"/>
    </row>
    <row r="650">
      <c r="A650" s="9" t="n"/>
    </row>
    <row r="651">
      <c r="A651" s="9" t="n"/>
    </row>
    <row r="652">
      <c r="A652" s="9" t="n"/>
    </row>
    <row r="653">
      <c r="A653" s="9" t="n"/>
    </row>
    <row r="654">
      <c r="A654" s="9" t="n"/>
    </row>
    <row r="655">
      <c r="A655" s="9" t="n"/>
    </row>
    <row r="656">
      <c r="A656" s="9" t="n"/>
    </row>
    <row r="657">
      <c r="A657" s="9" t="n"/>
    </row>
    <row r="658">
      <c r="A658" s="9" t="n"/>
    </row>
    <row r="659">
      <c r="A659" s="9" t="n"/>
    </row>
    <row r="660">
      <c r="A660" s="9" t="n"/>
    </row>
    <row r="661">
      <c r="A661" s="9" t="n"/>
    </row>
    <row r="662">
      <c r="A662" s="9" t="n"/>
    </row>
    <row r="663">
      <c r="A663" s="9" t="n"/>
    </row>
    <row r="664">
      <c r="A664" s="9" t="n"/>
    </row>
    <row r="665">
      <c r="A665" s="9" t="n"/>
    </row>
    <row r="666">
      <c r="A666" s="9" t="n"/>
    </row>
    <row r="667">
      <c r="A667" s="9" t="n"/>
    </row>
    <row r="668">
      <c r="A668" s="9" t="n"/>
    </row>
    <row r="669">
      <c r="A669" s="9" t="n"/>
    </row>
    <row r="670">
      <c r="A670" s="9" t="n"/>
    </row>
    <row r="671">
      <c r="A671" s="9" t="n"/>
    </row>
    <row r="672">
      <c r="A672" s="9" t="n"/>
    </row>
    <row r="673">
      <c r="A673" s="9" t="n"/>
    </row>
    <row r="674">
      <c r="A674" s="9" t="n"/>
    </row>
    <row r="675">
      <c r="A675" s="9" t="n"/>
    </row>
    <row r="676">
      <c r="A676" s="9" t="n"/>
    </row>
    <row r="677">
      <c r="A677" s="9" t="n"/>
    </row>
    <row r="678">
      <c r="A678" s="9" t="n"/>
    </row>
    <row r="679">
      <c r="A679" s="9" t="n"/>
    </row>
    <row r="680">
      <c r="A680" s="9" t="n"/>
    </row>
    <row r="681">
      <c r="A681" s="9" t="n"/>
    </row>
    <row r="682">
      <c r="A682" s="9" t="n"/>
    </row>
    <row r="683">
      <c r="A683" s="9" t="n"/>
    </row>
    <row r="684">
      <c r="A684" s="9" t="n"/>
    </row>
    <row r="685">
      <c r="A685" s="9" t="n"/>
    </row>
    <row r="686">
      <c r="A686" s="9" t="n"/>
    </row>
    <row r="687">
      <c r="A687" s="9" t="n"/>
    </row>
    <row r="688">
      <c r="A688" s="9" t="n"/>
    </row>
    <row r="689">
      <c r="A689" s="9" t="n"/>
    </row>
    <row r="690">
      <c r="A690" s="9" t="n"/>
    </row>
    <row r="691">
      <c r="A691" s="9" t="n"/>
    </row>
    <row r="692">
      <c r="A692" s="9" t="n"/>
    </row>
    <row r="693">
      <c r="A693" s="9" t="n"/>
    </row>
    <row r="694">
      <c r="A694" s="9" t="n"/>
    </row>
    <row r="695">
      <c r="A695" s="9" t="n"/>
    </row>
    <row r="696">
      <c r="A696" s="9" t="n"/>
    </row>
    <row r="697">
      <c r="A697" s="9" t="n"/>
    </row>
    <row r="698">
      <c r="A698" s="9" t="n"/>
    </row>
    <row r="699">
      <c r="A699" s="9" t="n"/>
    </row>
    <row r="700">
      <c r="A700" s="9" t="n"/>
    </row>
    <row r="701">
      <c r="A701" s="9" t="n"/>
    </row>
    <row r="702">
      <c r="A702" s="9" t="n"/>
    </row>
    <row r="703">
      <c r="A703" s="9" t="n"/>
    </row>
    <row r="704">
      <c r="A704" s="9" t="n"/>
    </row>
    <row r="705">
      <c r="A705" s="9" t="n"/>
    </row>
    <row r="706">
      <c r="A706" s="9" t="n"/>
    </row>
    <row r="707">
      <c r="A707" s="9" t="n"/>
    </row>
    <row r="708">
      <c r="A708" s="9" t="n"/>
    </row>
    <row r="709">
      <c r="A709" s="9" t="n"/>
    </row>
    <row r="710">
      <c r="A710" s="9" t="n"/>
    </row>
    <row r="711">
      <c r="A711" s="9" t="n"/>
    </row>
    <row r="712">
      <c r="A712" s="9" t="n"/>
    </row>
    <row r="713">
      <c r="A713" s="9" t="n"/>
    </row>
    <row r="714">
      <c r="A714" s="9" t="n"/>
    </row>
    <row r="715">
      <c r="A715" s="9" t="n"/>
    </row>
    <row r="716">
      <c r="A716" s="9" t="n"/>
    </row>
    <row r="717">
      <c r="A717" s="9" t="n"/>
    </row>
    <row r="718">
      <c r="A718" s="9" t="n"/>
    </row>
    <row r="719">
      <c r="A719" s="9" t="n"/>
    </row>
    <row r="720">
      <c r="A720" s="9" t="n"/>
    </row>
    <row r="721">
      <c r="A721" s="9" t="n"/>
    </row>
    <row r="722">
      <c r="A722" s="9" t="n"/>
    </row>
    <row r="723">
      <c r="A723" s="9" t="n"/>
    </row>
    <row r="724">
      <c r="A724" s="9" t="n"/>
    </row>
    <row r="725">
      <c r="A725" s="9" t="n"/>
    </row>
    <row r="726">
      <c r="A726" s="9" t="n"/>
    </row>
    <row r="727">
      <c r="A727" s="9" t="n"/>
    </row>
    <row r="728">
      <c r="A728" s="9" t="n"/>
    </row>
    <row r="729">
      <c r="A729" s="9" t="n"/>
    </row>
    <row r="730">
      <c r="A730" s="9" t="n"/>
    </row>
    <row r="731">
      <c r="A731" s="9" t="n"/>
    </row>
    <row r="732">
      <c r="A732" s="9" t="n"/>
    </row>
    <row r="733">
      <c r="A733" s="9" t="n"/>
    </row>
    <row r="734">
      <c r="A734" s="9" t="n"/>
    </row>
    <row r="735">
      <c r="A735" s="9" t="n"/>
    </row>
    <row r="736">
      <c r="A736" s="9" t="n"/>
    </row>
    <row r="737">
      <c r="A737" s="9" t="n"/>
    </row>
    <row r="738">
      <c r="A738" s="9" t="n"/>
    </row>
    <row r="739">
      <c r="A739" s="9" t="n"/>
    </row>
    <row r="740">
      <c r="A740" s="9" t="n"/>
    </row>
    <row r="741">
      <c r="A741" s="9" t="n"/>
    </row>
    <row r="742">
      <c r="A742" s="9" t="n"/>
    </row>
    <row r="743">
      <c r="A743" s="9" t="n"/>
    </row>
    <row r="744">
      <c r="A744" s="9" t="n"/>
    </row>
    <row r="745">
      <c r="A745" s="9" t="n"/>
    </row>
    <row r="746">
      <c r="A746" s="9" t="n"/>
    </row>
    <row r="747">
      <c r="A747" s="9" t="n"/>
    </row>
    <row r="748">
      <c r="A748" s="9" t="n"/>
    </row>
    <row r="749">
      <c r="A749" s="9" t="n"/>
    </row>
    <row r="750">
      <c r="A750" s="9" t="n"/>
    </row>
    <row r="751">
      <c r="A751" s="9" t="n"/>
    </row>
    <row r="752">
      <c r="A752" s="9" t="n"/>
    </row>
    <row r="753">
      <c r="A753" s="9" t="n"/>
    </row>
    <row r="754">
      <c r="A754" s="9" t="n"/>
    </row>
    <row r="755">
      <c r="A755" s="9" t="n"/>
    </row>
    <row r="756">
      <c r="A756" s="9" t="n"/>
    </row>
    <row r="757">
      <c r="A757" s="9" t="n"/>
    </row>
    <row r="758">
      <c r="A758" s="9" t="n"/>
    </row>
    <row r="759">
      <c r="A759" s="9" t="n"/>
    </row>
    <row r="760">
      <c r="A760" s="9" t="n"/>
    </row>
    <row r="761">
      <c r="A761" s="9" t="n"/>
    </row>
    <row r="762">
      <c r="A762" s="9" t="n"/>
    </row>
    <row r="763">
      <c r="A763" s="9" t="n"/>
    </row>
    <row r="764">
      <c r="A764" s="9" t="n"/>
    </row>
    <row r="765">
      <c r="A765" s="9" t="n"/>
    </row>
    <row r="766">
      <c r="A766" s="9" t="n"/>
    </row>
    <row r="767">
      <c r="A767" s="9" t="n"/>
    </row>
    <row r="768">
      <c r="A768" s="9" t="n"/>
    </row>
    <row r="769">
      <c r="A769" s="9" t="n"/>
    </row>
    <row r="770">
      <c r="A770" s="9" t="n"/>
    </row>
    <row r="771">
      <c r="A771" s="9" t="n"/>
    </row>
    <row r="772">
      <c r="A772" s="9" t="n"/>
    </row>
    <row r="773">
      <c r="A773" s="9" t="n"/>
    </row>
    <row r="774">
      <c r="A774" s="9" t="n"/>
    </row>
    <row r="775">
      <c r="A775" s="9" t="n"/>
    </row>
    <row r="776">
      <c r="A776" s="9" t="n"/>
    </row>
    <row r="777">
      <c r="A777" s="9" t="n"/>
    </row>
    <row r="778">
      <c r="A778" s="9" t="n"/>
    </row>
    <row r="779">
      <c r="A779" s="9" t="n"/>
    </row>
    <row r="780">
      <c r="A780" s="9" t="n"/>
    </row>
    <row r="781">
      <c r="A781" s="9" t="n"/>
    </row>
    <row r="782">
      <c r="A782" s="9" t="n"/>
    </row>
    <row r="783">
      <c r="A783" s="9" t="n"/>
    </row>
    <row r="784">
      <c r="A784" s="9" t="n"/>
    </row>
    <row r="785">
      <c r="A785" s="9" t="n"/>
    </row>
    <row r="786">
      <c r="A786" s="9" t="n"/>
    </row>
    <row r="787">
      <c r="A787" s="9" t="n"/>
    </row>
    <row r="788">
      <c r="A788" s="9" t="n"/>
    </row>
    <row r="789">
      <c r="A789" s="9" t="n"/>
    </row>
    <row r="790">
      <c r="A790" s="9" t="n"/>
    </row>
    <row r="791">
      <c r="A791" s="9" t="n"/>
    </row>
    <row r="792">
      <c r="A792" s="9" t="n"/>
    </row>
    <row r="793">
      <c r="A793" s="9" t="n"/>
    </row>
    <row r="794">
      <c r="A794" s="9" t="n"/>
    </row>
    <row r="795">
      <c r="A795" s="9" t="n"/>
    </row>
    <row r="796">
      <c r="A796" s="9" t="n"/>
    </row>
    <row r="797">
      <c r="A797" s="9" t="n"/>
    </row>
    <row r="798">
      <c r="A798" s="9" t="n"/>
    </row>
    <row r="799">
      <c r="A799" s="9" t="n"/>
    </row>
    <row r="800">
      <c r="A800" s="9" t="n"/>
    </row>
    <row r="801">
      <c r="A801" s="9" t="n"/>
    </row>
    <row r="802">
      <c r="A802" s="9" t="n"/>
    </row>
    <row r="803">
      <c r="A803" s="9" t="n"/>
    </row>
    <row r="804">
      <c r="A804" s="9" t="n"/>
    </row>
    <row r="805">
      <c r="A805" s="9" t="n"/>
    </row>
    <row r="806">
      <c r="A806" s="9" t="n"/>
    </row>
    <row r="807">
      <c r="A807" s="9" t="n"/>
    </row>
    <row r="808">
      <c r="A808" s="9" t="n"/>
    </row>
    <row r="809">
      <c r="A809" s="9" t="n"/>
    </row>
    <row r="810">
      <c r="A810" s="9" t="n"/>
    </row>
    <row r="811">
      <c r="A811" s="9" t="n"/>
    </row>
    <row r="812">
      <c r="A812" s="9" t="n"/>
    </row>
    <row r="813">
      <c r="A813" s="9" t="n"/>
    </row>
    <row r="814">
      <c r="A814" s="9" t="n"/>
    </row>
    <row r="815">
      <c r="A815" s="9" t="n"/>
    </row>
    <row r="816">
      <c r="A816" s="9" t="n"/>
    </row>
    <row r="817">
      <c r="A817" s="9" t="n"/>
    </row>
    <row r="818">
      <c r="A818" s="9" t="n"/>
    </row>
    <row r="819">
      <c r="A819" s="9" t="n"/>
    </row>
    <row r="820">
      <c r="A820" s="9" t="n"/>
    </row>
    <row r="821">
      <c r="A821" s="9" t="n"/>
    </row>
    <row r="822">
      <c r="A822" s="9" t="n"/>
    </row>
    <row r="823">
      <c r="A823" s="9" t="n"/>
    </row>
    <row r="824">
      <c r="A824" s="9" t="n"/>
    </row>
    <row r="825">
      <c r="A825" s="9" t="n"/>
    </row>
    <row r="826">
      <c r="A826" s="9" t="n"/>
    </row>
    <row r="827">
      <c r="A827" s="9" t="n"/>
    </row>
    <row r="828">
      <c r="A828" s="9" t="n"/>
    </row>
    <row r="829">
      <c r="A829" s="9" t="n"/>
    </row>
    <row r="830">
      <c r="A830" s="9" t="n"/>
    </row>
    <row r="831">
      <c r="A831" s="9" t="n"/>
    </row>
    <row r="832">
      <c r="A832" s="9" t="n"/>
    </row>
    <row r="833">
      <c r="A833" s="9" t="n"/>
    </row>
    <row r="834">
      <c r="A834" s="9" t="n"/>
    </row>
    <row r="835">
      <c r="A835" s="9" t="n"/>
    </row>
    <row r="836">
      <c r="A836" s="9" t="n"/>
    </row>
    <row r="837">
      <c r="A837" s="9" t="n"/>
    </row>
    <row r="838">
      <c r="A838" s="9" t="n"/>
    </row>
    <row r="839">
      <c r="A839" s="9" t="n"/>
    </row>
    <row r="840">
      <c r="A840" s="9" t="n"/>
    </row>
    <row r="841">
      <c r="A841" s="9" t="n"/>
    </row>
    <row r="842">
      <c r="A842" s="9" t="n"/>
    </row>
    <row r="843">
      <c r="A843" s="9" t="n"/>
    </row>
    <row r="844">
      <c r="A844" s="9" t="n"/>
    </row>
    <row r="845">
      <c r="A845" s="9" t="n"/>
    </row>
    <row r="846">
      <c r="A846" s="9" t="n"/>
    </row>
    <row r="847">
      <c r="A847" s="9" t="n"/>
    </row>
    <row r="848">
      <c r="A848" s="9" t="n"/>
    </row>
    <row r="849">
      <c r="A849" s="9" t="n"/>
    </row>
    <row r="850">
      <c r="A850" s="9" t="n"/>
    </row>
    <row r="851">
      <c r="A851" s="9" t="n"/>
    </row>
    <row r="852">
      <c r="A852" s="9" t="n"/>
    </row>
    <row r="853">
      <c r="A853" s="9" t="n"/>
    </row>
    <row r="854">
      <c r="A854" s="9" t="n"/>
    </row>
    <row r="855">
      <c r="A855" s="9" t="n"/>
    </row>
    <row r="856">
      <c r="A856" s="9" t="n"/>
    </row>
    <row r="857">
      <c r="A857" s="9" t="n"/>
    </row>
    <row r="858">
      <c r="A858" s="9" t="n"/>
    </row>
    <row r="859">
      <c r="A859" s="9" t="n"/>
    </row>
    <row r="860">
      <c r="A860" s="9" t="n"/>
    </row>
    <row r="861">
      <c r="A861" s="9" t="n"/>
    </row>
    <row r="862">
      <c r="A862" s="9" t="n"/>
    </row>
    <row r="863">
      <c r="A863" s="9" t="n"/>
    </row>
    <row r="864">
      <c r="A864" s="9" t="n"/>
    </row>
    <row r="865">
      <c r="A865" s="9" t="n"/>
    </row>
    <row r="866">
      <c r="A866" s="9" t="n"/>
    </row>
    <row r="867">
      <c r="A867" s="9" t="n"/>
    </row>
    <row r="868">
      <c r="A868" s="9" t="n"/>
    </row>
    <row r="869">
      <c r="A869" s="9" t="n"/>
    </row>
    <row r="870">
      <c r="A870" s="9" t="n"/>
    </row>
    <row r="871">
      <c r="A871" s="9" t="n"/>
    </row>
    <row r="872">
      <c r="A872" s="9" t="n"/>
    </row>
    <row r="873">
      <c r="A873" s="9" t="n"/>
    </row>
    <row r="874">
      <c r="A874" s="9" t="n"/>
    </row>
    <row r="875">
      <c r="A875" s="9" t="n"/>
    </row>
    <row r="876">
      <c r="A876" s="9" t="n"/>
    </row>
    <row r="877">
      <c r="A877" s="9" t="n"/>
    </row>
    <row r="878">
      <c r="A878" s="9" t="n"/>
    </row>
    <row r="879">
      <c r="A879" s="9" t="n"/>
    </row>
    <row r="880">
      <c r="A880" s="9" t="n"/>
    </row>
    <row r="881">
      <c r="A881" s="9" t="n"/>
    </row>
    <row r="882">
      <c r="A882" s="9" t="n"/>
    </row>
    <row r="883">
      <c r="A883" s="9" t="n"/>
    </row>
    <row r="884">
      <c r="A884" s="9" t="n"/>
    </row>
    <row r="885">
      <c r="A885" s="9" t="n"/>
    </row>
    <row r="886">
      <c r="A886" s="9" t="n"/>
    </row>
    <row r="887">
      <c r="A887" s="9" t="n"/>
    </row>
    <row r="888">
      <c r="A888" s="9" t="n"/>
    </row>
    <row r="889">
      <c r="A889" s="9" t="n"/>
    </row>
    <row r="890">
      <c r="A890" s="9" t="n"/>
    </row>
    <row r="891">
      <c r="A891" s="9" t="n"/>
    </row>
    <row r="892">
      <c r="A892" s="9" t="n"/>
    </row>
    <row r="893">
      <c r="A893" s="9" t="n"/>
    </row>
    <row r="894">
      <c r="A894" s="9" t="n"/>
    </row>
    <row r="895">
      <c r="A895" s="9" t="n"/>
    </row>
    <row r="896">
      <c r="A896" s="9" t="n"/>
    </row>
    <row r="897">
      <c r="A897" s="9" t="n"/>
    </row>
    <row r="898">
      <c r="A898" s="9" t="n"/>
    </row>
    <row r="899">
      <c r="A899" s="9" t="n"/>
    </row>
    <row r="900">
      <c r="A900" s="9" t="n"/>
    </row>
    <row r="901">
      <c r="A901" s="9" t="n"/>
    </row>
    <row r="902">
      <c r="A902" s="9" t="n"/>
    </row>
    <row r="903">
      <c r="A903" s="9" t="n"/>
    </row>
    <row r="904">
      <c r="A904" s="9" t="n"/>
    </row>
    <row r="905">
      <c r="A905" s="9" t="n"/>
    </row>
    <row r="906">
      <c r="A906" s="9" t="n"/>
    </row>
    <row r="907">
      <c r="A907" s="9" t="n"/>
    </row>
    <row r="908">
      <c r="A908" s="9" t="n"/>
    </row>
    <row r="909">
      <c r="A909" s="9" t="n"/>
    </row>
    <row r="910">
      <c r="A910" s="9" t="n"/>
    </row>
    <row r="911">
      <c r="A911" s="9" t="n"/>
    </row>
    <row r="912">
      <c r="A912" s="9" t="n"/>
    </row>
    <row r="913">
      <c r="A913" s="9" t="n"/>
    </row>
    <row r="914">
      <c r="A914" s="9" t="n"/>
    </row>
    <row r="915">
      <c r="A915" s="9" t="n"/>
    </row>
    <row r="916">
      <c r="A916" s="9" t="n"/>
    </row>
    <row r="917">
      <c r="A917" s="9" t="n"/>
    </row>
    <row r="918">
      <c r="A918" s="9" t="n"/>
    </row>
    <row r="919">
      <c r="A919" s="9" t="n"/>
    </row>
    <row r="920">
      <c r="A920" s="9" t="n"/>
    </row>
    <row r="921">
      <c r="A921" s="9" t="n"/>
    </row>
    <row r="922">
      <c r="A922" s="9" t="n"/>
    </row>
    <row r="923">
      <c r="A923" s="9" t="n"/>
    </row>
    <row r="924">
      <c r="A924" s="9" t="n"/>
    </row>
    <row r="925">
      <c r="A925" s="9" t="n"/>
    </row>
    <row r="926">
      <c r="A926" s="9" t="n"/>
    </row>
    <row r="927">
      <c r="A927" s="9" t="n"/>
    </row>
    <row r="928">
      <c r="A928" s="9" t="n"/>
    </row>
    <row r="929">
      <c r="A929" s="9" t="n"/>
    </row>
    <row r="930">
      <c r="A930" s="9" t="n"/>
    </row>
    <row r="931">
      <c r="A931" s="9" t="n"/>
    </row>
    <row r="932">
      <c r="A932" s="9" t="n"/>
    </row>
    <row r="933">
      <c r="A933" s="9" t="n"/>
    </row>
    <row r="934">
      <c r="A934" s="9" t="n"/>
    </row>
    <row r="935">
      <c r="A935" s="9" t="n"/>
    </row>
    <row r="936">
      <c r="A936" s="9" t="n"/>
    </row>
    <row r="937">
      <c r="A937" s="9" t="n"/>
    </row>
    <row r="938">
      <c r="A938" s="9" t="n"/>
    </row>
    <row r="939">
      <c r="A939" s="9" t="n"/>
    </row>
    <row r="940">
      <c r="A940" s="9" t="n"/>
    </row>
    <row r="941">
      <c r="A941" s="9" t="n"/>
    </row>
    <row r="942">
      <c r="A942" s="9" t="n"/>
    </row>
    <row r="943">
      <c r="A943" s="9" t="n"/>
    </row>
    <row r="944">
      <c r="A944" s="9" t="n"/>
    </row>
    <row r="945">
      <c r="A945" s="9" t="n"/>
    </row>
    <row r="946">
      <c r="A946" s="9" t="n"/>
    </row>
    <row r="947">
      <c r="A947" s="9" t="n"/>
    </row>
    <row r="948">
      <c r="A948" s="9" t="n"/>
    </row>
    <row r="949">
      <c r="A949" s="9" t="n"/>
    </row>
    <row r="950">
      <c r="A950" s="9" t="n"/>
    </row>
    <row r="951">
      <c r="A951" s="9" t="n"/>
    </row>
    <row r="952">
      <c r="A952" s="9" t="n"/>
    </row>
    <row r="953">
      <c r="A953" s="9" t="n"/>
    </row>
    <row r="954">
      <c r="A954" s="9" t="n"/>
    </row>
    <row r="955">
      <c r="A955" s="9" t="n"/>
    </row>
    <row r="956">
      <c r="A956" s="9" t="n"/>
    </row>
    <row r="957">
      <c r="A957" s="9" t="n"/>
    </row>
    <row r="958">
      <c r="A958" s="9" t="n"/>
    </row>
    <row r="959">
      <c r="A959" s="9" t="n"/>
    </row>
    <row r="960">
      <c r="A960" s="9" t="n"/>
    </row>
    <row r="961">
      <c r="A961" s="9" t="n"/>
    </row>
    <row r="962">
      <c r="A962" s="9" t="n"/>
    </row>
    <row r="963">
      <c r="A963" s="9" t="n"/>
    </row>
    <row r="964">
      <c r="A964" s="9" t="n"/>
    </row>
    <row r="965">
      <c r="A965" s="9" t="n"/>
    </row>
    <row r="966">
      <c r="A966" s="9" t="n"/>
    </row>
    <row r="967">
      <c r="A967" s="9" t="n"/>
    </row>
    <row r="968">
      <c r="A968" s="9" t="n"/>
    </row>
    <row r="969">
      <c r="A969" s="9" t="n"/>
    </row>
    <row r="970">
      <c r="A970" s="9" t="n"/>
    </row>
    <row r="971">
      <c r="A971" s="9" t="n"/>
    </row>
    <row r="972">
      <c r="A972" s="9" t="n"/>
    </row>
    <row r="973">
      <c r="A973" s="9" t="n"/>
    </row>
    <row r="974">
      <c r="A974" s="9" t="n"/>
    </row>
    <row r="975">
      <c r="A975" s="9" t="n"/>
    </row>
    <row r="976">
      <c r="A976" s="9" t="n"/>
    </row>
    <row r="977">
      <c r="A977" s="9" t="n"/>
    </row>
    <row r="978">
      <c r="A978" s="9" t="n"/>
    </row>
    <row r="979">
      <c r="A979" s="9" t="n"/>
    </row>
    <row r="980">
      <c r="A980" s="9" t="n"/>
    </row>
    <row r="981">
      <c r="A981" s="9" t="n"/>
    </row>
    <row r="982">
      <c r="A982" s="9" t="n"/>
    </row>
    <row r="983">
      <c r="A983" s="9" t="n"/>
    </row>
    <row r="984">
      <c r="A984" s="9" t="n"/>
    </row>
    <row r="985">
      <c r="A985" s="9" t="n"/>
    </row>
    <row r="986">
      <c r="A986" s="9" t="n"/>
    </row>
    <row r="987">
      <c r="A987" s="9" t="n"/>
    </row>
    <row r="988">
      <c r="A988" s="9" t="n"/>
    </row>
    <row r="989">
      <c r="A989" s="9" t="n"/>
    </row>
    <row r="990">
      <c r="A990" s="9" t="n"/>
    </row>
    <row r="991">
      <c r="A991" s="9" t="n"/>
    </row>
    <row r="992">
      <c r="A992" s="9" t="n"/>
    </row>
    <row r="993">
      <c r="A993" s="9" t="n"/>
    </row>
    <row r="994">
      <c r="A994" s="9" t="n"/>
    </row>
    <row r="995">
      <c r="A995" s="9" t="n"/>
    </row>
    <row r="996">
      <c r="A996" s="9" t="n"/>
    </row>
    <row r="997">
      <c r="A997" s="9" t="n"/>
    </row>
    <row r="998">
      <c r="A998" s="9" t="n"/>
    </row>
    <row r="999">
      <c r="A999" s="9" t="n"/>
    </row>
    <row r="1000">
      <c r="A1000"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2025-12-18T03:41:24Z</dcterms:created>
  <dcterms:modified xsi:type="dcterms:W3CDTF">2025-12-18T03:41:25Z</dcterms:modified>
</cp:coreProperties>
</file>